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D:\銀保建議書\靜怡\健康險\SDJ-優卡安心-1140602\"/>
    </mc:Choice>
  </mc:AlternateContent>
  <xr:revisionPtr revIDLastSave="0" documentId="13_ncr:1_{92909799-DE3A-47DF-B15F-44C630982891}" xr6:coauthVersionLast="47" xr6:coauthVersionMax="47" xr10:uidLastSave="{00000000-0000-0000-0000-000000000000}"/>
  <bookViews>
    <workbookView xWindow="-120" yWindow="-120" windowWidth="29040" windowHeight="15720" firstSheet="4" activeTab="4" xr2:uid="{00000000-000D-0000-FFFF-FFFF00000000}"/>
  </bookViews>
  <sheets>
    <sheet name="揭露" sheetId="26" state="veryHidden" r:id="rId1"/>
    <sheet name="P_DATA" sheetId="25" state="veryHidden" r:id="rId2"/>
    <sheet name="PY" sheetId="29" state="veryHidden" r:id="rId3"/>
    <sheet name="OP" sheetId="22" state="veryHidden" r:id="rId4"/>
    <sheet name="輸入頁" sheetId="9" r:id="rId5"/>
    <sheet name="列印頁" sheetId="15" r:id="rId6"/>
  </sheets>
  <definedNames>
    <definedName name="BD">輸入頁!$E$7</definedName>
    <definedName name="BGP">OP!$C$30</definedName>
    <definedName name="CV">P_DATA!$Q$111:$DX$212</definedName>
    <definedName name="DIE">P_DATA!$ED$2:$IK$104</definedName>
    <definedName name="EXP">P_DATA!$Q$2:$DX$104</definedName>
    <definedName name="GP">P_DATA!$J:$K</definedName>
    <definedName name="HL_1">P_DATA!$Q$218:$DX$319</definedName>
    <definedName name="HL_2">P_DATA!$ED$218:$IK$319</definedName>
    <definedName name="HL_3">P_DATA!$Q$328:$DX$429</definedName>
    <definedName name="IN">輸入頁!$E$5</definedName>
    <definedName name="MGP">OP!$C$35</definedName>
    <definedName name="PA">P_DATA!$ED$110:$IK$212</definedName>
    <definedName name="PI">OP!$AK$4:$AL$90</definedName>
    <definedName name="PM">輸入頁!$E$17</definedName>
    <definedName name="_xlnm.Print_Area" localSheetId="5">列印頁!$A$1:$X$415</definedName>
    <definedName name="_xlnm.Print_Area" localSheetId="4">輸入頁!$A$1:$T$45</definedName>
    <definedName name="PYO">PY!$D$4</definedName>
    <definedName name="PYR">PY!$C$11</definedName>
    <definedName name="PYY">PY!$C$4</definedName>
    <definedName name="SEX">輸入頁!$K$5</definedName>
    <definedName name="WORDING">OP!$P$2:$Q$20</definedName>
    <definedName name="WORDINGP">OP!$AD$2:$AE$41</definedName>
    <definedName name="YPN">輸入頁!$D$35</definedName>
    <definedName name="主約1">OP!$H$43:$H$45</definedName>
    <definedName name="保額倍數">OP!$B$87:$C$197</definedName>
    <definedName name="繳">OP!$H$17:$H$21</definedName>
    <definedName name="繳別首">OP!$L$31:$L$35</definedName>
    <definedName name="繳別續">OP!$M$31:$M$35</definedName>
    <definedName name="關係">OP!$B$143:$B$147</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2" l="1"/>
  <c r="U20" i="15"/>
  <c r="J5" i="25" l="1"/>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2" i="25"/>
  <c r="J3" i="25"/>
  <c r="J4" i="25"/>
  <c r="ED112" i="25"/>
  <c r="ED113" i="25"/>
  <c r="ED114" i="25"/>
  <c r="ED115" i="25"/>
  <c r="ED116" i="25"/>
  <c r="ED117" i="25"/>
  <c r="ED118" i="25"/>
  <c r="ED119" i="25"/>
  <c r="ED120" i="25"/>
  <c r="ED121" i="25"/>
  <c r="ED122" i="25"/>
  <c r="ED123" i="25"/>
  <c r="ED124" i="25"/>
  <c r="ED125" i="25"/>
  <c r="ED126" i="25"/>
  <c r="ED127" i="25"/>
  <c r="ED128" i="25"/>
  <c r="ED129" i="25"/>
  <c r="ED130" i="25"/>
  <c r="ED131" i="25"/>
  <c r="ED132" i="25"/>
  <c r="ED133" i="25"/>
  <c r="ED134" i="25"/>
  <c r="ED135" i="25"/>
  <c r="ED136" i="25"/>
  <c r="ED137" i="25"/>
  <c r="ED138" i="25"/>
  <c r="ED139" i="25"/>
  <c r="ED140" i="25"/>
  <c r="ED141" i="25"/>
  <c r="ED142" i="25"/>
  <c r="ED143" i="25"/>
  <c r="ED144" i="25"/>
  <c r="ED145" i="25"/>
  <c r="ED146" i="25"/>
  <c r="ED147" i="25"/>
  <c r="ED148" i="25"/>
  <c r="ED149" i="25"/>
  <c r="ED150" i="25"/>
  <c r="ED151" i="25"/>
  <c r="ED152" i="25"/>
  <c r="ED153" i="25"/>
  <c r="ED154" i="25"/>
  <c r="ED155" i="25"/>
  <c r="ED156" i="25"/>
  <c r="ED157" i="25"/>
  <c r="ED158" i="25"/>
  <c r="ED159" i="25"/>
  <c r="ED160" i="25"/>
  <c r="ED161" i="25"/>
  <c r="ED162" i="25"/>
  <c r="ED163" i="25"/>
  <c r="ED164" i="25"/>
  <c r="ED165" i="25"/>
  <c r="ED166" i="25"/>
  <c r="ED167" i="25"/>
  <c r="ED168" i="25"/>
  <c r="ED169" i="25"/>
  <c r="ED170" i="25"/>
  <c r="ED171" i="25"/>
  <c r="ED172" i="25"/>
  <c r="ED173" i="25"/>
  <c r="ED174" i="25"/>
  <c r="ED175" i="25"/>
  <c r="ED176" i="25"/>
  <c r="ED177" i="25"/>
  <c r="ED178" i="25"/>
  <c r="ED179" i="25"/>
  <c r="ED180" i="25"/>
  <c r="ED181" i="25"/>
  <c r="ED182" i="25"/>
  <c r="ED183" i="25"/>
  <c r="ED184" i="25"/>
  <c r="ED185" i="25"/>
  <c r="ED186" i="25"/>
  <c r="ED187" i="25"/>
  <c r="ED188" i="25"/>
  <c r="ED189" i="25"/>
  <c r="ED190" i="25"/>
  <c r="ED191" i="25"/>
  <c r="ED192" i="25"/>
  <c r="ED193" i="25"/>
  <c r="ED194" i="25"/>
  <c r="ED195" i="25"/>
  <c r="ED196" i="25"/>
  <c r="ED197" i="25"/>
  <c r="ED198" i="25"/>
  <c r="ED199" i="25"/>
  <c r="ED200" i="25"/>
  <c r="ED201" i="25"/>
  <c r="ED202" i="25"/>
  <c r="ED203" i="25"/>
  <c r="ED204" i="25"/>
  <c r="ED205" i="25"/>
  <c r="ED206" i="25"/>
  <c r="ED207" i="25"/>
  <c r="ED208" i="25"/>
  <c r="ED209" i="25"/>
  <c r="ED210" i="25"/>
  <c r="ED211" i="25"/>
  <c r="ED212" i="25"/>
  <c r="ED110" i="25"/>
  <c r="ED111" i="25"/>
  <c r="Q329" i="25"/>
  <c r="Q330" i="25"/>
  <c r="Q331" i="25"/>
  <c r="Q332" i="25"/>
  <c r="Q333" i="25"/>
  <c r="Q334" i="25"/>
  <c r="Q335" i="25"/>
  <c r="Q336" i="25"/>
  <c r="Q337" i="25"/>
  <c r="Q338" i="25"/>
  <c r="Q339" i="25"/>
  <c r="Q340" i="25"/>
  <c r="Q341" i="25"/>
  <c r="Q342" i="25"/>
  <c r="Q343" i="25"/>
  <c r="Q344" i="25"/>
  <c r="Q345" i="25"/>
  <c r="Q346" i="25"/>
  <c r="Q347" i="25"/>
  <c r="Q348" i="25"/>
  <c r="Q349" i="25"/>
  <c r="Q350" i="25"/>
  <c r="Q351" i="25"/>
  <c r="Q352" i="25"/>
  <c r="Q353" i="25"/>
  <c r="Q354" i="25"/>
  <c r="Q355" i="25"/>
  <c r="Q356" i="25"/>
  <c r="Q357" i="25"/>
  <c r="Q358" i="25"/>
  <c r="Q359" i="25"/>
  <c r="Q360" i="25"/>
  <c r="Q361" i="25"/>
  <c r="Q362" i="25"/>
  <c r="Q363" i="25"/>
  <c r="Q364" i="25"/>
  <c r="Q365" i="25"/>
  <c r="Q366" i="25"/>
  <c r="Q367" i="25"/>
  <c r="Q368" i="25"/>
  <c r="Q369" i="25"/>
  <c r="Q370" i="25"/>
  <c r="Q371" i="25"/>
  <c r="Q372" i="25"/>
  <c r="Q373" i="25"/>
  <c r="Q374" i="25"/>
  <c r="Q375" i="25"/>
  <c r="Q376" i="25"/>
  <c r="Q377" i="25"/>
  <c r="Q378" i="25"/>
  <c r="Q379" i="25"/>
  <c r="Q380" i="25"/>
  <c r="Q381" i="25"/>
  <c r="Q382" i="25"/>
  <c r="Q383" i="25"/>
  <c r="Q384" i="25"/>
  <c r="Q385" i="25"/>
  <c r="Q386" i="25"/>
  <c r="Q387" i="25"/>
  <c r="Q388" i="25"/>
  <c r="Q389" i="25"/>
  <c r="Q390" i="25"/>
  <c r="Q391" i="25"/>
  <c r="Q392" i="25"/>
  <c r="Q393" i="25"/>
  <c r="Q394" i="25"/>
  <c r="Q395" i="25"/>
  <c r="Q396" i="25"/>
  <c r="Q397" i="25"/>
  <c r="Q398" i="25"/>
  <c r="Q399" i="25"/>
  <c r="Q400" i="25"/>
  <c r="Q401" i="25"/>
  <c r="Q402" i="25"/>
  <c r="Q403" i="25"/>
  <c r="Q404" i="25"/>
  <c r="Q405" i="25"/>
  <c r="Q406" i="25"/>
  <c r="Q407" i="25"/>
  <c r="Q408" i="25"/>
  <c r="Q409" i="25"/>
  <c r="Q410" i="25"/>
  <c r="Q411" i="25"/>
  <c r="Q412" i="25"/>
  <c r="Q413" i="25"/>
  <c r="Q414" i="25"/>
  <c r="Q415" i="25"/>
  <c r="Q416" i="25"/>
  <c r="Q417" i="25"/>
  <c r="Q418" i="25"/>
  <c r="Q419" i="25"/>
  <c r="Q420" i="25"/>
  <c r="Q421" i="25"/>
  <c r="Q422" i="25"/>
  <c r="Q423" i="25"/>
  <c r="Q424" i="25"/>
  <c r="Q425" i="25"/>
  <c r="Q426" i="25"/>
  <c r="Q427" i="25"/>
  <c r="Q428" i="25"/>
  <c r="Q429" i="25"/>
  <c r="Q327" i="25"/>
  <c r="Q328" i="25"/>
  <c r="ED219" i="25"/>
  <c r="ED220" i="25"/>
  <c r="ED221" i="25"/>
  <c r="ED222" i="25"/>
  <c r="ED223" i="25"/>
  <c r="ED224" i="25"/>
  <c r="ED225" i="25"/>
  <c r="ED226" i="25"/>
  <c r="ED227" i="25"/>
  <c r="ED228" i="25"/>
  <c r="ED229" i="25"/>
  <c r="ED230" i="25"/>
  <c r="ED231" i="25"/>
  <c r="ED232" i="25"/>
  <c r="ED233" i="25"/>
  <c r="ED234" i="25"/>
  <c r="ED235" i="25"/>
  <c r="ED236" i="25"/>
  <c r="ED237" i="25"/>
  <c r="ED238" i="25"/>
  <c r="ED239" i="25"/>
  <c r="ED240" i="25"/>
  <c r="ED241" i="25"/>
  <c r="ED242" i="25"/>
  <c r="ED243" i="25"/>
  <c r="ED244" i="25"/>
  <c r="ED245" i="25"/>
  <c r="ED246" i="25"/>
  <c r="ED247" i="25"/>
  <c r="ED248" i="25"/>
  <c r="ED249" i="25"/>
  <c r="ED250" i="25"/>
  <c r="ED251" i="25"/>
  <c r="ED252" i="25"/>
  <c r="ED253" i="25"/>
  <c r="ED254" i="25"/>
  <c r="ED255" i="25"/>
  <c r="ED256" i="25"/>
  <c r="ED257" i="25"/>
  <c r="ED258" i="25"/>
  <c r="ED259" i="25"/>
  <c r="ED260" i="25"/>
  <c r="ED261" i="25"/>
  <c r="ED262" i="25"/>
  <c r="ED263" i="25"/>
  <c r="ED264" i="25"/>
  <c r="ED265" i="25"/>
  <c r="ED266" i="25"/>
  <c r="ED267" i="25"/>
  <c r="ED268" i="25"/>
  <c r="ED269" i="25"/>
  <c r="ED270" i="25"/>
  <c r="ED271" i="25"/>
  <c r="ED272" i="25"/>
  <c r="ED273" i="25"/>
  <c r="ED274" i="25"/>
  <c r="ED275" i="25"/>
  <c r="ED276" i="25"/>
  <c r="ED277" i="25"/>
  <c r="ED278" i="25"/>
  <c r="ED279" i="25"/>
  <c r="ED280" i="25"/>
  <c r="ED281" i="25"/>
  <c r="ED282" i="25"/>
  <c r="ED283" i="25"/>
  <c r="ED284" i="25"/>
  <c r="ED285" i="25"/>
  <c r="ED286" i="25"/>
  <c r="ED287" i="25"/>
  <c r="ED288" i="25"/>
  <c r="ED289" i="25"/>
  <c r="ED290" i="25"/>
  <c r="ED291" i="25"/>
  <c r="ED292" i="25"/>
  <c r="ED293" i="25"/>
  <c r="ED294" i="25"/>
  <c r="ED295" i="25"/>
  <c r="ED296" i="25"/>
  <c r="ED297" i="25"/>
  <c r="ED298" i="25"/>
  <c r="ED299" i="25"/>
  <c r="ED300" i="25"/>
  <c r="ED301" i="25"/>
  <c r="ED302" i="25"/>
  <c r="ED303" i="25"/>
  <c r="ED304" i="25"/>
  <c r="ED305" i="25"/>
  <c r="ED306" i="25"/>
  <c r="ED307" i="25"/>
  <c r="ED308" i="25"/>
  <c r="ED309" i="25"/>
  <c r="ED310" i="25"/>
  <c r="ED311" i="25"/>
  <c r="ED312" i="25"/>
  <c r="ED313" i="25"/>
  <c r="ED314" i="25"/>
  <c r="ED315" i="25"/>
  <c r="ED316" i="25"/>
  <c r="ED317" i="25"/>
  <c r="ED318" i="25"/>
  <c r="ED319" i="25"/>
  <c r="ED217" i="25"/>
  <c r="ED218" i="25"/>
  <c r="Q219" i="25"/>
  <c r="Q220" i="25"/>
  <c r="Q221" i="25"/>
  <c r="Q222" i="25"/>
  <c r="Q223" i="25"/>
  <c r="Q224" i="25"/>
  <c r="Q225" i="25"/>
  <c r="Q226" i="25"/>
  <c r="Q227" i="25"/>
  <c r="Q228" i="25"/>
  <c r="Q229" i="25"/>
  <c r="Q230" i="25"/>
  <c r="Q231" i="25"/>
  <c r="Q232" i="25"/>
  <c r="Q233" i="25"/>
  <c r="Q234" i="25"/>
  <c r="Q235" i="25"/>
  <c r="Q236" i="25"/>
  <c r="Q237" i="25"/>
  <c r="Q238" i="25"/>
  <c r="Q239" i="25"/>
  <c r="Q240" i="25"/>
  <c r="Q241" i="25"/>
  <c r="Q242" i="25"/>
  <c r="Q243" i="25"/>
  <c r="Q244" i="25"/>
  <c r="Q245" i="25"/>
  <c r="Q246" i="25"/>
  <c r="Q247" i="25"/>
  <c r="Q248" i="25"/>
  <c r="Q249" i="25"/>
  <c r="Q250" i="25"/>
  <c r="Q251" i="25"/>
  <c r="Q252" i="25"/>
  <c r="Q253" i="25"/>
  <c r="Q254" i="25"/>
  <c r="Q255" i="25"/>
  <c r="Q256" i="25"/>
  <c r="Q257" i="25"/>
  <c r="Q258" i="25"/>
  <c r="Q259" i="25"/>
  <c r="Q260" i="25"/>
  <c r="Q261" i="25"/>
  <c r="Q262" i="25"/>
  <c r="Q263" i="25"/>
  <c r="Q264" i="25"/>
  <c r="Q265" i="25"/>
  <c r="Q266" i="25"/>
  <c r="Q267" i="25"/>
  <c r="Q268" i="25"/>
  <c r="Q269" i="25"/>
  <c r="Q270" i="25"/>
  <c r="Q271" i="25"/>
  <c r="Q272" i="25"/>
  <c r="Q273" i="25"/>
  <c r="Q274" i="25"/>
  <c r="Q275" i="25"/>
  <c r="Q276" i="25"/>
  <c r="Q277" i="25"/>
  <c r="Q278" i="25"/>
  <c r="Q279" i="25"/>
  <c r="Q280" i="25"/>
  <c r="Q281" i="25"/>
  <c r="Q282" i="25"/>
  <c r="Q283" i="25"/>
  <c r="Q284" i="25"/>
  <c r="Q285" i="25"/>
  <c r="Q286" i="25"/>
  <c r="Q287" i="25"/>
  <c r="Q288" i="25"/>
  <c r="Q289" i="25"/>
  <c r="Q290" i="25"/>
  <c r="Q291" i="25"/>
  <c r="Q292" i="25"/>
  <c r="Q293" i="25"/>
  <c r="Q294" i="25"/>
  <c r="Q295" i="25"/>
  <c r="Q296" i="25"/>
  <c r="Q297" i="25"/>
  <c r="Q298" i="25"/>
  <c r="Q299" i="25"/>
  <c r="Q300" i="25"/>
  <c r="Q301" i="25"/>
  <c r="Q302" i="25"/>
  <c r="Q303" i="25"/>
  <c r="Q304" i="25"/>
  <c r="Q305" i="25"/>
  <c r="Q306" i="25"/>
  <c r="Q307" i="25"/>
  <c r="Q308" i="25"/>
  <c r="Q309" i="25"/>
  <c r="Q310" i="25"/>
  <c r="Q311" i="25"/>
  <c r="Q312" i="25"/>
  <c r="Q313" i="25"/>
  <c r="Q314" i="25"/>
  <c r="Q315" i="25"/>
  <c r="Q316" i="25"/>
  <c r="Q317" i="25"/>
  <c r="Q318" i="25"/>
  <c r="Q319" i="25"/>
  <c r="Q217" i="25"/>
  <c r="Q218" i="25"/>
  <c r="Q5" i="25"/>
  <c r="Q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Q66" i="25"/>
  <c r="Q67" i="25"/>
  <c r="Q68" i="25"/>
  <c r="Q69" i="25"/>
  <c r="Q70" i="25"/>
  <c r="Q71" i="25"/>
  <c r="Q72" i="25"/>
  <c r="Q73" i="25"/>
  <c r="Q74" i="25"/>
  <c r="Q75" i="25"/>
  <c r="Q76" i="25"/>
  <c r="Q77" i="25"/>
  <c r="Q78" i="25"/>
  <c r="Q79" i="25"/>
  <c r="Q80" i="25"/>
  <c r="Q81" i="25"/>
  <c r="Q82" i="25"/>
  <c r="Q83" i="25"/>
  <c r="Q84" i="25"/>
  <c r="Q85" i="25"/>
  <c r="Q86" i="25"/>
  <c r="Q87" i="25"/>
  <c r="Q88" i="25"/>
  <c r="Q89" i="25"/>
  <c r="Q90" i="25"/>
  <c r="Q91" i="25"/>
  <c r="Q92" i="25"/>
  <c r="Q93" i="25"/>
  <c r="Q94" i="25"/>
  <c r="Q95" i="25"/>
  <c r="Q96" i="25"/>
  <c r="Q97" i="25"/>
  <c r="Q98" i="25"/>
  <c r="Q99" i="25"/>
  <c r="Q100" i="25"/>
  <c r="Q101" i="25"/>
  <c r="Q102" i="25"/>
  <c r="Q103" i="25"/>
  <c r="Q104" i="25"/>
  <c r="Q2" i="25"/>
  <c r="Q3" i="25"/>
  <c r="Q4" i="25"/>
  <c r="ED4" i="25"/>
  <c r="ED5" i="25"/>
  <c r="ED6" i="25"/>
  <c r="ED7" i="25"/>
  <c r="ED8" i="25"/>
  <c r="ED9" i="25"/>
  <c r="ED10" i="25"/>
  <c r="ED11" i="25"/>
  <c r="ED12" i="25"/>
  <c r="ED13" i="25"/>
  <c r="ED14" i="25"/>
  <c r="ED15" i="25"/>
  <c r="ED16" i="25"/>
  <c r="ED17" i="25"/>
  <c r="ED18" i="25"/>
  <c r="ED19" i="25"/>
  <c r="ED20" i="25"/>
  <c r="ED21" i="25"/>
  <c r="ED22" i="25"/>
  <c r="ED23" i="25"/>
  <c r="ED24" i="25"/>
  <c r="ED25" i="25"/>
  <c r="ED26" i="25"/>
  <c r="ED27" i="25"/>
  <c r="ED28" i="25"/>
  <c r="ED29" i="25"/>
  <c r="ED30" i="25"/>
  <c r="ED31" i="25"/>
  <c r="ED32" i="25"/>
  <c r="ED33" i="25"/>
  <c r="ED34" i="25"/>
  <c r="ED35" i="25"/>
  <c r="ED36" i="25"/>
  <c r="ED37" i="25"/>
  <c r="ED38" i="25"/>
  <c r="ED39" i="25"/>
  <c r="ED40" i="25"/>
  <c r="ED41" i="25"/>
  <c r="ED42" i="25"/>
  <c r="ED43" i="25"/>
  <c r="ED44" i="25"/>
  <c r="ED45" i="25"/>
  <c r="ED46" i="25"/>
  <c r="ED47" i="25"/>
  <c r="ED48" i="25"/>
  <c r="ED49" i="25"/>
  <c r="ED50" i="25"/>
  <c r="ED51" i="25"/>
  <c r="ED52" i="25"/>
  <c r="ED53" i="25"/>
  <c r="ED54" i="25"/>
  <c r="ED55" i="25"/>
  <c r="ED56" i="25"/>
  <c r="ED57" i="25"/>
  <c r="ED58" i="25"/>
  <c r="ED59" i="25"/>
  <c r="ED60" i="25"/>
  <c r="ED61" i="25"/>
  <c r="ED62" i="25"/>
  <c r="ED63" i="25"/>
  <c r="ED64" i="25"/>
  <c r="ED65" i="25"/>
  <c r="ED66" i="25"/>
  <c r="ED67" i="25"/>
  <c r="ED68" i="25"/>
  <c r="ED69" i="25"/>
  <c r="ED70" i="25"/>
  <c r="ED71" i="25"/>
  <c r="ED72" i="25"/>
  <c r="ED73" i="25"/>
  <c r="ED74" i="25"/>
  <c r="ED75" i="25"/>
  <c r="ED76" i="25"/>
  <c r="ED77" i="25"/>
  <c r="ED78" i="25"/>
  <c r="ED79" i="25"/>
  <c r="ED80" i="25"/>
  <c r="ED81" i="25"/>
  <c r="ED82" i="25"/>
  <c r="ED83" i="25"/>
  <c r="ED84" i="25"/>
  <c r="ED85" i="25"/>
  <c r="ED86" i="25"/>
  <c r="ED87" i="25"/>
  <c r="ED88" i="25"/>
  <c r="ED89" i="25"/>
  <c r="ED90" i="25"/>
  <c r="ED91" i="25"/>
  <c r="ED92" i="25"/>
  <c r="ED93" i="25"/>
  <c r="ED94" i="25"/>
  <c r="ED95" i="25"/>
  <c r="ED96" i="25"/>
  <c r="ED97" i="25"/>
  <c r="ED98" i="25"/>
  <c r="ED99" i="25"/>
  <c r="ED100" i="25"/>
  <c r="ED101" i="25"/>
  <c r="ED102" i="25"/>
  <c r="ED103" i="25"/>
  <c r="ED104" i="25"/>
  <c r="ED2" i="25"/>
  <c r="ED3" i="25"/>
  <c r="Q112" i="25"/>
  <c r="Q113" i="25"/>
  <c r="Q114" i="25"/>
  <c r="Q115" i="25"/>
  <c r="Q116" i="25"/>
  <c r="Q117" i="25"/>
  <c r="Q118" i="25"/>
  <c r="Q119" i="25"/>
  <c r="Q120" i="25"/>
  <c r="Q121" i="25"/>
  <c r="Q122" i="25"/>
  <c r="Q123" i="25"/>
  <c r="Q124" i="25"/>
  <c r="Q125" i="25"/>
  <c r="Q126" i="25"/>
  <c r="Q127" i="25"/>
  <c r="Q128" i="25"/>
  <c r="Q129" i="25"/>
  <c r="Q130" i="25"/>
  <c r="Q131" i="25"/>
  <c r="Q132" i="25"/>
  <c r="Q133" i="25"/>
  <c r="Q134" i="25"/>
  <c r="Q135" i="25"/>
  <c r="Q136" i="25"/>
  <c r="Q137" i="25"/>
  <c r="Q138" i="25"/>
  <c r="Q139" i="25"/>
  <c r="Q140" i="25"/>
  <c r="Q141" i="25"/>
  <c r="Q142" i="25"/>
  <c r="Q143" i="25"/>
  <c r="Q144" i="25"/>
  <c r="Q145" i="25"/>
  <c r="Q146" i="25"/>
  <c r="Q147" i="25"/>
  <c r="Q148" i="25"/>
  <c r="Q149" i="25"/>
  <c r="Q150" i="25"/>
  <c r="Q151" i="25"/>
  <c r="Q152" i="25"/>
  <c r="Q153" i="25"/>
  <c r="Q154" i="25"/>
  <c r="Q155" i="25"/>
  <c r="Q156" i="25"/>
  <c r="Q157" i="25"/>
  <c r="Q158" i="25"/>
  <c r="Q159" i="25"/>
  <c r="Q160" i="25"/>
  <c r="Q161" i="25"/>
  <c r="Q162" i="25"/>
  <c r="Q163" i="25"/>
  <c r="Q164" i="25"/>
  <c r="Q165" i="25"/>
  <c r="Q166" i="25"/>
  <c r="Q167" i="25"/>
  <c r="Q168" i="25"/>
  <c r="Q169" i="25"/>
  <c r="Q170" i="25"/>
  <c r="Q171" i="25"/>
  <c r="Q172" i="25"/>
  <c r="Q173" i="25"/>
  <c r="Q174" i="25"/>
  <c r="Q175" i="25"/>
  <c r="Q176" i="25"/>
  <c r="Q177" i="25"/>
  <c r="Q178" i="25"/>
  <c r="Q179" i="25"/>
  <c r="Q180" i="25"/>
  <c r="Q181" i="25"/>
  <c r="Q182" i="25"/>
  <c r="Q183" i="25"/>
  <c r="Q184" i="25"/>
  <c r="Q185" i="25"/>
  <c r="Q186" i="25"/>
  <c r="Q187" i="25"/>
  <c r="Q188" i="25"/>
  <c r="Q189" i="25"/>
  <c r="Q190" i="25"/>
  <c r="Q191" i="25"/>
  <c r="Q192" i="25"/>
  <c r="Q193" i="25"/>
  <c r="Q194" i="25"/>
  <c r="Q195" i="25"/>
  <c r="Q196" i="25"/>
  <c r="Q197" i="25"/>
  <c r="Q198" i="25"/>
  <c r="Q199" i="25"/>
  <c r="Q200" i="25"/>
  <c r="Q201" i="25"/>
  <c r="Q202" i="25"/>
  <c r="Q203" i="25"/>
  <c r="Q204" i="25"/>
  <c r="Q205" i="25"/>
  <c r="Q206" i="25"/>
  <c r="Q207" i="25"/>
  <c r="Q208" i="25"/>
  <c r="Q209" i="25"/>
  <c r="Q210" i="25"/>
  <c r="Q211" i="25"/>
  <c r="Q212" i="25"/>
  <c r="Q110" i="25"/>
  <c r="Q111" i="25"/>
  <c r="B2" i="9" l="1"/>
  <c r="W185" i="15"/>
  <c r="G28" i="9" l="1"/>
  <c r="W129" i="15" l="1"/>
  <c r="B38" i="29" l="1"/>
  <c r="D38" i="29" s="1"/>
  <c r="D5" i="29" s="1"/>
  <c r="C29" i="29"/>
  <c r="C6" i="29"/>
  <c r="C4" i="29"/>
  <c r="F42" i="29"/>
  <c r="D48" i="29" s="1"/>
  <c r="E42" i="29"/>
  <c r="F41" i="29"/>
  <c r="D47" i="29" s="1"/>
  <c r="E41" i="29"/>
  <c r="F40" i="29"/>
  <c r="D45" i="29" s="1"/>
  <c r="E40" i="29"/>
  <c r="F39" i="29"/>
  <c r="E39" i="29"/>
  <c r="B27" i="29"/>
  <c r="D8" i="29"/>
  <c r="B43" i="29" l="1"/>
  <c r="B306" i="15" s="1"/>
  <c r="D46" i="29"/>
  <c r="V189" i="15"/>
  <c r="G189" i="15"/>
  <c r="Q189" i="15"/>
  <c r="L189" i="15"/>
  <c r="D4" i="29"/>
  <c r="Q133" i="15"/>
  <c r="L133" i="15"/>
  <c r="V133" i="15"/>
  <c r="G133" i="15"/>
  <c r="C23" i="29"/>
  <c r="J26" i="9"/>
  <c r="B30" i="29"/>
  <c r="C7" i="29" s="1"/>
  <c r="C10" i="29" s="1"/>
  <c r="C43" i="29"/>
  <c r="C38" i="29"/>
  <c r="C5" i="29" s="1"/>
  <c r="C11" i="29" l="1"/>
  <c r="C18" i="29"/>
  <c r="C24" i="29"/>
  <c r="C16" i="29"/>
  <c r="C17" i="29" s="1"/>
  <c r="C26" i="29" l="1"/>
  <c r="C27" i="29" s="1"/>
  <c r="C25" i="29"/>
  <c r="C22" i="29" l="1"/>
  <c r="D27" i="29"/>
  <c r="C64" i="22" l="1"/>
  <c r="D64" i="22" s="1"/>
  <c r="E64" i="22" s="1"/>
  <c r="C61" i="22"/>
  <c r="ED109" i="25" l="1"/>
  <c r="D143" i="22" l="1"/>
  <c r="W302" i="15" l="1"/>
  <c r="W243" i="15"/>
  <c r="C94" i="22" l="1"/>
  <c r="D94" i="22" s="1"/>
  <c r="S4" i="15" s="1"/>
  <c r="Q326" i="25" l="1"/>
  <c r="U64" i="15" l="1"/>
  <c r="C152" i="22" l="1"/>
  <c r="ED216" i="25"/>
  <c r="Q216" i="25"/>
  <c r="C317" i="15"/>
  <c r="Q109" i="25"/>
  <c r="D1" i="26"/>
  <c r="K4" i="26" s="1"/>
  <c r="R5" i="9"/>
  <c r="E150" i="22"/>
  <c r="C142" i="22" s="1"/>
  <c r="D158" i="22"/>
  <c r="B156" i="22" s="1"/>
  <c r="E156" i="22"/>
  <c r="D134" i="22"/>
  <c r="D107" i="22"/>
  <c r="D106" i="22"/>
  <c r="D101" i="22"/>
  <c r="B355" i="15" s="1"/>
  <c r="D100" i="22"/>
  <c r="D96" i="22"/>
  <c r="C22" i="22"/>
  <c r="C28" i="22"/>
  <c r="J1" i="25"/>
  <c r="C72" i="22"/>
  <c r="E82" i="22" s="1"/>
  <c r="B74" i="22" s="1"/>
  <c r="C74" i="22" s="1"/>
  <c r="H25" i="22"/>
  <c r="I25" i="22" s="1"/>
  <c r="J11" i="22"/>
  <c r="ED1" i="25"/>
  <c r="AL2" i="22"/>
  <c r="C10" i="22"/>
  <c r="C4" i="22" s="1"/>
  <c r="C18" i="22"/>
  <c r="D18" i="22" s="1"/>
  <c r="D19" i="22" s="1"/>
  <c r="C32" i="22"/>
  <c r="C41" i="22"/>
  <c r="C43" i="22"/>
  <c r="AD59" i="22"/>
  <c r="AD60" i="22"/>
  <c r="AD61" i="22"/>
  <c r="AD62" i="22"/>
  <c r="AD63" i="22"/>
  <c r="AD64" i="22"/>
  <c r="AD65" i="22"/>
  <c r="AD66" i="22"/>
  <c r="AD67" i="22"/>
  <c r="AD68" i="22"/>
  <c r="AD69" i="22"/>
  <c r="P22" i="22"/>
  <c r="P21" i="22"/>
  <c r="P20" i="22"/>
  <c r="P10" i="22"/>
  <c r="P11" i="22"/>
  <c r="P12" i="22"/>
  <c r="P13" i="22"/>
  <c r="P14" i="22"/>
  <c r="D11" i="22"/>
  <c r="D12" i="22"/>
  <c r="D33" i="22"/>
  <c r="P15" i="22"/>
  <c r="P16" i="22"/>
  <c r="P17" i="22"/>
  <c r="P18" i="22"/>
  <c r="P19" i="22"/>
  <c r="Q1" i="25"/>
  <c r="AD2" i="22"/>
  <c r="AD10" i="22"/>
  <c r="AD50" i="22"/>
  <c r="AD51" i="22"/>
  <c r="AD52" i="22"/>
  <c r="AD53" i="22"/>
  <c r="AD54" i="22"/>
  <c r="AD55" i="22"/>
  <c r="AD56" i="22"/>
  <c r="AD57" i="22"/>
  <c r="AD58" i="22"/>
  <c r="B2" i="15"/>
  <c r="B44" i="9"/>
  <c r="B16" i="22"/>
  <c r="D21" i="22"/>
  <c r="R4" i="15"/>
  <c r="AD3" i="22"/>
  <c r="AD4" i="22"/>
  <c r="I11" i="22"/>
  <c r="AD5" i="22"/>
  <c r="AD6" i="22"/>
  <c r="AD7" i="22"/>
  <c r="AD8" i="22"/>
  <c r="AD9"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K11" i="22" l="1"/>
  <c r="F301" i="15"/>
  <c r="F184" i="15"/>
  <c r="F126" i="15"/>
  <c r="F360" i="15"/>
  <c r="F242" i="15"/>
  <c r="C326" i="15"/>
  <c r="T5" i="15"/>
  <c r="B183" i="15"/>
  <c r="B241" i="15"/>
  <c r="C45" i="22"/>
  <c r="C40" i="22"/>
  <c r="C73" i="22"/>
  <c r="C82" i="22"/>
  <c r="C81" i="22"/>
  <c r="O44" i="9"/>
  <c r="L11" i="22"/>
  <c r="D13" i="9"/>
  <c r="D14" i="9" s="1"/>
  <c r="N13" i="9"/>
  <c r="N14" i="9" s="1"/>
  <c r="I12" i="9"/>
  <c r="C159" i="22"/>
  <c r="C153" i="22"/>
  <c r="D152" i="22" s="1"/>
  <c r="D144" i="22"/>
  <c r="D142" i="22"/>
  <c r="K12" i="9" s="1"/>
  <c r="C150" i="22"/>
  <c r="F63" i="15"/>
  <c r="B359" i="15"/>
  <c r="B300" i="15"/>
  <c r="B125" i="15"/>
  <c r="AK39" i="22"/>
  <c r="AK37" i="22"/>
  <c r="AK88" i="22"/>
  <c r="AK41" i="22"/>
  <c r="AK44" i="22"/>
  <c r="AK4" i="22"/>
  <c r="AK45" i="22"/>
  <c r="AK79" i="22"/>
  <c r="AK43" i="22"/>
  <c r="AK85" i="22"/>
  <c r="AK80" i="22"/>
  <c r="AK82" i="22"/>
  <c r="AK90" i="22"/>
  <c r="AK40" i="22"/>
  <c r="AK42" i="22"/>
  <c r="AK86" i="22"/>
  <c r="AK81" i="22"/>
  <c r="AK84" i="22"/>
  <c r="AK83" i="22"/>
  <c r="AK87" i="22"/>
  <c r="AK38" i="22"/>
  <c r="AK5" i="22"/>
  <c r="AK89" i="22"/>
  <c r="W7" i="15"/>
  <c r="E74" i="22"/>
  <c r="E75" i="22"/>
  <c r="E76" i="22"/>
  <c r="B3" i="22"/>
  <c r="E4" i="22" s="1"/>
  <c r="E3" i="22"/>
  <c r="D13" i="22" s="1"/>
  <c r="D3" i="22"/>
  <c r="D10" i="22"/>
  <c r="B62" i="15"/>
  <c r="B245" i="15"/>
  <c r="D22" i="22"/>
  <c r="H58" i="22"/>
  <c r="C24" i="22"/>
  <c r="D156" i="22"/>
  <c r="C156" i="22"/>
  <c r="D159" i="22" s="1"/>
  <c r="O15" i="9" s="1"/>
  <c r="Q44" i="9"/>
  <c r="D105" i="22"/>
  <c r="W360" i="15" s="1"/>
  <c r="D121" i="22"/>
  <c r="W414" i="15" s="1"/>
  <c r="B95" i="22"/>
  <c r="D95" i="22" s="1"/>
  <c r="E157" i="22"/>
  <c r="W242" i="15" l="1"/>
  <c r="W301" i="15"/>
  <c r="W126" i="15"/>
  <c r="W184" i="15"/>
  <c r="E4" i="15"/>
  <c r="D86" i="22"/>
  <c r="E86" i="22" s="1"/>
  <c r="E25" i="22"/>
  <c r="D45" i="22"/>
  <c r="J13" i="22"/>
  <c r="C56" i="22"/>
  <c r="B1" i="26" s="1"/>
  <c r="C16" i="22"/>
  <c r="C15" i="22"/>
  <c r="D4" i="22" s="1"/>
  <c r="F4" i="22" s="1"/>
  <c r="C26" i="22"/>
  <c r="J36" i="9" s="1"/>
  <c r="N11" i="22"/>
  <c r="M11" i="22"/>
  <c r="B152" i="22"/>
  <c r="E153" i="22" s="1"/>
  <c r="E152" i="22" s="1"/>
  <c r="E154" i="22" s="1"/>
  <c r="E155" i="22" s="1"/>
  <c r="D147" i="22"/>
  <c r="AK6" i="22"/>
  <c r="E24" i="22"/>
  <c r="E5" i="22"/>
  <c r="E6" i="22" s="1"/>
  <c r="W63" i="15"/>
  <c r="I35" i="22"/>
  <c r="H19" i="22"/>
  <c r="H17" i="22"/>
  <c r="L35" i="22"/>
  <c r="D24" i="22"/>
  <c r="H21" i="22"/>
  <c r="I31" i="22"/>
  <c r="E39" i="22"/>
  <c r="I37" i="22"/>
  <c r="L33" i="22"/>
  <c r="C38" i="22"/>
  <c r="P19" i="9"/>
  <c r="M34" i="22"/>
  <c r="H20" i="22"/>
  <c r="T19" i="9"/>
  <c r="M32" i="22"/>
  <c r="I32" i="22"/>
  <c r="M35" i="22"/>
  <c r="C39" i="22"/>
  <c r="H18" i="22"/>
  <c r="P17" i="9"/>
  <c r="I33" i="22"/>
  <c r="I36" i="22"/>
  <c r="M33" i="22"/>
  <c r="M31" i="22"/>
  <c r="L34" i="22"/>
  <c r="I34" i="22"/>
  <c r="B158" i="22"/>
  <c r="B157" i="22"/>
  <c r="D98" i="22"/>
  <c r="D97" i="22"/>
  <c r="W316" i="15" l="1"/>
  <c r="C44" i="22"/>
  <c r="C47" i="22" s="1"/>
  <c r="N43" i="22" s="1"/>
  <c r="I13" i="22"/>
  <c r="K13" i="22" s="1"/>
  <c r="D40" i="22"/>
  <c r="AK7" i="22"/>
  <c r="AK8" i="22" s="1"/>
  <c r="C42" i="22"/>
  <c r="F5" i="22"/>
  <c r="F6" i="22"/>
  <c r="D14" i="22"/>
  <c r="D20" i="22"/>
  <c r="D5" i="22"/>
  <c r="D6" i="22"/>
  <c r="D38" i="22"/>
  <c r="I12" i="22"/>
  <c r="T17" i="9"/>
  <c r="J12" i="22"/>
  <c r="D39" i="22"/>
  <c r="F39" i="22"/>
  <c r="R21" i="9" s="1"/>
  <c r="A20" i="9"/>
  <c r="L10" i="26"/>
  <c r="L18" i="26"/>
  <c r="L28" i="26"/>
  <c r="L135" i="26"/>
  <c r="L137" i="26"/>
  <c r="L68" i="26"/>
  <c r="L106" i="26"/>
  <c r="L220" i="26"/>
  <c r="L247" i="26"/>
  <c r="L81" i="26"/>
  <c r="L115" i="26"/>
  <c r="L317" i="26"/>
  <c r="L188" i="26"/>
  <c r="L238" i="26"/>
  <c r="L108" i="26"/>
  <c r="L320" i="26"/>
  <c r="L165" i="26"/>
  <c r="L245" i="26"/>
  <c r="L38" i="26"/>
  <c r="L51" i="26"/>
  <c r="L274" i="26"/>
  <c r="L223" i="26"/>
  <c r="L210" i="26"/>
  <c r="L297" i="26"/>
  <c r="L303" i="26"/>
  <c r="L74" i="26"/>
  <c r="L337" i="26"/>
  <c r="L285" i="26"/>
  <c r="L324" i="26"/>
  <c r="L296" i="26"/>
  <c r="L160" i="26"/>
  <c r="L152" i="26"/>
  <c r="L89" i="26"/>
  <c r="L255" i="26"/>
  <c r="L58" i="26"/>
  <c r="L91" i="26"/>
  <c r="L294" i="26"/>
  <c r="L328" i="26"/>
  <c r="L333" i="26"/>
  <c r="L269" i="26"/>
  <c r="L20" i="26"/>
  <c r="L190" i="26"/>
  <c r="L299" i="26"/>
  <c r="L21" i="26"/>
  <c r="L117" i="26"/>
  <c r="L332" i="26"/>
  <c r="L305" i="26"/>
  <c r="L16" i="26"/>
  <c r="L226" i="26"/>
  <c r="L84" i="26"/>
  <c r="L237" i="26"/>
  <c r="L249" i="26"/>
  <c r="L197" i="26"/>
  <c r="L26" i="26"/>
  <c r="L289" i="26"/>
  <c r="L52" i="26"/>
  <c r="L239" i="26"/>
  <c r="L64" i="26"/>
  <c r="L35" i="26"/>
  <c r="L287" i="26"/>
  <c r="L254" i="26"/>
  <c r="L140" i="26"/>
  <c r="L141" i="26"/>
  <c r="L277" i="26"/>
  <c r="L168" i="26"/>
  <c r="L198" i="26"/>
  <c r="L14" i="26"/>
  <c r="L224" i="26"/>
  <c r="L173" i="26"/>
  <c r="L293" i="26"/>
  <c r="L94" i="26"/>
  <c r="L163" i="26"/>
  <c r="L282" i="26"/>
  <c r="L271" i="26"/>
  <c r="L93" i="26"/>
  <c r="L209" i="26"/>
  <c r="L95" i="26"/>
  <c r="L130" i="26"/>
  <c r="L27" i="26"/>
  <c r="L71" i="26"/>
  <c r="L153" i="26"/>
  <c r="L119" i="26"/>
  <c r="L196" i="26"/>
  <c r="L193" i="26"/>
  <c r="L96" i="26"/>
  <c r="L12" i="26"/>
  <c r="L9" i="26"/>
  <c r="L180" i="26"/>
  <c r="L206" i="26"/>
  <c r="L44" i="26"/>
  <c r="L311" i="26"/>
  <c r="L229" i="26"/>
  <c r="L4" i="26"/>
  <c r="L150" i="26"/>
  <c r="L279" i="26"/>
  <c r="L244" i="26"/>
  <c r="L125" i="26"/>
  <c r="L123" i="26"/>
  <c r="L46" i="26"/>
  <c r="L67" i="26"/>
  <c r="L234" i="26"/>
  <c r="L100" i="26"/>
  <c r="L8" i="26"/>
  <c r="L161" i="26"/>
  <c r="L127" i="26"/>
  <c r="L82" i="26"/>
  <c r="L139" i="26"/>
  <c r="L88" i="26"/>
  <c r="L105" i="26"/>
  <c r="L148" i="26"/>
  <c r="L103" i="26"/>
  <c r="L145" i="26"/>
  <c r="L15" i="26"/>
  <c r="L200" i="26"/>
  <c r="L5" i="26"/>
  <c r="L304" i="26"/>
  <c r="L158" i="26"/>
  <c r="L327" i="26"/>
  <c r="L243" i="26"/>
  <c r="L181" i="26"/>
  <c r="L292" i="26"/>
  <c r="L102" i="26"/>
  <c r="L211" i="26"/>
  <c r="L338" i="26"/>
  <c r="L77" i="26"/>
  <c r="L258" i="26"/>
  <c r="L313" i="26"/>
  <c r="L179" i="26"/>
  <c r="L186" i="26"/>
  <c r="L260" i="26"/>
  <c r="L56" i="26"/>
  <c r="L113" i="26"/>
  <c r="L53" i="26"/>
  <c r="L34" i="26"/>
  <c r="L43" i="26"/>
  <c r="L318" i="26"/>
  <c r="L57" i="26"/>
  <c r="L87" i="26"/>
  <c r="L120" i="26"/>
  <c r="L97" i="26"/>
  <c r="L335" i="26"/>
  <c r="L48" i="26"/>
  <c r="L295" i="26"/>
  <c r="L267" i="26"/>
  <c r="L329" i="26"/>
  <c r="L275" i="26"/>
  <c r="L298" i="26"/>
  <c r="L37" i="26"/>
  <c r="L114" i="26"/>
  <c r="L273" i="26"/>
  <c r="L29" i="26"/>
  <c r="L194" i="26"/>
  <c r="L308" i="26"/>
  <c r="L263" i="26"/>
  <c r="L169" i="26"/>
  <c r="L149" i="26"/>
  <c r="L42" i="26"/>
  <c r="L59" i="26"/>
  <c r="L230" i="26"/>
  <c r="L92" i="26"/>
  <c r="L268" i="26"/>
  <c r="L205" i="26"/>
  <c r="L111" i="26"/>
  <c r="L174" i="26"/>
  <c r="L203" i="26"/>
  <c r="L266" i="26"/>
  <c r="L214" i="26"/>
  <c r="L60" i="26"/>
  <c r="L228" i="26"/>
  <c r="L11" i="26"/>
  <c r="L191" i="26"/>
  <c r="L256" i="26"/>
  <c r="L281" i="26"/>
  <c r="L207" i="26"/>
  <c r="L250" i="26"/>
  <c r="L132" i="26"/>
  <c r="L107" i="26"/>
  <c r="L225" i="26"/>
  <c r="L24" i="26"/>
  <c r="L146" i="26"/>
  <c r="L240" i="26"/>
  <c r="L283" i="26"/>
  <c r="L121" i="26"/>
  <c r="L215" i="26"/>
  <c r="L309" i="26"/>
  <c r="L40" i="26"/>
  <c r="L182" i="26"/>
  <c r="L251" i="26"/>
  <c r="L55" i="26"/>
  <c r="L157" i="26"/>
  <c r="L176" i="26"/>
  <c r="L126" i="26"/>
  <c r="L22" i="26"/>
  <c r="L218" i="26"/>
  <c r="L166" i="26"/>
  <c r="L32" i="26"/>
  <c r="L248" i="26"/>
  <c r="L6" i="26"/>
  <c r="L259" i="26"/>
  <c r="L23" i="26"/>
  <c r="L124" i="26"/>
  <c r="L116" i="26"/>
  <c r="L280" i="26"/>
  <c r="L192" i="26"/>
  <c r="L183" i="26"/>
  <c r="L212" i="26"/>
  <c r="L76" i="26"/>
  <c r="L70" i="26"/>
  <c r="L7" i="26"/>
  <c r="L75" i="26"/>
  <c r="L252" i="26"/>
  <c r="L33" i="26"/>
  <c r="L49" i="26"/>
  <c r="L80" i="26"/>
  <c r="L112" i="26"/>
  <c r="L99" i="26"/>
  <c r="L288" i="26"/>
  <c r="L83" i="26"/>
  <c r="L172" i="26"/>
  <c r="L231" i="26"/>
  <c r="L155" i="26"/>
  <c r="L147" i="26"/>
  <c r="L312" i="26"/>
  <c r="L131" i="26"/>
  <c r="L241" i="26"/>
  <c r="L13" i="26"/>
  <c r="L19" i="26"/>
  <c r="L236" i="26"/>
  <c r="L227" i="26"/>
  <c r="L195" i="26"/>
  <c r="L291" i="26"/>
  <c r="L36" i="26"/>
  <c r="L219" i="26"/>
  <c r="L276" i="26"/>
  <c r="L235" i="26"/>
  <c r="L316" i="26"/>
  <c r="L331" i="26"/>
  <c r="L47" i="26"/>
  <c r="L63" i="26"/>
  <c r="L79" i="26"/>
  <c r="L159" i="26"/>
  <c r="L164" i="26"/>
  <c r="L264" i="26"/>
  <c r="L156" i="26"/>
  <c r="L315" i="26"/>
  <c r="L144" i="26"/>
  <c r="L162" i="26"/>
  <c r="L323" i="26"/>
  <c r="L175" i="26"/>
  <c r="L189" i="26"/>
  <c r="L306" i="26"/>
  <c r="L136" i="26"/>
  <c r="L66" i="26"/>
  <c r="L143" i="26"/>
  <c r="L104" i="26"/>
  <c r="L307" i="26"/>
  <c r="L204" i="26"/>
  <c r="L128" i="26"/>
  <c r="L151" i="26"/>
  <c r="L167" i="26"/>
  <c r="L336" i="26"/>
  <c r="L216" i="26"/>
  <c r="L45" i="26"/>
  <c r="L326" i="26"/>
  <c r="L72" i="26"/>
  <c r="L284" i="26"/>
  <c r="L314" i="26"/>
  <c r="L272" i="26"/>
  <c r="L199" i="26"/>
  <c r="L62" i="26"/>
  <c r="L154" i="26"/>
  <c r="L54" i="26"/>
  <c r="L98" i="26"/>
  <c r="L142" i="26"/>
  <c r="L90" i="26"/>
  <c r="L86" i="26"/>
  <c r="L301" i="26"/>
  <c r="L78" i="26"/>
  <c r="L101" i="26"/>
  <c r="L25" i="26"/>
  <c r="L233" i="26"/>
  <c r="L325" i="26"/>
  <c r="L321" i="26"/>
  <c r="L50" i="26"/>
  <c r="L265" i="26"/>
  <c r="L261" i="26"/>
  <c r="L257" i="26"/>
  <c r="L253" i="26"/>
  <c r="L30" i="26"/>
  <c r="L310" i="26"/>
  <c r="L339" i="26"/>
  <c r="L133" i="26"/>
  <c r="L217" i="26"/>
  <c r="L109" i="26"/>
  <c r="L170" i="26"/>
  <c r="L134" i="26"/>
  <c r="L171" i="26"/>
  <c r="L85" i="26"/>
  <c r="L73" i="26"/>
  <c r="L61" i="26"/>
  <c r="L222" i="26"/>
  <c r="L302" i="26"/>
  <c r="L290" i="26"/>
  <c r="L278" i="26"/>
  <c r="L39" i="26"/>
  <c r="L187" i="26"/>
  <c r="L330" i="26"/>
  <c r="L270" i="26"/>
  <c r="L246" i="26"/>
  <c r="L110" i="26"/>
  <c r="L122" i="26"/>
  <c r="L208" i="26"/>
  <c r="L300" i="26"/>
  <c r="L138" i="26"/>
  <c r="L322" i="26"/>
  <c r="L17" i="26"/>
  <c r="L177" i="26"/>
  <c r="L213" i="26"/>
  <c r="L201" i="26"/>
  <c r="L31" i="26"/>
  <c r="L129" i="26"/>
  <c r="L69" i="26"/>
  <c r="L184" i="26"/>
  <c r="L286" i="26"/>
  <c r="L334" i="26"/>
  <c r="L242" i="26"/>
  <c r="L185" i="26"/>
  <c r="L221" i="26"/>
  <c r="L65" i="26"/>
  <c r="L262" i="26"/>
  <c r="L41" i="26"/>
  <c r="L319" i="26"/>
  <c r="L232" i="26"/>
  <c r="L118" i="26"/>
  <c r="L178" i="26"/>
  <c r="L202" i="26"/>
  <c r="A33" i="9"/>
  <c r="D25" i="22"/>
  <c r="D32" i="22"/>
  <c r="D154" i="22"/>
  <c r="I14" i="9" s="1"/>
  <c r="D155" i="22"/>
  <c r="D44" i="22" l="1"/>
  <c r="J10" i="22"/>
  <c r="D46" i="22"/>
  <c r="D146" i="22"/>
  <c r="D115" i="22"/>
  <c r="L13" i="22"/>
  <c r="N13" i="22" s="1"/>
  <c r="D145" i="22"/>
  <c r="AK9" i="22"/>
  <c r="C46" i="22"/>
  <c r="Q3" i="22" s="1"/>
  <c r="P3" i="22" s="1"/>
  <c r="P4" i="22" s="1"/>
  <c r="P5" i="22" s="1"/>
  <c r="D42" i="22"/>
  <c r="D47" i="22"/>
  <c r="R40" i="9" s="1"/>
  <c r="I10" i="22"/>
  <c r="F7" i="22"/>
  <c r="O5" i="9" s="1"/>
  <c r="R7" i="9"/>
  <c r="D122" i="22"/>
  <c r="B39" i="9" s="1"/>
  <c r="D15" i="22"/>
  <c r="D16" i="22"/>
  <c r="O7" i="9"/>
  <c r="C88" i="22"/>
  <c r="N4" i="15"/>
  <c r="D113" i="22"/>
  <c r="C57" i="22"/>
  <c r="D114" i="22"/>
  <c r="C55" i="22"/>
  <c r="N4" i="26"/>
  <c r="N5" i="26" s="1"/>
  <c r="M4" i="26"/>
  <c r="M5" i="26" s="1"/>
  <c r="C34" i="22"/>
  <c r="C50" i="22"/>
  <c r="A17" i="9"/>
  <c r="E32" i="22"/>
  <c r="K12" i="22"/>
  <c r="L12" i="22"/>
  <c r="B155" i="22"/>
  <c r="L10" i="22" l="1"/>
  <c r="N10" i="22" s="1"/>
  <c r="M13" i="22"/>
  <c r="B142" i="22"/>
  <c r="AK10" i="22"/>
  <c r="K10" i="22"/>
  <c r="C133" i="22"/>
  <c r="C135" i="22" s="1"/>
  <c r="D135" i="22" s="1"/>
  <c r="N6" i="26"/>
  <c r="N7" i="26" s="1"/>
  <c r="M6" i="26"/>
  <c r="M7" i="26" s="1"/>
  <c r="M8" i="26" s="1"/>
  <c r="D88" i="22"/>
  <c r="J61" i="22"/>
  <c r="D17" i="22"/>
  <c r="I7" i="9" s="1"/>
  <c r="P6" i="22"/>
  <c r="P7" i="22" s="1"/>
  <c r="M12" i="22"/>
  <c r="M8" i="22"/>
  <c r="N12" i="22"/>
  <c r="E15" i="9"/>
  <c r="AK11" i="22" l="1"/>
  <c r="AK12" i="22" s="1"/>
  <c r="M10" i="22"/>
  <c r="K9" i="22" s="1"/>
  <c r="D133" i="22"/>
  <c r="C27" i="22"/>
  <c r="K36" i="9" s="1"/>
  <c r="N8" i="26"/>
  <c r="N9" i="26" s="1"/>
  <c r="M9" i="26"/>
  <c r="P8" i="22"/>
  <c r="P9" i="22" s="1"/>
  <c r="L9" i="22" l="1"/>
  <c r="AK13" i="22"/>
  <c r="AK14" i="22" s="1"/>
  <c r="D28" i="22"/>
  <c r="C30" i="22" s="1"/>
  <c r="M35" i="9"/>
  <c r="D37" i="9" s="1"/>
  <c r="A35" i="9"/>
  <c r="N10" i="26"/>
  <c r="N11" i="26" s="1"/>
  <c r="M10" i="26"/>
  <c r="M11" i="26" s="1"/>
  <c r="C37" i="9" l="1"/>
  <c r="C31" i="22"/>
  <c r="C35" i="22" s="1"/>
  <c r="C49" i="22" s="1"/>
  <c r="C52" i="22" s="1"/>
  <c r="C63" i="22"/>
  <c r="C62" i="22"/>
  <c r="N48" i="9" s="1"/>
  <c r="AK15" i="22"/>
  <c r="D53" i="22"/>
  <c r="D29" i="22"/>
  <c r="N12" i="26"/>
  <c r="N13" i="26" s="1"/>
  <c r="N14" i="26" s="1"/>
  <c r="N15" i="26" s="1"/>
  <c r="M12" i="26"/>
  <c r="M13" i="26" s="1"/>
  <c r="E88" i="22" l="1"/>
  <c r="D35" i="22"/>
  <c r="C48" i="22"/>
  <c r="D49" i="22" s="1"/>
  <c r="H17" i="9" s="1"/>
  <c r="N44" i="22"/>
  <c r="AK16" i="22"/>
  <c r="AK17" i="22" s="1"/>
  <c r="AK18" i="22" s="1"/>
  <c r="AK19" i="22" s="1"/>
  <c r="AK20" i="22" s="1"/>
  <c r="AK21" i="22" s="1"/>
  <c r="AK22" i="22" s="1"/>
  <c r="AK23" i="22" s="1"/>
  <c r="AK24" i="22" s="1"/>
  <c r="AK25" i="22" s="1"/>
  <c r="AK26" i="22" s="1"/>
  <c r="AK27" i="22" s="1"/>
  <c r="AK28" i="22" s="1"/>
  <c r="AK29" i="22" s="1"/>
  <c r="AK30" i="22" s="1"/>
  <c r="AK31" i="22" s="1"/>
  <c r="AK32" i="22" s="1"/>
  <c r="AK33" i="22" s="1"/>
  <c r="AK34" i="22" s="1"/>
  <c r="AK35" i="22" s="1"/>
  <c r="AK36" i="22" s="1"/>
  <c r="AK47" i="22" s="1"/>
  <c r="A2" i="9"/>
  <c r="P33" i="9" s="1"/>
  <c r="A2" i="15"/>
  <c r="D91" i="22"/>
  <c r="D93" i="22"/>
  <c r="C86" i="22"/>
  <c r="C87" i="22" s="1"/>
  <c r="D87" i="22" s="1"/>
  <c r="M14" i="26"/>
  <c r="N16" i="26"/>
  <c r="P23" i="15" l="1"/>
  <c r="N23" i="15"/>
  <c r="L23" i="15"/>
  <c r="J23" i="15"/>
  <c r="B6" i="15"/>
  <c r="B7" i="15"/>
  <c r="B363" i="15"/>
  <c r="AK48" i="22"/>
  <c r="AK49" i="22" s="1"/>
  <c r="R23" i="15"/>
  <c r="B11" i="15"/>
  <c r="N134" i="15"/>
  <c r="S134" i="15"/>
  <c r="I134" i="15"/>
  <c r="T6" i="15"/>
  <c r="C134" i="15"/>
  <c r="B135" i="15" s="1"/>
  <c r="V135" i="15" s="1"/>
  <c r="D92" i="22"/>
  <c r="C51" i="22"/>
  <c r="E9" i="9"/>
  <c r="O35" i="9"/>
  <c r="N20" i="9"/>
  <c r="O39" i="9"/>
  <c r="R33" i="9"/>
  <c r="R37" i="9"/>
  <c r="C21" i="9"/>
  <c r="O37" i="9"/>
  <c r="R39" i="9"/>
  <c r="T23" i="15"/>
  <c r="N13" i="15"/>
  <c r="H23" i="15"/>
  <c r="B14" i="15"/>
  <c r="Q6" i="15"/>
  <c r="V23" i="15"/>
  <c r="K14" i="15"/>
  <c r="N14" i="15"/>
  <c r="B13" i="15"/>
  <c r="C23" i="15"/>
  <c r="B24" i="15" s="1"/>
  <c r="D24" i="15" s="1"/>
  <c r="K13" i="15"/>
  <c r="N6" i="15"/>
  <c r="M15" i="26"/>
  <c r="N17" i="26"/>
  <c r="P24" i="15" l="1"/>
  <c r="N24" i="15"/>
  <c r="L24" i="15"/>
  <c r="J24" i="15"/>
  <c r="T24" i="15"/>
  <c r="R24" i="15"/>
  <c r="H24" i="15"/>
  <c r="D23" i="15"/>
  <c r="F23" i="15" s="1"/>
  <c r="F24" i="15" s="1"/>
  <c r="B8" i="15"/>
  <c r="AK50" i="22"/>
  <c r="AK51" i="22" s="1"/>
  <c r="AK52" i="22" s="1"/>
  <c r="C368" i="15" s="1"/>
  <c r="D134" i="15"/>
  <c r="Q135" i="15"/>
  <c r="N135" i="15" s="1"/>
  <c r="S135" i="15"/>
  <c r="L135" i="15"/>
  <c r="I135" i="15" s="1"/>
  <c r="G135" i="15"/>
  <c r="C135" i="15"/>
  <c r="C24" i="15"/>
  <c r="V24" i="15"/>
  <c r="N18" i="26"/>
  <c r="N19" i="26" s="1"/>
  <c r="N20" i="26" s="1"/>
  <c r="N21" i="26" s="1"/>
  <c r="N22" i="26" s="1"/>
  <c r="N23" i="26" s="1"/>
  <c r="N24" i="26" s="1"/>
  <c r="N25" i="26" s="1"/>
  <c r="N26" i="26" s="1"/>
  <c r="N27" i="26" s="1"/>
  <c r="N28" i="26" s="1"/>
  <c r="N29" i="26" s="1"/>
  <c r="N30" i="26" s="1"/>
  <c r="N31" i="26" s="1"/>
  <c r="N32" i="26" s="1"/>
  <c r="N33" i="26" s="1"/>
  <c r="N34" i="26" s="1"/>
  <c r="N35" i="26" s="1"/>
  <c r="N36" i="26" s="1"/>
  <c r="N37" i="26" s="1"/>
  <c r="N38" i="26" s="1"/>
  <c r="N39" i="26" s="1"/>
  <c r="N40" i="26" s="1"/>
  <c r="N41" i="26" s="1"/>
  <c r="N42" i="26" s="1"/>
  <c r="N43" i="26" s="1"/>
  <c r="N44" i="26" s="1"/>
  <c r="N45" i="26" s="1"/>
  <c r="N46" i="26" s="1"/>
  <c r="N47" i="26" s="1"/>
  <c r="N48" i="26" s="1"/>
  <c r="N49" i="26" s="1"/>
  <c r="N50" i="26" s="1"/>
  <c r="N51" i="26" s="1"/>
  <c r="N52" i="26" s="1"/>
  <c r="N53" i="26" s="1"/>
  <c r="N54" i="26" s="1"/>
  <c r="N55" i="26" s="1"/>
  <c r="N56" i="26" s="1"/>
  <c r="N57" i="26" s="1"/>
  <c r="N58" i="26" s="1"/>
  <c r="N59" i="26" s="1"/>
  <c r="N60" i="26" s="1"/>
  <c r="N61" i="26" s="1"/>
  <c r="N62" i="26" s="1"/>
  <c r="N63" i="26" s="1"/>
  <c r="N64" i="26" s="1"/>
  <c r="N65" i="26" s="1"/>
  <c r="N66" i="26" s="1"/>
  <c r="N67" i="26" s="1"/>
  <c r="N68" i="26" s="1"/>
  <c r="N69" i="26" s="1"/>
  <c r="N70" i="26" s="1"/>
  <c r="N71" i="26" s="1"/>
  <c r="N72" i="26" s="1"/>
  <c r="N73" i="26" s="1"/>
  <c r="N74" i="26" s="1"/>
  <c r="N75" i="26" s="1"/>
  <c r="N76" i="26" s="1"/>
  <c r="N77" i="26" s="1"/>
  <c r="N78" i="26" s="1"/>
  <c r="N79" i="26" s="1"/>
  <c r="N80" i="26" s="1"/>
  <c r="N81" i="26" s="1"/>
  <c r="N82" i="26" s="1"/>
  <c r="N83" i="26" s="1"/>
  <c r="N84" i="26" s="1"/>
  <c r="N85" i="26" s="1"/>
  <c r="N86" i="26" s="1"/>
  <c r="N87" i="26" s="1"/>
  <c r="N88" i="26" s="1"/>
  <c r="N89" i="26" s="1"/>
  <c r="N90" i="26" s="1"/>
  <c r="N91" i="26" s="1"/>
  <c r="N92" i="26" s="1"/>
  <c r="N93" i="26" s="1"/>
  <c r="N94" i="26" s="1"/>
  <c r="N95" i="26" s="1"/>
  <c r="N96" i="26" s="1"/>
  <c r="N97" i="26" s="1"/>
  <c r="N98" i="26" s="1"/>
  <c r="N99" i="26" s="1"/>
  <c r="N100" i="26" s="1"/>
  <c r="N101" i="26" s="1"/>
  <c r="N102" i="26" s="1"/>
  <c r="N103" i="26" s="1"/>
  <c r="N104" i="26" s="1"/>
  <c r="N105" i="26" s="1"/>
  <c r="N106" i="26" s="1"/>
  <c r="N107" i="26" s="1"/>
  <c r="N108" i="26" s="1"/>
  <c r="N109" i="26" s="1"/>
  <c r="N110" i="26" s="1"/>
  <c r="N111" i="26" s="1"/>
  <c r="N112" i="26" s="1"/>
  <c r="N113" i="26" s="1"/>
  <c r="N114" i="26" s="1"/>
  <c r="N115" i="26" s="1"/>
  <c r="N116" i="26" s="1"/>
  <c r="N117" i="26" s="1"/>
  <c r="N118" i="26" s="1"/>
  <c r="N119" i="26" s="1"/>
  <c r="N120" i="26" s="1"/>
  <c r="N121" i="26" s="1"/>
  <c r="N122" i="26" s="1"/>
  <c r="N123" i="26" s="1"/>
  <c r="N124" i="26" s="1"/>
  <c r="N125" i="26" s="1"/>
  <c r="N126" i="26" s="1"/>
  <c r="N127" i="26" s="1"/>
  <c r="N128" i="26" s="1"/>
  <c r="N129" i="26" s="1"/>
  <c r="N130" i="26" s="1"/>
  <c r="N131" i="26" s="1"/>
  <c r="N132" i="26" s="1"/>
  <c r="N133" i="26" s="1"/>
  <c r="N134" i="26" s="1"/>
  <c r="N135" i="26" s="1"/>
  <c r="N136" i="26" s="1"/>
  <c r="N137" i="26" s="1"/>
  <c r="N138" i="26" s="1"/>
  <c r="N139" i="26" s="1"/>
  <c r="N140" i="26" s="1"/>
  <c r="N141" i="26" s="1"/>
  <c r="N142" i="26" s="1"/>
  <c r="N143" i="26" s="1"/>
  <c r="N144" i="26" s="1"/>
  <c r="N145" i="26" s="1"/>
  <c r="N146" i="26" s="1"/>
  <c r="N147" i="26" s="1"/>
  <c r="N148" i="26" s="1"/>
  <c r="N149" i="26" s="1"/>
  <c r="N150" i="26" s="1"/>
  <c r="N151" i="26" s="1"/>
  <c r="N152" i="26" s="1"/>
  <c r="N153" i="26" s="1"/>
  <c r="N154" i="26" s="1"/>
  <c r="N155" i="26" s="1"/>
  <c r="N156" i="26" s="1"/>
  <c r="N157" i="26" s="1"/>
  <c r="N158" i="26" s="1"/>
  <c r="N159" i="26" s="1"/>
  <c r="N160" i="26" s="1"/>
  <c r="N161" i="26" s="1"/>
  <c r="N162" i="26" s="1"/>
  <c r="N163" i="26" s="1"/>
  <c r="N164" i="26" s="1"/>
  <c r="N165" i="26" s="1"/>
  <c r="N166" i="26" s="1"/>
  <c r="N167" i="26" s="1"/>
  <c r="N168" i="26" s="1"/>
  <c r="N169" i="26" s="1"/>
  <c r="N170" i="26" s="1"/>
  <c r="N171" i="26" s="1"/>
  <c r="N172" i="26" s="1"/>
  <c r="N173" i="26" s="1"/>
  <c r="N174" i="26" s="1"/>
  <c r="N175" i="26" s="1"/>
  <c r="N176" i="26" s="1"/>
  <c r="N177" i="26" s="1"/>
  <c r="N178" i="26" s="1"/>
  <c r="N179" i="26" s="1"/>
  <c r="N180" i="26" s="1"/>
  <c r="N181" i="26" s="1"/>
  <c r="N182" i="26" s="1"/>
  <c r="N183" i="26" s="1"/>
  <c r="N184" i="26" s="1"/>
  <c r="N185" i="26" s="1"/>
  <c r="N186" i="26" s="1"/>
  <c r="N187" i="26" s="1"/>
  <c r="N188" i="26" s="1"/>
  <c r="N189" i="26" s="1"/>
  <c r="N190" i="26" s="1"/>
  <c r="N191" i="26" s="1"/>
  <c r="N192" i="26" s="1"/>
  <c r="N193" i="26" s="1"/>
  <c r="N194" i="26" s="1"/>
  <c r="N195" i="26" s="1"/>
  <c r="N196" i="26" s="1"/>
  <c r="N197" i="26" s="1"/>
  <c r="N198" i="26" s="1"/>
  <c r="N199" i="26" s="1"/>
  <c r="N200" i="26" s="1"/>
  <c r="N201" i="26" s="1"/>
  <c r="N202" i="26" s="1"/>
  <c r="N203" i="26" s="1"/>
  <c r="N204" i="26" s="1"/>
  <c r="N205" i="26" s="1"/>
  <c r="N206" i="26" s="1"/>
  <c r="N207" i="26" s="1"/>
  <c r="N208" i="26" s="1"/>
  <c r="N209" i="26" s="1"/>
  <c r="N210" i="26" s="1"/>
  <c r="N211" i="26" s="1"/>
  <c r="N212" i="26" s="1"/>
  <c r="N213" i="26" s="1"/>
  <c r="N214" i="26" s="1"/>
  <c r="N215" i="26" s="1"/>
  <c r="N216" i="26" s="1"/>
  <c r="N217" i="26" s="1"/>
  <c r="N218" i="26" s="1"/>
  <c r="N219" i="26" s="1"/>
  <c r="N220" i="26" s="1"/>
  <c r="N221" i="26" s="1"/>
  <c r="N222" i="26" s="1"/>
  <c r="N223" i="26" s="1"/>
  <c r="N224" i="26" s="1"/>
  <c r="N225" i="26" s="1"/>
  <c r="N226" i="26" s="1"/>
  <c r="N227" i="26" s="1"/>
  <c r="N228" i="26" s="1"/>
  <c r="N229" i="26" s="1"/>
  <c r="N230" i="26" s="1"/>
  <c r="N231" i="26" s="1"/>
  <c r="N232" i="26" s="1"/>
  <c r="N233" i="26" s="1"/>
  <c r="N234" i="26" s="1"/>
  <c r="N235" i="26" s="1"/>
  <c r="N236" i="26" s="1"/>
  <c r="N237" i="26" s="1"/>
  <c r="N238" i="26" s="1"/>
  <c r="N239" i="26" s="1"/>
  <c r="N240" i="26" s="1"/>
  <c r="N241" i="26" s="1"/>
  <c r="N242" i="26" s="1"/>
  <c r="N243" i="26" s="1"/>
  <c r="N244" i="26" s="1"/>
  <c r="N245" i="26" s="1"/>
  <c r="N246" i="26" s="1"/>
  <c r="N247" i="26" s="1"/>
  <c r="N248" i="26" s="1"/>
  <c r="N249" i="26" s="1"/>
  <c r="N250" i="26" s="1"/>
  <c r="N251" i="26" s="1"/>
  <c r="N252" i="26" s="1"/>
  <c r="N253" i="26" s="1"/>
  <c r="N254" i="26" s="1"/>
  <c r="N255" i="26" s="1"/>
  <c r="N256" i="26" s="1"/>
  <c r="N257" i="26" s="1"/>
  <c r="N258" i="26" s="1"/>
  <c r="N259" i="26" s="1"/>
  <c r="N260" i="26" s="1"/>
  <c r="N261" i="26" s="1"/>
  <c r="N262" i="26" s="1"/>
  <c r="N263" i="26" s="1"/>
  <c r="N264" i="26" s="1"/>
  <c r="N265" i="26" s="1"/>
  <c r="N266" i="26" s="1"/>
  <c r="N267" i="26" s="1"/>
  <c r="N268" i="26" s="1"/>
  <c r="N269" i="26" s="1"/>
  <c r="N270" i="26" s="1"/>
  <c r="N271" i="26" s="1"/>
  <c r="N272" i="26" s="1"/>
  <c r="N273" i="26" s="1"/>
  <c r="N274" i="26" s="1"/>
  <c r="N275" i="26" s="1"/>
  <c r="N276" i="26" s="1"/>
  <c r="N277" i="26" s="1"/>
  <c r="N278" i="26" s="1"/>
  <c r="N279" i="26" s="1"/>
  <c r="N280" i="26" s="1"/>
  <c r="N281" i="26" s="1"/>
  <c r="N282" i="26" s="1"/>
  <c r="N283" i="26" s="1"/>
  <c r="N284" i="26" s="1"/>
  <c r="N285" i="26" s="1"/>
  <c r="N286" i="26" s="1"/>
  <c r="N287" i="26" s="1"/>
  <c r="N288" i="26" s="1"/>
  <c r="N289" i="26" s="1"/>
  <c r="N290" i="26" s="1"/>
  <c r="N291" i="26" s="1"/>
  <c r="N292" i="26" s="1"/>
  <c r="N293" i="26" s="1"/>
  <c r="N294" i="26" s="1"/>
  <c r="N295" i="26" s="1"/>
  <c r="N296" i="26" s="1"/>
  <c r="N297" i="26" s="1"/>
  <c r="N298" i="26" s="1"/>
  <c r="N299" i="26" s="1"/>
  <c r="N300" i="26" s="1"/>
  <c r="N301" i="26" s="1"/>
  <c r="N302" i="26" s="1"/>
  <c r="N303" i="26" s="1"/>
  <c r="N304" i="26" s="1"/>
  <c r="N305" i="26" s="1"/>
  <c r="N306" i="26" s="1"/>
  <c r="N307" i="26" s="1"/>
  <c r="N308" i="26" s="1"/>
  <c r="N309" i="26" s="1"/>
  <c r="N310" i="26" s="1"/>
  <c r="N311" i="26" s="1"/>
  <c r="N312" i="26" s="1"/>
  <c r="N313" i="26" s="1"/>
  <c r="N314" i="26" s="1"/>
  <c r="N315" i="26" s="1"/>
  <c r="N316" i="26" s="1"/>
  <c r="N317" i="26" s="1"/>
  <c r="N318" i="26" s="1"/>
  <c r="N319" i="26" s="1"/>
  <c r="N320" i="26" s="1"/>
  <c r="N321" i="26" s="1"/>
  <c r="N322" i="26" s="1"/>
  <c r="N323" i="26" s="1"/>
  <c r="N324" i="26" s="1"/>
  <c r="N325" i="26" s="1"/>
  <c r="N326" i="26" s="1"/>
  <c r="N327" i="26" s="1"/>
  <c r="N328" i="26" s="1"/>
  <c r="N329" i="26" s="1"/>
  <c r="N330" i="26" s="1"/>
  <c r="N331" i="26" s="1"/>
  <c r="N332" i="26" s="1"/>
  <c r="N333" i="26" s="1"/>
  <c r="N334" i="26" s="1"/>
  <c r="N335" i="26" s="1"/>
  <c r="N336" i="26" s="1"/>
  <c r="N337" i="26" s="1"/>
  <c r="N338" i="26" s="1"/>
  <c r="N339" i="26" s="1"/>
  <c r="M16" i="26"/>
  <c r="M17" i="26" s="1"/>
  <c r="M18" i="26" s="1"/>
  <c r="M19" i="26" s="1"/>
  <c r="M20" i="26" s="1"/>
  <c r="M21" i="26" s="1"/>
  <c r="M22" i="26" s="1"/>
  <c r="M23" i="26" s="1"/>
  <c r="M24" i="26" s="1"/>
  <c r="M25" i="26" s="1"/>
  <c r="M26" i="26" s="1"/>
  <c r="M27" i="26" s="1"/>
  <c r="M28" i="26" s="1"/>
  <c r="M29" i="26" s="1"/>
  <c r="M30" i="26" s="1"/>
  <c r="M31" i="26" s="1"/>
  <c r="M32" i="26" s="1"/>
  <c r="M33" i="26" s="1"/>
  <c r="M34" i="26" s="1"/>
  <c r="M35" i="26" s="1"/>
  <c r="M36" i="26" s="1"/>
  <c r="M37" i="26" s="1"/>
  <c r="M38" i="26" s="1"/>
  <c r="M39" i="26" s="1"/>
  <c r="M40" i="26" s="1"/>
  <c r="M41" i="26" s="1"/>
  <c r="M42" i="26" s="1"/>
  <c r="M43" i="26" s="1"/>
  <c r="M44" i="26" s="1"/>
  <c r="M45" i="26" s="1"/>
  <c r="M46" i="26" s="1"/>
  <c r="M47" i="26" s="1"/>
  <c r="M48" i="26" s="1"/>
  <c r="M49" i="26" s="1"/>
  <c r="M50" i="26" s="1"/>
  <c r="M51" i="26" s="1"/>
  <c r="M52" i="26" s="1"/>
  <c r="M53" i="26" s="1"/>
  <c r="M54" i="26" s="1"/>
  <c r="M55" i="26" s="1"/>
  <c r="M56" i="26" s="1"/>
  <c r="M57" i="26" s="1"/>
  <c r="M58" i="26" s="1"/>
  <c r="M59" i="26" s="1"/>
  <c r="M60" i="26" s="1"/>
  <c r="M61" i="26" s="1"/>
  <c r="M62" i="26" s="1"/>
  <c r="M63" i="26" s="1"/>
  <c r="M64" i="26" s="1"/>
  <c r="M65" i="26" s="1"/>
  <c r="M66" i="26" s="1"/>
  <c r="M67" i="26" s="1"/>
  <c r="M68" i="26" s="1"/>
  <c r="M69" i="26" s="1"/>
  <c r="M70" i="26" s="1"/>
  <c r="M71" i="26" s="1"/>
  <c r="M72" i="26" s="1"/>
  <c r="M73" i="26" s="1"/>
  <c r="M74" i="26" s="1"/>
  <c r="M75" i="26" s="1"/>
  <c r="M76" i="26" s="1"/>
  <c r="M77" i="26" s="1"/>
  <c r="M78" i="26" s="1"/>
  <c r="M79" i="26" s="1"/>
  <c r="M80" i="26" s="1"/>
  <c r="M81" i="26" s="1"/>
  <c r="M82" i="26" s="1"/>
  <c r="M83" i="26" s="1"/>
  <c r="M84" i="26" s="1"/>
  <c r="M85" i="26" s="1"/>
  <c r="M86" i="26" s="1"/>
  <c r="M87" i="26" s="1"/>
  <c r="M88" i="26" s="1"/>
  <c r="M89" i="26" s="1"/>
  <c r="M90" i="26" s="1"/>
  <c r="M91" i="26" s="1"/>
  <c r="M92" i="26" s="1"/>
  <c r="M93" i="26" s="1"/>
  <c r="M94" i="26" s="1"/>
  <c r="M95" i="26" s="1"/>
  <c r="M96" i="26" s="1"/>
  <c r="M97" i="26" s="1"/>
  <c r="M98" i="26" s="1"/>
  <c r="M99" i="26" s="1"/>
  <c r="M100" i="26" s="1"/>
  <c r="M101" i="26" s="1"/>
  <c r="M102" i="26" s="1"/>
  <c r="M103" i="26" s="1"/>
  <c r="M104" i="26" s="1"/>
  <c r="M105" i="26" s="1"/>
  <c r="M106" i="26" s="1"/>
  <c r="M107" i="26" s="1"/>
  <c r="M108" i="26" s="1"/>
  <c r="M109" i="26" s="1"/>
  <c r="M110" i="26" s="1"/>
  <c r="M111" i="26" s="1"/>
  <c r="M112" i="26" s="1"/>
  <c r="M113" i="26" s="1"/>
  <c r="M114" i="26" s="1"/>
  <c r="M115" i="26" s="1"/>
  <c r="M116" i="26" s="1"/>
  <c r="M117" i="26" s="1"/>
  <c r="M118" i="26" s="1"/>
  <c r="M119" i="26" s="1"/>
  <c r="M120" i="26" s="1"/>
  <c r="M121" i="26" s="1"/>
  <c r="M122" i="26" s="1"/>
  <c r="M123" i="26" s="1"/>
  <c r="M124" i="26" s="1"/>
  <c r="M125" i="26" s="1"/>
  <c r="M126" i="26" s="1"/>
  <c r="M127" i="26" s="1"/>
  <c r="M128" i="26" s="1"/>
  <c r="M129" i="26" s="1"/>
  <c r="M130" i="26" s="1"/>
  <c r="M131" i="26" s="1"/>
  <c r="M132" i="26" s="1"/>
  <c r="M133" i="26" s="1"/>
  <c r="M134" i="26" s="1"/>
  <c r="M135" i="26" s="1"/>
  <c r="M136" i="26" s="1"/>
  <c r="M137" i="26" s="1"/>
  <c r="M138" i="26" s="1"/>
  <c r="M139" i="26" s="1"/>
  <c r="M140" i="26" s="1"/>
  <c r="M141" i="26" s="1"/>
  <c r="M142" i="26" s="1"/>
  <c r="M143" i="26" s="1"/>
  <c r="M144" i="26" s="1"/>
  <c r="M145" i="26" s="1"/>
  <c r="M146" i="26" s="1"/>
  <c r="M147" i="26" s="1"/>
  <c r="M148" i="26" s="1"/>
  <c r="M149" i="26" s="1"/>
  <c r="M150" i="26" s="1"/>
  <c r="M151" i="26" s="1"/>
  <c r="M152" i="26" s="1"/>
  <c r="M153" i="26" s="1"/>
  <c r="M154" i="26" s="1"/>
  <c r="M155" i="26" s="1"/>
  <c r="M156" i="26" s="1"/>
  <c r="M157" i="26" s="1"/>
  <c r="M158" i="26" s="1"/>
  <c r="M159" i="26" s="1"/>
  <c r="M160" i="26" s="1"/>
  <c r="M161" i="26" s="1"/>
  <c r="M162" i="26" s="1"/>
  <c r="M163" i="26" s="1"/>
  <c r="M164" i="26" s="1"/>
  <c r="M165" i="26" s="1"/>
  <c r="M166" i="26" s="1"/>
  <c r="M167" i="26" s="1"/>
  <c r="M168" i="26" s="1"/>
  <c r="M169" i="26" s="1"/>
  <c r="M170" i="26" s="1"/>
  <c r="M171" i="26" s="1"/>
  <c r="M172" i="26" s="1"/>
  <c r="M173" i="26" s="1"/>
  <c r="M174" i="26" s="1"/>
  <c r="M175" i="26" s="1"/>
  <c r="M176" i="26" s="1"/>
  <c r="M177" i="26" s="1"/>
  <c r="M178" i="26" s="1"/>
  <c r="M179" i="26" s="1"/>
  <c r="M180" i="26" s="1"/>
  <c r="M181" i="26" s="1"/>
  <c r="M182" i="26" s="1"/>
  <c r="M183" i="26" s="1"/>
  <c r="M184" i="26" s="1"/>
  <c r="M185" i="26" s="1"/>
  <c r="M186" i="26" s="1"/>
  <c r="M187" i="26" s="1"/>
  <c r="M188" i="26" s="1"/>
  <c r="M189" i="26" s="1"/>
  <c r="M190" i="26" s="1"/>
  <c r="M191" i="26" s="1"/>
  <c r="M192" i="26" s="1"/>
  <c r="M193" i="26" s="1"/>
  <c r="M194" i="26" s="1"/>
  <c r="M195" i="26" s="1"/>
  <c r="M196" i="26" s="1"/>
  <c r="M197" i="26" s="1"/>
  <c r="M198" i="26" s="1"/>
  <c r="M199" i="26" s="1"/>
  <c r="M200" i="26" s="1"/>
  <c r="M201" i="26" s="1"/>
  <c r="M202" i="26" s="1"/>
  <c r="M203" i="26" s="1"/>
  <c r="M204" i="26" s="1"/>
  <c r="M205" i="26" s="1"/>
  <c r="M206" i="26" s="1"/>
  <c r="M207" i="26" s="1"/>
  <c r="M208" i="26" s="1"/>
  <c r="M209" i="26" s="1"/>
  <c r="M210" i="26" s="1"/>
  <c r="M211" i="26" s="1"/>
  <c r="M212" i="26" s="1"/>
  <c r="M213" i="26" s="1"/>
  <c r="M214" i="26" s="1"/>
  <c r="M215" i="26" s="1"/>
  <c r="M216" i="26" s="1"/>
  <c r="M217" i="26" s="1"/>
  <c r="M218" i="26" s="1"/>
  <c r="M219" i="26" s="1"/>
  <c r="M220" i="26" s="1"/>
  <c r="M221" i="26" s="1"/>
  <c r="M222" i="26" s="1"/>
  <c r="M223" i="26" s="1"/>
  <c r="M224" i="26" s="1"/>
  <c r="M225" i="26" s="1"/>
  <c r="M226" i="26" s="1"/>
  <c r="M227" i="26" s="1"/>
  <c r="M228" i="26" s="1"/>
  <c r="M229" i="26" s="1"/>
  <c r="M230" i="26" s="1"/>
  <c r="M231" i="26" s="1"/>
  <c r="M232" i="26" s="1"/>
  <c r="M233" i="26" s="1"/>
  <c r="M234" i="26" s="1"/>
  <c r="M235" i="26" s="1"/>
  <c r="M236" i="26" s="1"/>
  <c r="M237" i="26" s="1"/>
  <c r="M238" i="26" s="1"/>
  <c r="M239" i="26" s="1"/>
  <c r="M240" i="26" s="1"/>
  <c r="M241" i="26" s="1"/>
  <c r="M242" i="26" s="1"/>
  <c r="M243" i="26" s="1"/>
  <c r="M244" i="26" s="1"/>
  <c r="M245" i="26" s="1"/>
  <c r="M246" i="26" s="1"/>
  <c r="M247" i="26" s="1"/>
  <c r="M248" i="26" s="1"/>
  <c r="M249" i="26" s="1"/>
  <c r="M250" i="26" s="1"/>
  <c r="M251" i="26" s="1"/>
  <c r="M252" i="26" s="1"/>
  <c r="M253" i="26" s="1"/>
  <c r="M254" i="26" s="1"/>
  <c r="M255" i="26" s="1"/>
  <c r="M256" i="26" s="1"/>
  <c r="M257" i="26" s="1"/>
  <c r="M258" i="26" s="1"/>
  <c r="M259" i="26" s="1"/>
  <c r="M260" i="26" s="1"/>
  <c r="M261" i="26" s="1"/>
  <c r="M262" i="26" s="1"/>
  <c r="M263" i="26" s="1"/>
  <c r="M264" i="26" s="1"/>
  <c r="M265" i="26" s="1"/>
  <c r="M266" i="26" s="1"/>
  <c r="M267" i="26" s="1"/>
  <c r="M268" i="26" s="1"/>
  <c r="M269" i="26" s="1"/>
  <c r="M270" i="26" s="1"/>
  <c r="M271" i="26" s="1"/>
  <c r="M272" i="26" s="1"/>
  <c r="M273" i="26" s="1"/>
  <c r="M274" i="26" s="1"/>
  <c r="M275" i="26" s="1"/>
  <c r="M276" i="26" s="1"/>
  <c r="M277" i="26" s="1"/>
  <c r="M278" i="26" s="1"/>
  <c r="M279" i="26" s="1"/>
  <c r="M280" i="26" s="1"/>
  <c r="M281" i="26" s="1"/>
  <c r="M282" i="26" s="1"/>
  <c r="M283" i="26" s="1"/>
  <c r="M284" i="26" s="1"/>
  <c r="M285" i="26" s="1"/>
  <c r="M286" i="26" s="1"/>
  <c r="M287" i="26" s="1"/>
  <c r="M288" i="26" s="1"/>
  <c r="M289" i="26" s="1"/>
  <c r="M290" i="26" s="1"/>
  <c r="M291" i="26" s="1"/>
  <c r="M292" i="26" s="1"/>
  <c r="M293" i="26" s="1"/>
  <c r="M294" i="26" s="1"/>
  <c r="M295" i="26" s="1"/>
  <c r="M296" i="26" s="1"/>
  <c r="M297" i="26" s="1"/>
  <c r="M298" i="26" s="1"/>
  <c r="M299" i="26" s="1"/>
  <c r="M300" i="26" s="1"/>
  <c r="M301" i="26" s="1"/>
  <c r="M302" i="26" s="1"/>
  <c r="M303" i="26" s="1"/>
  <c r="M304" i="26" s="1"/>
  <c r="M305" i="26" s="1"/>
  <c r="M306" i="26" s="1"/>
  <c r="M307" i="26" s="1"/>
  <c r="M308" i="26" s="1"/>
  <c r="M309" i="26" s="1"/>
  <c r="M310" i="26" s="1"/>
  <c r="M311" i="26" s="1"/>
  <c r="M312" i="26" s="1"/>
  <c r="M313" i="26" s="1"/>
  <c r="M314" i="26" s="1"/>
  <c r="M315" i="26" s="1"/>
  <c r="M316" i="26" s="1"/>
  <c r="M317" i="26" s="1"/>
  <c r="M318" i="26" s="1"/>
  <c r="M319" i="26" s="1"/>
  <c r="M320" i="26" s="1"/>
  <c r="M321" i="26" s="1"/>
  <c r="M322" i="26" s="1"/>
  <c r="M323" i="26" s="1"/>
  <c r="M324" i="26" s="1"/>
  <c r="M325" i="26" s="1"/>
  <c r="M326" i="26" s="1"/>
  <c r="M327" i="26" s="1"/>
  <c r="M328" i="26" s="1"/>
  <c r="M329" i="26" s="1"/>
  <c r="M330" i="26" s="1"/>
  <c r="M331" i="26" s="1"/>
  <c r="M332" i="26" s="1"/>
  <c r="M333" i="26" s="1"/>
  <c r="M334" i="26" s="1"/>
  <c r="M335" i="26" s="1"/>
  <c r="M336" i="26" s="1"/>
  <c r="M337" i="26" s="1"/>
  <c r="M338" i="26" s="1"/>
  <c r="M339" i="26" s="1"/>
  <c r="B136" i="15" l="1"/>
  <c r="C136" i="15" s="1"/>
  <c r="B25" i="15"/>
  <c r="C25" i="15" s="1"/>
  <c r="D135" i="15"/>
  <c r="AK53" i="22"/>
  <c r="AK54" i="22" s="1"/>
  <c r="AK55" i="22" s="1"/>
  <c r="AK56" i="22" s="1"/>
  <c r="AK57" i="22" s="1"/>
  <c r="G5" i="26"/>
  <c r="H5" i="26"/>
  <c r="D5" i="26"/>
  <c r="E5" i="26"/>
  <c r="F5" i="26"/>
  <c r="I5" i="26"/>
  <c r="C12" i="26"/>
  <c r="C7" i="26"/>
  <c r="C14" i="26"/>
  <c r="C11" i="26"/>
  <c r="C9" i="26"/>
  <c r="C8" i="26"/>
  <c r="C13" i="26"/>
  <c r="C10" i="26"/>
  <c r="N25" i="15" l="1"/>
  <c r="P25" i="15"/>
  <c r="J25" i="15"/>
  <c r="L25" i="15"/>
  <c r="T25" i="15"/>
  <c r="H25" i="15"/>
  <c r="R25" i="15"/>
  <c r="C324" i="15"/>
  <c r="C319" i="15"/>
  <c r="C321" i="15"/>
  <c r="C320" i="15"/>
  <c r="C322" i="15"/>
  <c r="C325" i="15"/>
  <c r="C323" i="15"/>
  <c r="C318" i="15"/>
  <c r="AK58" i="22"/>
  <c r="AK59" i="22" s="1"/>
  <c r="AK60" i="22" s="1"/>
  <c r="AK61" i="22" s="1"/>
  <c r="AK62" i="22" s="1"/>
  <c r="D25" i="15"/>
  <c r="F25" i="15" s="1"/>
  <c r="V25" i="15"/>
  <c r="B26" i="15"/>
  <c r="C26" i="15" s="1"/>
  <c r="E10" i="26"/>
  <c r="E11" i="26"/>
  <c r="E8" i="26"/>
  <c r="E7" i="26"/>
  <c r="E12" i="26"/>
  <c r="E13" i="26"/>
  <c r="E9" i="26"/>
  <c r="E14" i="26"/>
  <c r="G7" i="26"/>
  <c r="G14" i="26"/>
  <c r="G9" i="26"/>
  <c r="G11" i="26"/>
  <c r="G12" i="26"/>
  <c r="G13" i="26"/>
  <c r="G10" i="26"/>
  <c r="G8" i="26"/>
  <c r="I7" i="26"/>
  <c r="I12" i="26"/>
  <c r="I13" i="26"/>
  <c r="I14" i="26"/>
  <c r="I8" i="26"/>
  <c r="I11" i="26"/>
  <c r="I9" i="26"/>
  <c r="I10" i="26"/>
  <c r="F12" i="26"/>
  <c r="F13" i="26"/>
  <c r="F7" i="26"/>
  <c r="F14" i="26"/>
  <c r="F10" i="26"/>
  <c r="F9" i="26"/>
  <c r="F11" i="26"/>
  <c r="F8" i="26"/>
  <c r="D6" i="26"/>
  <c r="F6" i="26"/>
  <c r="E6" i="26"/>
  <c r="G6" i="26"/>
  <c r="I6" i="26"/>
  <c r="H6" i="26"/>
  <c r="D8" i="26"/>
  <c r="D14" i="26"/>
  <c r="D11" i="26"/>
  <c r="D13" i="26"/>
  <c r="D12" i="26"/>
  <c r="D7" i="26"/>
  <c r="D9" i="26"/>
  <c r="D10" i="26"/>
  <c r="H11" i="26"/>
  <c r="H12" i="26"/>
  <c r="H13" i="26"/>
  <c r="H14" i="26"/>
  <c r="H7" i="26"/>
  <c r="H9" i="26"/>
  <c r="H8" i="26"/>
  <c r="H10" i="26"/>
  <c r="T320" i="15" l="1"/>
  <c r="Q322" i="15"/>
  <c r="H317" i="15"/>
  <c r="E321" i="15"/>
  <c r="K317" i="15"/>
  <c r="T322" i="15"/>
  <c r="N325" i="15"/>
  <c r="Q319" i="15"/>
  <c r="N320" i="15"/>
  <c r="E320" i="15"/>
  <c r="E317" i="15"/>
  <c r="N318" i="15"/>
  <c r="T321" i="15"/>
  <c r="T319" i="15"/>
  <c r="E318" i="15"/>
  <c r="K319" i="15"/>
  <c r="T325" i="15"/>
  <c r="H325" i="15"/>
  <c r="Q323" i="15"/>
  <c r="N317" i="15"/>
  <c r="E323" i="15"/>
  <c r="K322" i="15"/>
  <c r="T324" i="15"/>
  <c r="H320" i="15"/>
  <c r="N322" i="15"/>
  <c r="Q321" i="15"/>
  <c r="E324" i="15"/>
  <c r="K320" i="15"/>
  <c r="T323" i="15"/>
  <c r="H324" i="15"/>
  <c r="H323" i="15"/>
  <c r="E322" i="15"/>
  <c r="T318" i="15"/>
  <c r="Q320" i="15"/>
  <c r="E325" i="15"/>
  <c r="K325" i="15"/>
  <c r="N319" i="15"/>
  <c r="H318" i="15"/>
  <c r="N321" i="15"/>
  <c r="H319" i="15"/>
  <c r="K321" i="15"/>
  <c r="E319" i="15"/>
  <c r="Q325" i="15"/>
  <c r="K324" i="15"/>
  <c r="N324" i="15"/>
  <c r="H322" i="15"/>
  <c r="Q318" i="15"/>
  <c r="K318" i="15"/>
  <c r="Q317" i="15"/>
  <c r="Q324" i="15"/>
  <c r="T317" i="15"/>
  <c r="K323" i="15"/>
  <c r="N323" i="15"/>
  <c r="H321" i="15"/>
  <c r="C377" i="15"/>
  <c r="C375" i="15"/>
  <c r="C374" i="15"/>
  <c r="C378" i="15"/>
  <c r="C376" i="15"/>
  <c r="AK63" i="22"/>
  <c r="AK64" i="22" s="1"/>
  <c r="AK65" i="22" s="1"/>
  <c r="AK66" i="22" s="1"/>
  <c r="AK67" i="22" s="1"/>
  <c r="AK68" i="22" s="1"/>
  <c r="AK69" i="22" s="1"/>
  <c r="AK70" i="22" s="1"/>
  <c r="AK71" i="22" s="1"/>
  <c r="AK72" i="22" s="1"/>
  <c r="AK73" i="22" s="1"/>
  <c r="AK74" i="22" s="1"/>
  <c r="AK75" i="22" s="1"/>
  <c r="AK76" i="22" s="1"/>
  <c r="AK77" i="22" s="1"/>
  <c r="AK78" i="22" s="1"/>
  <c r="N26" i="15" l="1"/>
  <c r="P26" i="15"/>
  <c r="J26" i="15"/>
  <c r="L26" i="15"/>
  <c r="T26" i="15"/>
  <c r="H26" i="15"/>
  <c r="R26" i="15"/>
  <c r="C397" i="15"/>
  <c r="C399" i="15"/>
  <c r="C385" i="15"/>
  <c r="C392" i="15"/>
  <c r="C394" i="15"/>
  <c r="C398" i="15"/>
  <c r="C387" i="15"/>
  <c r="C389" i="15"/>
  <c r="C396" i="15"/>
  <c r="C380" i="15"/>
  <c r="C381" i="15"/>
  <c r="C383" i="15"/>
  <c r="C393" i="15"/>
  <c r="C364" i="15"/>
  <c r="C365" i="15"/>
  <c r="C367" i="15"/>
  <c r="C366" i="15"/>
  <c r="C371" i="15"/>
  <c r="C370" i="15"/>
  <c r="C373" i="15"/>
  <c r="C372" i="15"/>
  <c r="C369" i="15"/>
  <c r="C401" i="15"/>
  <c r="C379" i="15"/>
  <c r="C388" i="15"/>
  <c r="C384" i="15"/>
  <c r="C395" i="15"/>
  <c r="C386" i="15"/>
  <c r="C400" i="15"/>
  <c r="C391" i="15"/>
  <c r="C390" i="15"/>
  <c r="C382" i="15"/>
  <c r="C402" i="15"/>
  <c r="V26" i="15"/>
  <c r="D26" i="15"/>
  <c r="F26" i="15" s="1"/>
  <c r="B27" i="15"/>
  <c r="C27" i="15" s="1"/>
  <c r="N27" i="15" l="1"/>
  <c r="P27" i="15"/>
  <c r="J27" i="15"/>
  <c r="L27" i="15"/>
  <c r="T27" i="15"/>
  <c r="H27" i="15"/>
  <c r="R27" i="15"/>
  <c r="B28" i="15"/>
  <c r="C28" i="15" s="1"/>
  <c r="V27" i="15"/>
  <c r="D27" i="15"/>
  <c r="F27" i="15" s="1"/>
  <c r="N28" i="15" l="1"/>
  <c r="P28" i="15"/>
  <c r="J28" i="15"/>
  <c r="L28" i="15"/>
  <c r="T28" i="15"/>
  <c r="H28" i="15"/>
  <c r="R28" i="15"/>
  <c r="B29" i="15"/>
  <c r="C29" i="15" s="1"/>
  <c r="D28" i="15"/>
  <c r="F28" i="15" s="1"/>
  <c r="V28" i="15"/>
  <c r="N29" i="15" l="1"/>
  <c r="P29" i="15"/>
  <c r="J29" i="15"/>
  <c r="L29" i="15"/>
  <c r="T29" i="15"/>
  <c r="H29" i="15"/>
  <c r="R29" i="15"/>
  <c r="D29" i="15"/>
  <c r="F29" i="15" s="1"/>
  <c r="B30" i="15"/>
  <c r="C30" i="15" s="1"/>
  <c r="V29" i="15"/>
  <c r="N30" i="15" l="1"/>
  <c r="P30" i="15"/>
  <c r="J30" i="15"/>
  <c r="L30" i="15"/>
  <c r="T30" i="15"/>
  <c r="H30" i="15"/>
  <c r="R30" i="15"/>
  <c r="B31" i="15"/>
  <c r="C31" i="15" s="1"/>
  <c r="V30" i="15"/>
  <c r="D30" i="15"/>
  <c r="F30" i="15" s="1"/>
  <c r="N31" i="15" l="1"/>
  <c r="P31" i="15"/>
  <c r="J31" i="15"/>
  <c r="L31" i="15"/>
  <c r="T31" i="15"/>
  <c r="H31" i="15"/>
  <c r="R31" i="15"/>
  <c r="B32" i="15"/>
  <c r="C32" i="15" s="1"/>
  <c r="V31" i="15"/>
  <c r="D31" i="15"/>
  <c r="F31" i="15" s="1"/>
  <c r="N32" i="15" l="1"/>
  <c r="P32" i="15"/>
  <c r="J32" i="15"/>
  <c r="L32" i="15"/>
  <c r="T32" i="15"/>
  <c r="D32" i="15"/>
  <c r="F32" i="15" s="1"/>
  <c r="B33" i="15"/>
  <c r="C33" i="15" s="1"/>
  <c r="V32" i="15"/>
  <c r="H32" i="15"/>
  <c r="R32" i="15"/>
  <c r="N33" i="15" l="1"/>
  <c r="P33" i="15"/>
  <c r="J33" i="15"/>
  <c r="L33" i="15"/>
  <c r="T33" i="15"/>
  <c r="R33" i="15"/>
  <c r="V33" i="15"/>
  <c r="D33" i="15"/>
  <c r="F33" i="15" s="1"/>
  <c r="B34" i="15"/>
  <c r="C34" i="15" s="1"/>
  <c r="H33" i="15"/>
  <c r="N34" i="15" l="1"/>
  <c r="P34" i="15"/>
  <c r="D34" i="15"/>
  <c r="F34" i="15" s="1"/>
  <c r="J34" i="15"/>
  <c r="L34" i="15"/>
  <c r="V34" i="15"/>
  <c r="T34" i="15"/>
  <c r="B35" i="15"/>
  <c r="C35" i="15" s="1"/>
  <c r="R34" i="15"/>
  <c r="H34" i="15"/>
  <c r="N35" i="15" l="1"/>
  <c r="P35" i="15"/>
  <c r="J35" i="15"/>
  <c r="L35" i="15"/>
  <c r="T35" i="15"/>
  <c r="V35" i="15"/>
  <c r="D35" i="15"/>
  <c r="F35" i="15" s="1"/>
  <c r="B36" i="15"/>
  <c r="C36" i="15" s="1"/>
  <c r="R35" i="15"/>
  <c r="H35" i="15"/>
  <c r="N36" i="15" l="1"/>
  <c r="P36" i="15"/>
  <c r="J36" i="15"/>
  <c r="L36" i="15"/>
  <c r="T36" i="15"/>
  <c r="B37" i="15"/>
  <c r="C37" i="15" s="1"/>
  <c r="R36" i="15"/>
  <c r="H36" i="15"/>
  <c r="D36" i="15"/>
  <c r="F36" i="15" s="1"/>
  <c r="V36" i="15"/>
  <c r="N37" i="15" l="1"/>
  <c r="P37" i="15"/>
  <c r="J37" i="15"/>
  <c r="L37" i="15"/>
  <c r="T37" i="15"/>
  <c r="D37" i="15"/>
  <c r="F37" i="15" s="1"/>
  <c r="B38" i="15"/>
  <c r="C38" i="15" s="1"/>
  <c r="H37" i="15"/>
  <c r="V37" i="15"/>
  <c r="R37" i="15"/>
  <c r="N38" i="15" l="1"/>
  <c r="P38" i="15"/>
  <c r="J38" i="15"/>
  <c r="L38" i="15"/>
  <c r="T38" i="15"/>
  <c r="B39" i="15"/>
  <c r="C39" i="15" s="1"/>
  <c r="D38" i="15"/>
  <c r="F38" i="15" s="1"/>
  <c r="V38" i="15"/>
  <c r="R38" i="15"/>
  <c r="H38" i="15"/>
  <c r="N39" i="15" l="1"/>
  <c r="P39" i="15"/>
  <c r="J39" i="15"/>
  <c r="L39" i="15"/>
  <c r="T39" i="15"/>
  <c r="V39" i="15"/>
  <c r="D39" i="15"/>
  <c r="F39" i="15" s="1"/>
  <c r="R39" i="15"/>
  <c r="B40" i="15"/>
  <c r="C40" i="15" s="1"/>
  <c r="H39" i="15"/>
  <c r="N40" i="15" l="1"/>
  <c r="P40" i="15"/>
  <c r="J40" i="15"/>
  <c r="L40" i="15"/>
  <c r="B41" i="15"/>
  <c r="C41" i="15" s="1"/>
  <c r="T40" i="15"/>
  <c r="V40" i="15"/>
  <c r="D40" i="15"/>
  <c r="F40" i="15" s="1"/>
  <c r="R40" i="15"/>
  <c r="H40" i="15"/>
  <c r="N41" i="15" l="1"/>
  <c r="P41" i="15"/>
  <c r="J41" i="15"/>
  <c r="L41" i="15"/>
  <c r="D41" i="15"/>
  <c r="F41" i="15" s="1"/>
  <c r="R41" i="15"/>
  <c r="H41" i="15"/>
  <c r="V41" i="15"/>
  <c r="T41" i="15"/>
  <c r="B42" i="15" l="1"/>
  <c r="J42" i="15" s="1"/>
  <c r="R42" i="15" l="1"/>
  <c r="V42" i="15"/>
  <c r="T42" i="15"/>
  <c r="H42" i="15"/>
  <c r="L42" i="15"/>
  <c r="N42" i="15"/>
  <c r="P42" i="15"/>
  <c r="C42" i="15"/>
  <c r="B43" i="15" s="1"/>
  <c r="D42" i="15"/>
  <c r="F42" i="15" s="1"/>
  <c r="R43" i="15" l="1"/>
  <c r="T43" i="15"/>
  <c r="P43" i="15"/>
  <c r="V43" i="15"/>
  <c r="L43" i="15"/>
  <c r="J43" i="15"/>
  <c r="H43" i="15"/>
  <c r="D43" i="15"/>
  <c r="F43" i="15" s="1"/>
  <c r="N43" i="15"/>
  <c r="C43" i="15"/>
  <c r="B44" i="15" l="1"/>
  <c r="C44" i="15" s="1"/>
  <c r="B45" i="15" l="1"/>
  <c r="C45" i="15" s="1"/>
  <c r="L44" i="15"/>
  <c r="V44" i="15"/>
  <c r="J44" i="15"/>
  <c r="T44" i="15"/>
  <c r="D44" i="15"/>
  <c r="F44" i="15" s="1"/>
  <c r="H44" i="15"/>
  <c r="R44" i="15"/>
  <c r="N44" i="15"/>
  <c r="P44" i="15"/>
  <c r="B46" i="15" l="1"/>
  <c r="C46" i="15" s="1"/>
  <c r="B47" i="15" s="1"/>
  <c r="J45" i="15"/>
  <c r="N45" i="15"/>
  <c r="V45" i="15"/>
  <c r="P45" i="15"/>
  <c r="L45" i="15"/>
  <c r="T45" i="15"/>
  <c r="H45" i="15"/>
  <c r="R45" i="15"/>
  <c r="D45" i="15"/>
  <c r="F45" i="15" s="1"/>
  <c r="J46" i="15" l="1"/>
  <c r="L46" i="15"/>
  <c r="T46" i="15"/>
  <c r="P46" i="15"/>
  <c r="N46" i="15"/>
  <c r="V46" i="15"/>
  <c r="D46" i="15"/>
  <c r="F46" i="15" s="1"/>
  <c r="R46" i="15"/>
  <c r="H46" i="15"/>
  <c r="C47" i="15"/>
  <c r="N47" i="15" l="1"/>
  <c r="P47" i="15"/>
  <c r="J47" i="15"/>
  <c r="L47" i="15"/>
  <c r="T47" i="15"/>
  <c r="H47" i="15"/>
  <c r="R47" i="15"/>
  <c r="V47" i="15"/>
  <c r="D47" i="15"/>
  <c r="F47" i="15" s="1"/>
  <c r="B48" i="15"/>
  <c r="C48" i="15" s="1"/>
  <c r="N48" i="15" l="1"/>
  <c r="P48" i="15"/>
  <c r="J48" i="15"/>
  <c r="L48" i="15"/>
  <c r="T48" i="15"/>
  <c r="H48" i="15"/>
  <c r="R48" i="15"/>
  <c r="D48" i="15"/>
  <c r="F48" i="15" s="1"/>
  <c r="V48" i="15"/>
  <c r="B49" i="15"/>
  <c r="C49" i="15" s="1"/>
  <c r="N49" i="15" l="1"/>
  <c r="P49" i="15"/>
  <c r="J49" i="15"/>
  <c r="L49" i="15"/>
  <c r="T49" i="15"/>
  <c r="H49" i="15"/>
  <c r="R49" i="15"/>
  <c r="D49" i="15"/>
  <c r="F49" i="15" s="1"/>
  <c r="V49" i="15"/>
  <c r="B50" i="15"/>
  <c r="C50" i="15" s="1"/>
  <c r="N50" i="15" l="1"/>
  <c r="P50" i="15"/>
  <c r="J50" i="15"/>
  <c r="L50" i="15"/>
  <c r="T50" i="15"/>
  <c r="H50" i="15"/>
  <c r="R50" i="15"/>
  <c r="V50" i="15"/>
  <c r="D50" i="15"/>
  <c r="F50" i="15" s="1"/>
  <c r="B51" i="15"/>
  <c r="C51" i="15" s="1"/>
  <c r="N51" i="15" l="1"/>
  <c r="P51" i="15"/>
  <c r="J51" i="15"/>
  <c r="L51" i="15"/>
  <c r="T51" i="15"/>
  <c r="H51" i="15"/>
  <c r="R51" i="15"/>
  <c r="D51" i="15"/>
  <c r="F51" i="15" s="1"/>
  <c r="V51" i="15"/>
  <c r="B52" i="15"/>
  <c r="C52" i="15" s="1"/>
  <c r="N52" i="15" l="1"/>
  <c r="P52" i="15"/>
  <c r="J52" i="15"/>
  <c r="L52" i="15"/>
  <c r="T52" i="15"/>
  <c r="H52" i="15"/>
  <c r="R52" i="15"/>
  <c r="D52" i="15"/>
  <c r="F52" i="15" s="1"/>
  <c r="V52" i="15"/>
  <c r="B53" i="15"/>
  <c r="C53" i="15" s="1"/>
  <c r="N53" i="15" l="1"/>
  <c r="P53" i="15"/>
  <c r="J53" i="15"/>
  <c r="L53" i="15"/>
  <c r="T53" i="15"/>
  <c r="H53" i="15"/>
  <c r="R53" i="15"/>
  <c r="D53" i="15"/>
  <c r="F53" i="15" s="1"/>
  <c r="V53" i="15"/>
  <c r="B54" i="15"/>
  <c r="C54" i="15" s="1"/>
  <c r="N54" i="15" l="1"/>
  <c r="P54" i="15"/>
  <c r="J54" i="15"/>
  <c r="L54" i="15"/>
  <c r="T54" i="15"/>
  <c r="H54" i="15"/>
  <c r="R54" i="15"/>
  <c r="B55" i="15"/>
  <c r="C55" i="15" s="1"/>
  <c r="V54" i="15"/>
  <c r="D54" i="15"/>
  <c r="F54" i="15" s="1"/>
  <c r="N55" i="15" l="1"/>
  <c r="P55" i="15"/>
  <c r="J55" i="15"/>
  <c r="L55" i="15"/>
  <c r="T55" i="15"/>
  <c r="H55" i="15"/>
  <c r="R55" i="15"/>
  <c r="B56" i="15"/>
  <c r="C56" i="15" s="1"/>
  <c r="D55" i="15" l="1"/>
  <c r="F55" i="15" s="1"/>
  <c r="V55" i="15"/>
  <c r="N56" i="15" l="1"/>
  <c r="P56" i="15"/>
  <c r="J56" i="15"/>
  <c r="L56" i="15"/>
  <c r="T56" i="15"/>
  <c r="H56" i="15"/>
  <c r="R56" i="15"/>
  <c r="B57" i="15"/>
  <c r="C57" i="15" s="1"/>
  <c r="D56" i="15" l="1"/>
  <c r="F56" i="15" s="1"/>
  <c r="V56" i="15"/>
  <c r="N57" i="15" l="1"/>
  <c r="P57" i="15"/>
  <c r="J57" i="15"/>
  <c r="L57" i="15"/>
  <c r="T57" i="15"/>
  <c r="H57" i="15"/>
  <c r="R57" i="15"/>
  <c r="D57" i="15" l="1"/>
  <c r="F57" i="15" s="1"/>
  <c r="V57" i="15"/>
  <c r="B67" i="15"/>
  <c r="C67" i="15" s="1"/>
  <c r="N67" i="15" l="1"/>
  <c r="P67" i="15"/>
  <c r="J67" i="15"/>
  <c r="L67" i="15"/>
  <c r="T67" i="15"/>
  <c r="H67" i="15"/>
  <c r="R67" i="15"/>
  <c r="Q136" i="15"/>
  <c r="N136" i="15" s="1"/>
  <c r="V136" i="15"/>
  <c r="S136" i="15" s="1"/>
  <c r="L136" i="15"/>
  <c r="I136" i="15" s="1"/>
  <c r="G136" i="15"/>
  <c r="B137" i="15"/>
  <c r="C137" i="15" s="1"/>
  <c r="B68" i="15" l="1"/>
  <c r="C68" i="15" s="1"/>
  <c r="Q137" i="15"/>
  <c r="N137" i="15" s="1"/>
  <c r="D67" i="15"/>
  <c r="F67" i="15" s="1"/>
  <c r="V67" i="15"/>
  <c r="D136" i="15"/>
  <c r="N68" i="15" l="1"/>
  <c r="P68" i="15"/>
  <c r="J68" i="15"/>
  <c r="L68" i="15"/>
  <c r="T68" i="15"/>
  <c r="H68" i="15"/>
  <c r="R68" i="15"/>
  <c r="B69" i="15"/>
  <c r="C69" i="15" s="1"/>
  <c r="G137" i="15"/>
  <c r="L137" i="15"/>
  <c r="I137" i="15" s="1"/>
  <c r="V137" i="15"/>
  <c r="S137" i="15" s="1"/>
  <c r="B138" i="15"/>
  <c r="C138" i="15" s="1"/>
  <c r="D137" i="15" l="1"/>
  <c r="Q138" i="15" l="1"/>
  <c r="N138" i="15" s="1"/>
  <c r="V138" i="15"/>
  <c r="S138" i="15" s="1"/>
  <c r="G138" i="15"/>
  <c r="B139" i="15"/>
  <c r="C139" i="15" s="1"/>
  <c r="L138" i="15"/>
  <c r="I138" i="15" s="1"/>
  <c r="D138" i="15" l="1"/>
  <c r="B140" i="15"/>
  <c r="C140" i="15" s="1"/>
  <c r="B141" i="15" l="1"/>
  <c r="C141" i="15" s="1"/>
  <c r="Q139" i="15"/>
  <c r="N139" i="15" s="1"/>
  <c r="L139" i="15"/>
  <c r="I139" i="15" s="1"/>
  <c r="G139" i="15"/>
  <c r="D139" i="15" s="1"/>
  <c r="V139" i="15"/>
  <c r="S139" i="15" s="1"/>
  <c r="Q140" i="15" l="1"/>
  <c r="N140" i="15" s="1"/>
  <c r="L140" i="15"/>
  <c r="I140" i="15" s="1"/>
  <c r="G140" i="15"/>
  <c r="D140" i="15" s="1"/>
  <c r="V140" i="15"/>
  <c r="S140" i="15" s="1"/>
  <c r="B142" i="15" l="1"/>
  <c r="G142" i="15" s="1"/>
  <c r="D142" i="15" s="1"/>
  <c r="V141" i="15"/>
  <c r="S141" i="15" s="1"/>
  <c r="G141" i="15"/>
  <c r="D141" i="15" s="1"/>
  <c r="L141" i="15"/>
  <c r="I141" i="15" s="1"/>
  <c r="Q141" i="15"/>
  <c r="N141" i="15" s="1"/>
  <c r="L142" i="15"/>
  <c r="I142" i="15" s="1"/>
  <c r="Q142" i="15" l="1"/>
  <c r="N142" i="15" s="1"/>
  <c r="C142" i="15"/>
  <c r="V142" i="15"/>
  <c r="S142" i="15" s="1"/>
  <c r="B143" i="15" l="1"/>
  <c r="C143" i="15" s="1"/>
  <c r="Q143" i="15" l="1"/>
  <c r="N143" i="15" s="1"/>
  <c r="G143" i="15"/>
  <c r="D143" i="15" s="1"/>
  <c r="L143" i="15"/>
  <c r="I143" i="15" s="1"/>
  <c r="V143" i="15"/>
  <c r="S143" i="15" s="1"/>
  <c r="B144" i="15"/>
  <c r="C144" i="15" s="1"/>
  <c r="L144" i="15" l="1"/>
  <c r="I144" i="15" s="1"/>
  <c r="V144" i="15"/>
  <c r="S144" i="15" s="1"/>
  <c r="G144" i="15"/>
  <c r="D144" i="15" s="1"/>
  <c r="Q144" i="15"/>
  <c r="N144" i="15" s="1"/>
  <c r="B145" i="15"/>
  <c r="Q145" i="15" l="1"/>
  <c r="N145" i="15" s="1"/>
  <c r="L145" i="15"/>
  <c r="I145" i="15" s="1"/>
  <c r="V145" i="15"/>
  <c r="S145" i="15" s="1"/>
  <c r="G145" i="15"/>
  <c r="D145" i="15" s="1"/>
  <c r="C145" i="15"/>
  <c r="B146" i="15" l="1"/>
  <c r="G146" i="15" l="1"/>
  <c r="D146" i="15" s="1"/>
  <c r="V146" i="15"/>
  <c r="S146" i="15" s="1"/>
  <c r="L146" i="15"/>
  <c r="I146" i="15" s="1"/>
  <c r="Q146" i="15"/>
  <c r="N146" i="15" s="1"/>
  <c r="C146" i="15"/>
  <c r="B147" i="15" l="1"/>
  <c r="Q147" i="15" l="1"/>
  <c r="N147" i="15" s="1"/>
  <c r="V147" i="15"/>
  <c r="S147" i="15" s="1"/>
  <c r="L147" i="15"/>
  <c r="I147" i="15" s="1"/>
  <c r="G147" i="15"/>
  <c r="D147" i="15" s="1"/>
  <c r="C147" i="15"/>
  <c r="B148" i="15" l="1"/>
  <c r="L148" i="15" l="1"/>
  <c r="I148" i="15" s="1"/>
  <c r="Q148" i="15"/>
  <c r="N148" i="15" s="1"/>
  <c r="G148" i="15"/>
  <c r="D148" i="15" s="1"/>
  <c r="V148" i="15"/>
  <c r="S148" i="15" s="1"/>
  <c r="C148" i="15"/>
  <c r="B149" i="15" l="1"/>
  <c r="Q149" i="15" l="1"/>
  <c r="N149" i="15" s="1"/>
  <c r="V149" i="15"/>
  <c r="S149" i="15" s="1"/>
  <c r="G149" i="15"/>
  <c r="D149" i="15" s="1"/>
  <c r="L149" i="15"/>
  <c r="I149" i="15" s="1"/>
  <c r="C149" i="15"/>
  <c r="B150" i="15" l="1"/>
  <c r="Q150" i="15" l="1"/>
  <c r="N150" i="15" s="1"/>
  <c r="V150" i="15"/>
  <c r="S150" i="15" s="1"/>
  <c r="L150" i="15"/>
  <c r="I150" i="15" s="1"/>
  <c r="G150" i="15"/>
  <c r="D150" i="15" s="1"/>
  <c r="C150" i="15"/>
  <c r="B151" i="15" l="1"/>
  <c r="L151" i="15" l="1"/>
  <c r="I151" i="15" s="1"/>
  <c r="G151" i="15"/>
  <c r="D151" i="15" s="1"/>
  <c r="Q151" i="15"/>
  <c r="N151" i="15" s="1"/>
  <c r="V151" i="15"/>
  <c r="S151" i="15" s="1"/>
  <c r="C151" i="15"/>
  <c r="B152" i="15" l="1"/>
  <c r="C152" i="15" s="1"/>
  <c r="Q152" i="15" l="1"/>
  <c r="N152" i="15" s="1"/>
  <c r="V152" i="15"/>
  <c r="S152" i="15" s="1"/>
  <c r="L152" i="15"/>
  <c r="I152" i="15" s="1"/>
  <c r="G152" i="15"/>
  <c r="D152" i="15" s="1"/>
  <c r="B153" i="15"/>
  <c r="L153" i="15" l="1"/>
  <c r="I153" i="15" s="1"/>
  <c r="G153" i="15"/>
  <c r="D153" i="15" s="1"/>
  <c r="V153" i="15"/>
  <c r="S153" i="15" s="1"/>
  <c r="Q153" i="15"/>
  <c r="N153" i="15" s="1"/>
  <c r="C153" i="15"/>
  <c r="B154" i="15" l="1"/>
  <c r="Q154" i="15" l="1"/>
  <c r="N154" i="15" s="1"/>
  <c r="L154" i="15"/>
  <c r="I154" i="15" s="1"/>
  <c r="V154" i="15"/>
  <c r="S154" i="15" s="1"/>
  <c r="G154" i="15"/>
  <c r="D154" i="15" s="1"/>
  <c r="C154" i="15"/>
  <c r="B155" i="15" l="1"/>
  <c r="Q155" i="15" l="1"/>
  <c r="N155" i="15" s="1"/>
  <c r="V155" i="15"/>
  <c r="S155" i="15" s="1"/>
  <c r="L155" i="15"/>
  <c r="I155" i="15" s="1"/>
  <c r="G155" i="15"/>
  <c r="D155" i="15" s="1"/>
  <c r="C155" i="15"/>
  <c r="B156" i="15" l="1"/>
  <c r="Q156" i="15" l="1"/>
  <c r="N156" i="15" s="1"/>
  <c r="V156" i="15"/>
  <c r="S156" i="15" s="1"/>
  <c r="L156" i="15"/>
  <c r="I156" i="15" s="1"/>
  <c r="G156" i="15"/>
  <c r="D156" i="15" s="1"/>
  <c r="C156" i="15"/>
  <c r="B157" i="15" l="1"/>
  <c r="Q157" i="15" l="1"/>
  <c r="N157" i="15" s="1"/>
  <c r="V157" i="15"/>
  <c r="S157" i="15" s="1"/>
  <c r="L157" i="15"/>
  <c r="I157" i="15" s="1"/>
  <c r="G157" i="15"/>
  <c r="D157" i="15" s="1"/>
  <c r="C157" i="15"/>
  <c r="B158" i="15" l="1"/>
  <c r="Q158" i="15" l="1"/>
  <c r="N158" i="15" s="1"/>
  <c r="V158" i="15"/>
  <c r="S158" i="15" s="1"/>
  <c r="L158" i="15"/>
  <c r="I158" i="15" s="1"/>
  <c r="G158" i="15"/>
  <c r="D158" i="15" s="1"/>
  <c r="C158" i="15"/>
  <c r="B159" i="15" l="1"/>
  <c r="Q159" i="15" l="1"/>
  <c r="N159" i="15" s="1"/>
  <c r="V159" i="15"/>
  <c r="S159" i="15" s="1"/>
  <c r="L159" i="15"/>
  <c r="I159" i="15" s="1"/>
  <c r="G159" i="15"/>
  <c r="D159" i="15" s="1"/>
  <c r="C159" i="15"/>
  <c r="B160" i="15" l="1"/>
  <c r="L160" i="15" l="1"/>
  <c r="I160" i="15" s="1"/>
  <c r="G160" i="15"/>
  <c r="D160" i="15" s="1"/>
  <c r="V160" i="15"/>
  <c r="S160" i="15" s="1"/>
  <c r="Q160" i="15"/>
  <c r="N160" i="15" s="1"/>
  <c r="C160" i="15"/>
  <c r="B161" i="15" l="1"/>
  <c r="L161" i="15" l="1"/>
  <c r="I161" i="15" s="1"/>
  <c r="G161" i="15"/>
  <c r="D161" i="15" s="1"/>
  <c r="Q161" i="15"/>
  <c r="N161" i="15" s="1"/>
  <c r="V161" i="15"/>
  <c r="S161" i="15" s="1"/>
  <c r="C161" i="15"/>
  <c r="B162" i="15" l="1"/>
  <c r="Q162" i="15" l="1"/>
  <c r="N162" i="15" s="1"/>
  <c r="V162" i="15"/>
  <c r="S162" i="15" s="1"/>
  <c r="L162" i="15"/>
  <c r="I162" i="15" s="1"/>
  <c r="G162" i="15"/>
  <c r="D162" i="15" s="1"/>
  <c r="C162" i="15"/>
  <c r="B163" i="15" l="1"/>
  <c r="Q163" i="15" l="1"/>
  <c r="N163" i="15" s="1"/>
  <c r="L163" i="15"/>
  <c r="I163" i="15" s="1"/>
  <c r="G163" i="15"/>
  <c r="D163" i="15" s="1"/>
  <c r="V163" i="15"/>
  <c r="S163" i="15" s="1"/>
  <c r="C163" i="15"/>
  <c r="B164" i="15" l="1"/>
  <c r="F28" i="9"/>
  <c r="J28" i="9"/>
  <c r="F30" i="9"/>
  <c r="L164" i="15" l="1"/>
  <c r="I164" i="15" s="1"/>
  <c r="G164" i="15"/>
  <c r="D164" i="15" s="1"/>
  <c r="V164" i="15"/>
  <c r="S164" i="15" s="1"/>
  <c r="Q164" i="15"/>
  <c r="N164" i="15" s="1"/>
  <c r="C164" i="15"/>
  <c r="B165" i="15" l="1"/>
  <c r="V68" i="15"/>
  <c r="D68" i="15"/>
  <c r="F68" i="15" s="1"/>
  <c r="Q165" i="15" l="1"/>
  <c r="N165" i="15" s="1"/>
  <c r="V165" i="15"/>
  <c r="S165" i="15" s="1"/>
  <c r="L165" i="15"/>
  <c r="I165" i="15" s="1"/>
  <c r="G165" i="15"/>
  <c r="D165" i="15" s="1"/>
  <c r="C165" i="15"/>
  <c r="N69" i="15"/>
  <c r="P69" i="15"/>
  <c r="J69" i="15"/>
  <c r="L69" i="15"/>
  <c r="T69" i="15"/>
  <c r="H69" i="15"/>
  <c r="R69" i="15"/>
  <c r="B70" i="15"/>
  <c r="C70" i="15" s="1"/>
  <c r="V69" i="15"/>
  <c r="D69" i="15"/>
  <c r="F69" i="15" s="1"/>
  <c r="B166" i="15" l="1"/>
  <c r="N70" i="15"/>
  <c r="P70" i="15"/>
  <c r="J70" i="15"/>
  <c r="L70" i="15"/>
  <c r="T70" i="15"/>
  <c r="H70" i="15"/>
  <c r="R70" i="15"/>
  <c r="B71" i="15"/>
  <c r="C71" i="15" s="1"/>
  <c r="V70" i="15"/>
  <c r="D70" i="15"/>
  <c r="F70" i="15" s="1"/>
  <c r="L166" i="15" l="1"/>
  <c r="I166" i="15" s="1"/>
  <c r="G166" i="15"/>
  <c r="D166" i="15" s="1"/>
  <c r="Q166" i="15"/>
  <c r="N166" i="15" s="1"/>
  <c r="V166" i="15"/>
  <c r="S166" i="15" s="1"/>
  <c r="C166" i="15"/>
  <c r="N71" i="15"/>
  <c r="P71" i="15"/>
  <c r="J71" i="15"/>
  <c r="L71" i="15"/>
  <c r="T71" i="15"/>
  <c r="H71" i="15"/>
  <c r="R71" i="15"/>
  <c r="B72" i="15"/>
  <c r="C72" i="15" s="1"/>
  <c r="V71" i="15"/>
  <c r="D71" i="15"/>
  <c r="F71" i="15" s="1"/>
  <c r="B167" i="15" l="1"/>
  <c r="N72" i="15"/>
  <c r="P72" i="15"/>
  <c r="J72" i="15"/>
  <c r="L72" i="15"/>
  <c r="B73" i="15"/>
  <c r="C73" i="15" s="1"/>
  <c r="V72" i="15"/>
  <c r="R72" i="15"/>
  <c r="H72" i="15"/>
  <c r="T72" i="15"/>
  <c r="D72" i="15"/>
  <c r="F72" i="15" s="1"/>
  <c r="V167" i="15" l="1"/>
  <c r="S167" i="15" s="1"/>
  <c r="L167" i="15"/>
  <c r="I167" i="15" s="1"/>
  <c r="Q167" i="15"/>
  <c r="N167" i="15" s="1"/>
  <c r="G167" i="15"/>
  <c r="D167" i="15" s="1"/>
  <c r="C167" i="15"/>
  <c r="N73" i="15"/>
  <c r="P73" i="15"/>
  <c r="J73" i="15"/>
  <c r="L73" i="15"/>
  <c r="B74" i="15"/>
  <c r="C74" i="15" s="1"/>
  <c r="V73" i="15"/>
  <c r="R73" i="15"/>
  <c r="H73" i="15"/>
  <c r="T73" i="15"/>
  <c r="D73" i="15"/>
  <c r="F73" i="15" s="1"/>
  <c r="B168" i="15" l="1"/>
  <c r="N74" i="15"/>
  <c r="P74" i="15"/>
  <c r="J74" i="15"/>
  <c r="L74" i="15"/>
  <c r="B75" i="15"/>
  <c r="C75" i="15" s="1"/>
  <c r="V74" i="15"/>
  <c r="R74" i="15"/>
  <c r="H74" i="15"/>
  <c r="T74" i="15"/>
  <c r="D74" i="15"/>
  <c r="F74" i="15" s="1"/>
  <c r="L168" i="15" l="1"/>
  <c r="I168" i="15" s="1"/>
  <c r="G168" i="15"/>
  <c r="D168" i="15" s="1"/>
  <c r="V168" i="15"/>
  <c r="S168" i="15" s="1"/>
  <c r="Q168" i="15"/>
  <c r="N168" i="15" s="1"/>
  <c r="C168" i="15"/>
  <c r="N75" i="15"/>
  <c r="P75" i="15"/>
  <c r="J75" i="15"/>
  <c r="L75" i="15"/>
  <c r="B76" i="15"/>
  <c r="C76" i="15" s="1"/>
  <c r="V75" i="15"/>
  <c r="R75" i="15"/>
  <c r="D75" i="15"/>
  <c r="F75" i="15" s="1"/>
  <c r="T75" i="15"/>
  <c r="H75" i="15"/>
  <c r="B169" i="15" l="1"/>
  <c r="N76" i="15"/>
  <c r="P76" i="15"/>
  <c r="J76" i="15"/>
  <c r="L76" i="15"/>
  <c r="B77" i="15"/>
  <c r="C77" i="15" s="1"/>
  <c r="R76" i="15"/>
  <c r="V76" i="15"/>
  <c r="D76" i="15"/>
  <c r="F76" i="15" s="1"/>
  <c r="T76" i="15"/>
  <c r="H76" i="15"/>
  <c r="V169" i="15" l="1"/>
  <c r="S169" i="15" s="1"/>
  <c r="L169" i="15"/>
  <c r="I169" i="15" s="1"/>
  <c r="G169" i="15"/>
  <c r="D169" i="15" s="1"/>
  <c r="Q169" i="15"/>
  <c r="N169" i="15" s="1"/>
  <c r="C169" i="15"/>
  <c r="N77" i="15"/>
  <c r="P77" i="15"/>
  <c r="J77" i="15"/>
  <c r="L77" i="15"/>
  <c r="B78" i="15"/>
  <c r="C78" i="15" s="1"/>
  <c r="R77" i="15"/>
  <c r="V77" i="15"/>
  <c r="H77" i="15"/>
  <c r="T77" i="15"/>
  <c r="D77" i="15"/>
  <c r="F77" i="15" s="1"/>
  <c r="B170" i="15" l="1"/>
  <c r="N78" i="15"/>
  <c r="P78" i="15"/>
  <c r="J78" i="15"/>
  <c r="L78" i="15"/>
  <c r="R78" i="15"/>
  <c r="D78" i="15"/>
  <c r="F78" i="15" s="1"/>
  <c r="T78" i="15"/>
  <c r="B79" i="15"/>
  <c r="C79" i="15" s="1"/>
  <c r="H78" i="15"/>
  <c r="V78" i="15"/>
  <c r="G170" i="15" l="1"/>
  <c r="D170" i="15" s="1"/>
  <c r="L170" i="15"/>
  <c r="I170" i="15" s="1"/>
  <c r="Q170" i="15"/>
  <c r="N170" i="15" s="1"/>
  <c r="V170" i="15"/>
  <c r="S170" i="15" s="1"/>
  <c r="C170" i="15"/>
  <c r="N79" i="15"/>
  <c r="P79" i="15"/>
  <c r="J79" i="15"/>
  <c r="L79" i="15"/>
  <c r="H79" i="15"/>
  <c r="V79" i="15"/>
  <c r="R79" i="15"/>
  <c r="T79" i="15"/>
  <c r="D79" i="15"/>
  <c r="F79" i="15" s="1"/>
  <c r="B80" i="15"/>
  <c r="C80" i="15" s="1"/>
  <c r="B171" i="15" l="1"/>
  <c r="N80" i="15"/>
  <c r="P80" i="15"/>
  <c r="J80" i="15"/>
  <c r="L80" i="15"/>
  <c r="V80" i="15"/>
  <c r="T80" i="15"/>
  <c r="H80" i="15"/>
  <c r="D80" i="15"/>
  <c r="F80" i="15" s="1"/>
  <c r="R80" i="15"/>
  <c r="B81" i="15"/>
  <c r="C81" i="15" s="1"/>
  <c r="G171" i="15" l="1"/>
  <c r="D171" i="15" s="1"/>
  <c r="Q171" i="15"/>
  <c r="N171" i="15" s="1"/>
  <c r="L171" i="15"/>
  <c r="I171" i="15" s="1"/>
  <c r="V171" i="15"/>
  <c r="S171" i="15" s="1"/>
  <c r="C171" i="15"/>
  <c r="N81" i="15"/>
  <c r="P81" i="15"/>
  <c r="J81" i="15"/>
  <c r="L81" i="15"/>
  <c r="D81" i="15"/>
  <c r="F81" i="15" s="1"/>
  <c r="H81" i="15"/>
  <c r="R81" i="15"/>
  <c r="B82" i="15"/>
  <c r="C82" i="15" s="1"/>
  <c r="V81" i="15"/>
  <c r="T81" i="15"/>
  <c r="B172" i="15" l="1"/>
  <c r="N82" i="15"/>
  <c r="P82" i="15"/>
  <c r="J82" i="15"/>
  <c r="L82" i="15"/>
  <c r="B83" i="15"/>
  <c r="C83" i="15" s="1"/>
  <c r="R82" i="15"/>
  <c r="H82" i="15"/>
  <c r="D82" i="15"/>
  <c r="F82" i="15" s="1"/>
  <c r="T82" i="15"/>
  <c r="V82" i="15"/>
  <c r="Q172" i="15" l="1"/>
  <c r="N172" i="15" s="1"/>
  <c r="V172" i="15"/>
  <c r="S172" i="15" s="1"/>
  <c r="L172" i="15"/>
  <c r="I172" i="15" s="1"/>
  <c r="G172" i="15"/>
  <c r="D172" i="15" s="1"/>
  <c r="C172" i="15"/>
  <c r="N83" i="15"/>
  <c r="P83" i="15"/>
  <c r="J83" i="15"/>
  <c r="L83" i="15"/>
  <c r="V83" i="15"/>
  <c r="D83" i="15"/>
  <c r="F83" i="15" s="1"/>
  <c r="T83" i="15"/>
  <c r="H83" i="15"/>
  <c r="R83" i="15"/>
  <c r="B84" i="15"/>
  <c r="C84" i="15" s="1"/>
  <c r="B173" i="15" l="1"/>
  <c r="N84" i="15"/>
  <c r="P84" i="15"/>
  <c r="J84" i="15"/>
  <c r="L84" i="15"/>
  <c r="V84" i="15"/>
  <c r="H84" i="15"/>
  <c r="T84" i="15"/>
  <c r="D84" i="15"/>
  <c r="F84" i="15" s="1"/>
  <c r="R84" i="15"/>
  <c r="B85" i="15"/>
  <c r="C85" i="15" s="1"/>
  <c r="L173" i="15" l="1"/>
  <c r="I173" i="15" s="1"/>
  <c r="G173" i="15"/>
  <c r="D173" i="15" s="1"/>
  <c r="Q173" i="15"/>
  <c r="N173" i="15" s="1"/>
  <c r="V173" i="15"/>
  <c r="S173" i="15" s="1"/>
  <c r="C173" i="15"/>
  <c r="N85" i="15"/>
  <c r="P85" i="15"/>
  <c r="J85" i="15"/>
  <c r="L85" i="15"/>
  <c r="V85" i="15"/>
  <c r="T85" i="15"/>
  <c r="D85" i="15"/>
  <c r="F85" i="15" s="1"/>
  <c r="R85" i="15"/>
  <c r="H85" i="15"/>
  <c r="B86" i="15"/>
  <c r="C86" i="15" s="1"/>
  <c r="B174" i="15" l="1"/>
  <c r="N86" i="15"/>
  <c r="P86" i="15"/>
  <c r="J86" i="15"/>
  <c r="L86" i="15"/>
  <c r="B87" i="15"/>
  <c r="C87" i="15" s="1"/>
  <c r="V86" i="15"/>
  <c r="R86" i="15"/>
  <c r="H86" i="15"/>
  <c r="T86" i="15"/>
  <c r="D86" i="15"/>
  <c r="F86" i="15" s="1"/>
  <c r="V174" i="15" l="1"/>
  <c r="S174" i="15" s="1"/>
  <c r="L174" i="15"/>
  <c r="I174" i="15" s="1"/>
  <c r="G174" i="15"/>
  <c r="D174" i="15" s="1"/>
  <c r="Q174" i="15"/>
  <c r="N174" i="15" s="1"/>
  <c r="C174" i="15"/>
  <c r="N87" i="15"/>
  <c r="P87" i="15"/>
  <c r="J87" i="15"/>
  <c r="L87" i="15"/>
  <c r="V87" i="15"/>
  <c r="H87" i="15"/>
  <c r="D87" i="15"/>
  <c r="F87" i="15" s="1"/>
  <c r="R87" i="15"/>
  <c r="T87" i="15"/>
  <c r="B88" i="15"/>
  <c r="C88" i="15" s="1"/>
  <c r="B175" i="15" l="1"/>
  <c r="N88" i="15"/>
  <c r="P88" i="15"/>
  <c r="J88" i="15"/>
  <c r="L88" i="15"/>
  <c r="H88" i="15"/>
  <c r="V88" i="15"/>
  <c r="T88" i="15"/>
  <c r="D88" i="15"/>
  <c r="F88" i="15" s="1"/>
  <c r="R88" i="15"/>
  <c r="B89" i="15"/>
  <c r="C89" i="15" s="1"/>
  <c r="L175" i="15" l="1"/>
  <c r="I175" i="15" s="1"/>
  <c r="G175" i="15"/>
  <c r="D175" i="15" s="1"/>
  <c r="Q175" i="15"/>
  <c r="N175" i="15" s="1"/>
  <c r="V175" i="15"/>
  <c r="S175" i="15" s="1"/>
  <c r="C175" i="15"/>
  <c r="N89" i="15"/>
  <c r="P89" i="15"/>
  <c r="J89" i="15"/>
  <c r="L89" i="15"/>
  <c r="R89" i="15"/>
  <c r="D89" i="15"/>
  <c r="F89" i="15" s="1"/>
  <c r="H89" i="15"/>
  <c r="V89" i="15"/>
  <c r="T89" i="15"/>
  <c r="B90" i="15"/>
  <c r="C90" i="15" s="1"/>
  <c r="B176" i="15" l="1"/>
  <c r="C176" i="15" s="1"/>
  <c r="N90" i="15"/>
  <c r="P90" i="15"/>
  <c r="J90" i="15"/>
  <c r="L90" i="15"/>
  <c r="V90" i="15"/>
  <c r="R90" i="15"/>
  <c r="H90" i="15"/>
  <c r="D90" i="15"/>
  <c r="F90" i="15" s="1"/>
  <c r="T90" i="15"/>
  <c r="B91" i="15"/>
  <c r="C91" i="15" s="1"/>
  <c r="Q176" i="15" l="1"/>
  <c r="N176" i="15" s="1"/>
  <c r="G176" i="15"/>
  <c r="D176" i="15" s="1"/>
  <c r="V176" i="15"/>
  <c r="S176" i="15" s="1"/>
  <c r="L176" i="15"/>
  <c r="I176" i="15" s="1"/>
  <c r="B177" i="15"/>
  <c r="N91" i="15"/>
  <c r="P91" i="15"/>
  <c r="J91" i="15"/>
  <c r="L91" i="15"/>
  <c r="R91" i="15"/>
  <c r="V91" i="15"/>
  <c r="H91" i="15"/>
  <c r="T91" i="15"/>
  <c r="D91" i="15"/>
  <c r="F91" i="15" s="1"/>
  <c r="B92" i="15"/>
  <c r="C92" i="15" s="1"/>
  <c r="V177" i="15" l="1"/>
  <c r="S177" i="15" s="1"/>
  <c r="G177" i="15"/>
  <c r="D177" i="15" s="1"/>
  <c r="L177" i="15"/>
  <c r="I177" i="15" s="1"/>
  <c r="Q177" i="15"/>
  <c r="N177" i="15" s="1"/>
  <c r="C177" i="15"/>
  <c r="N92" i="15"/>
  <c r="P92" i="15"/>
  <c r="J92" i="15"/>
  <c r="L92" i="15"/>
  <c r="H92" i="15"/>
  <c r="D92" i="15"/>
  <c r="F92" i="15" s="1"/>
  <c r="V92" i="15"/>
  <c r="R92" i="15"/>
  <c r="T92" i="15"/>
  <c r="B93" i="15"/>
  <c r="C93" i="15" s="1"/>
  <c r="B178" i="15" l="1"/>
  <c r="N93" i="15"/>
  <c r="P93" i="15"/>
  <c r="J93" i="15"/>
  <c r="L93" i="15"/>
  <c r="T93" i="15"/>
  <c r="V93" i="15"/>
  <c r="R93" i="15"/>
  <c r="H93" i="15"/>
  <c r="D93" i="15"/>
  <c r="F93" i="15" s="1"/>
  <c r="B94" i="15"/>
  <c r="C94" i="15" s="1"/>
  <c r="G178" i="15" l="1"/>
  <c r="D178" i="15" s="1"/>
  <c r="Q178" i="15"/>
  <c r="N178" i="15" s="1"/>
  <c r="L178" i="15"/>
  <c r="I178" i="15" s="1"/>
  <c r="V178" i="15"/>
  <c r="S178" i="15" s="1"/>
  <c r="C178" i="15"/>
  <c r="N94" i="15"/>
  <c r="P94" i="15"/>
  <c r="J94" i="15"/>
  <c r="L94" i="15"/>
  <c r="R94" i="15"/>
  <c r="T94" i="15"/>
  <c r="H94" i="15"/>
  <c r="V94" i="15"/>
  <c r="D94" i="15"/>
  <c r="F94" i="15" s="1"/>
  <c r="B95" i="15"/>
  <c r="C95" i="15" s="1"/>
  <c r="B190" i="15" l="1"/>
  <c r="V190" i="15" s="1"/>
  <c r="S190" i="15" s="1"/>
  <c r="N95" i="15"/>
  <c r="P95" i="15"/>
  <c r="J95" i="15"/>
  <c r="L95" i="15"/>
  <c r="B96" i="15"/>
  <c r="C96" i="15" s="1"/>
  <c r="V95" i="15"/>
  <c r="R95" i="15"/>
  <c r="H95" i="15"/>
  <c r="D95" i="15"/>
  <c r="F95" i="15" s="1"/>
  <c r="T95" i="15"/>
  <c r="Q190" i="15" l="1"/>
  <c r="N190" i="15" s="1"/>
  <c r="G190" i="15"/>
  <c r="D190" i="15" s="1"/>
  <c r="C190" i="15"/>
  <c r="B191" i="15" s="1"/>
  <c r="C191" i="15" s="1"/>
  <c r="L190" i="15"/>
  <c r="I190" i="15" s="1"/>
  <c r="N96" i="15"/>
  <c r="P96" i="15"/>
  <c r="J96" i="15"/>
  <c r="L96" i="15"/>
  <c r="B97" i="15"/>
  <c r="C97" i="15" s="1"/>
  <c r="R96" i="15"/>
  <c r="D96" i="15"/>
  <c r="F96" i="15" s="1"/>
  <c r="H96" i="15"/>
  <c r="V96" i="15"/>
  <c r="T96" i="15"/>
  <c r="B192" i="15" l="1"/>
  <c r="C192" i="15" s="1"/>
  <c r="B193" i="15" s="1"/>
  <c r="V191" i="15"/>
  <c r="S191" i="15" s="1"/>
  <c r="G191" i="15"/>
  <c r="D191" i="15" s="1"/>
  <c r="Q191" i="15"/>
  <c r="N191" i="15" s="1"/>
  <c r="L191" i="15"/>
  <c r="I191" i="15" s="1"/>
  <c r="N97" i="15"/>
  <c r="P97" i="15"/>
  <c r="J97" i="15"/>
  <c r="L97" i="15"/>
  <c r="H97" i="15"/>
  <c r="V97" i="15"/>
  <c r="D97" i="15"/>
  <c r="F97" i="15" s="1"/>
  <c r="R97" i="15"/>
  <c r="T97" i="15"/>
  <c r="B98" i="15"/>
  <c r="C98" i="15" s="1"/>
  <c r="C193" i="15" l="1"/>
  <c r="B194" i="15" s="1"/>
  <c r="C194" i="15" s="1"/>
  <c r="L192" i="15"/>
  <c r="I192" i="15" s="1"/>
  <c r="V192" i="15"/>
  <c r="S192" i="15" s="1"/>
  <c r="G192" i="15"/>
  <c r="D192" i="15" s="1"/>
  <c r="Q192" i="15"/>
  <c r="N192" i="15" s="1"/>
  <c r="N98" i="15"/>
  <c r="P98" i="15"/>
  <c r="J98" i="15"/>
  <c r="L98" i="15"/>
  <c r="R98" i="15"/>
  <c r="V98" i="15"/>
  <c r="H98" i="15"/>
  <c r="D98" i="15"/>
  <c r="F98" i="15" s="1"/>
  <c r="T98" i="15"/>
  <c r="B99" i="15"/>
  <c r="C99" i="15" s="1"/>
  <c r="B195" i="15" l="1"/>
  <c r="C195" i="15" s="1"/>
  <c r="V193" i="15"/>
  <c r="S193" i="15" s="1"/>
  <c r="L193" i="15"/>
  <c r="I193" i="15" s="1"/>
  <c r="G193" i="15"/>
  <c r="D193" i="15" s="1"/>
  <c r="Q193" i="15"/>
  <c r="N193" i="15" s="1"/>
  <c r="N99" i="15"/>
  <c r="P99" i="15"/>
  <c r="J99" i="15"/>
  <c r="L99" i="15"/>
  <c r="V99" i="15"/>
  <c r="R99" i="15"/>
  <c r="H99" i="15"/>
  <c r="D99" i="15"/>
  <c r="F99" i="15" s="1"/>
  <c r="T99" i="15"/>
  <c r="B100" i="15"/>
  <c r="C100" i="15" s="1"/>
  <c r="B196" i="15" l="1"/>
  <c r="C196" i="15" s="1"/>
  <c r="V194" i="15"/>
  <c r="S194" i="15" s="1"/>
  <c r="Q194" i="15"/>
  <c r="N194" i="15" s="1"/>
  <c r="G194" i="15"/>
  <c r="D194" i="15" s="1"/>
  <c r="L194" i="15"/>
  <c r="I194" i="15" s="1"/>
  <c r="G196" i="15" l="1"/>
  <c r="D196" i="15" s="1"/>
  <c r="Q196" i="15"/>
  <c r="N196" i="15" s="1"/>
  <c r="L196" i="15"/>
  <c r="I196" i="15" s="1"/>
  <c r="V196" i="15"/>
  <c r="S196" i="15" s="1"/>
  <c r="V195" i="15"/>
  <c r="S195" i="15" s="1"/>
  <c r="Q195" i="15"/>
  <c r="N195" i="15" s="1"/>
  <c r="G195" i="15"/>
  <c r="D195" i="15" s="1"/>
  <c r="L195" i="15"/>
  <c r="I195" i="15" s="1"/>
  <c r="N100" i="15"/>
  <c r="P100" i="15"/>
  <c r="J100" i="15"/>
  <c r="L100" i="15"/>
  <c r="R100" i="15"/>
  <c r="H100" i="15"/>
  <c r="V100" i="15"/>
  <c r="T100" i="15"/>
  <c r="D100" i="15"/>
  <c r="F100" i="15" s="1"/>
  <c r="B101" i="15"/>
  <c r="C101" i="15" s="1"/>
  <c r="B197" i="15" l="1"/>
  <c r="C197" i="15" s="1"/>
  <c r="Q197" i="15" l="1"/>
  <c r="N197" i="15" s="1"/>
  <c r="G197" i="15"/>
  <c r="D197" i="15" s="1"/>
  <c r="L197" i="15"/>
  <c r="I197" i="15" s="1"/>
  <c r="V197" i="15"/>
  <c r="S197" i="15" s="1"/>
  <c r="N101" i="15"/>
  <c r="P101" i="15"/>
  <c r="J101" i="15"/>
  <c r="L101" i="15"/>
  <c r="H101" i="15"/>
  <c r="D101" i="15"/>
  <c r="F101" i="15" s="1"/>
  <c r="T101" i="15"/>
  <c r="V101" i="15"/>
  <c r="R101" i="15"/>
  <c r="B102" i="15"/>
  <c r="C102" i="15" s="1"/>
  <c r="B198" i="15" l="1"/>
  <c r="C198" i="15" s="1"/>
  <c r="B199" i="15" l="1"/>
  <c r="C199" i="15" s="1"/>
  <c r="L198" i="15"/>
  <c r="I198" i="15" s="1"/>
  <c r="Q198" i="15"/>
  <c r="N198" i="15" s="1"/>
  <c r="G198" i="15"/>
  <c r="D198" i="15" s="1"/>
  <c r="V198" i="15"/>
  <c r="S198" i="15" s="1"/>
  <c r="N102" i="15"/>
  <c r="P102" i="15"/>
  <c r="J102" i="15"/>
  <c r="L102" i="15"/>
  <c r="B103" i="15"/>
  <c r="C103" i="15" s="1"/>
  <c r="R102" i="15"/>
  <c r="T102" i="15"/>
  <c r="V102" i="15"/>
  <c r="H102" i="15"/>
  <c r="D102" i="15"/>
  <c r="F102" i="15" s="1"/>
  <c r="B200" i="15" l="1"/>
  <c r="C200" i="15" s="1"/>
  <c r="L199" i="15"/>
  <c r="I199" i="15" s="1"/>
  <c r="G199" i="15"/>
  <c r="V199" i="15"/>
  <c r="S199" i="15" s="1"/>
  <c r="Q199" i="15"/>
  <c r="N199" i="15" s="1"/>
  <c r="N103" i="15"/>
  <c r="P103" i="15"/>
  <c r="J103" i="15"/>
  <c r="L103" i="15"/>
  <c r="B104" i="15"/>
  <c r="C104" i="15" s="1"/>
  <c r="V103" i="15"/>
  <c r="R103" i="15"/>
  <c r="H103" i="15"/>
  <c r="T103" i="15"/>
  <c r="D103" i="15"/>
  <c r="F103" i="15" s="1"/>
  <c r="B201" i="15" l="1"/>
  <c r="C201" i="15" s="1"/>
  <c r="D199" i="15"/>
  <c r="B130" i="15"/>
  <c r="V201" i="15"/>
  <c r="S201" i="15" s="1"/>
  <c r="G201" i="15"/>
  <c r="D201" i="15" s="1"/>
  <c r="L201" i="15"/>
  <c r="I201" i="15" s="1"/>
  <c r="Q201" i="15"/>
  <c r="N201" i="15" s="1"/>
  <c r="Q200" i="15"/>
  <c r="N200" i="15" s="1"/>
  <c r="L200" i="15"/>
  <c r="I200" i="15" s="1"/>
  <c r="G200" i="15"/>
  <c r="D200" i="15" s="1"/>
  <c r="V200" i="15"/>
  <c r="S200" i="15" s="1"/>
  <c r="N104" i="15"/>
  <c r="P104" i="15"/>
  <c r="J104" i="15"/>
  <c r="L104" i="15"/>
  <c r="B105" i="15"/>
  <c r="C105" i="15" s="1"/>
  <c r="H104" i="15"/>
  <c r="R104" i="15"/>
  <c r="V104" i="15"/>
  <c r="T104" i="15"/>
  <c r="D104" i="15"/>
  <c r="F104" i="15" s="1"/>
  <c r="B202" i="15" l="1"/>
  <c r="N105" i="15"/>
  <c r="P105" i="15"/>
  <c r="J105" i="15"/>
  <c r="L105" i="15"/>
  <c r="V105" i="15"/>
  <c r="H105" i="15"/>
  <c r="R105" i="15"/>
  <c r="D105" i="15"/>
  <c r="F105" i="15" s="1"/>
  <c r="T105" i="15"/>
  <c r="B106" i="15"/>
  <c r="C106" i="15" s="1"/>
  <c r="L202" i="15" l="1"/>
  <c r="I202" i="15" s="1"/>
  <c r="G202" i="15"/>
  <c r="D202" i="15" s="1"/>
  <c r="V202" i="15"/>
  <c r="S202" i="15" s="1"/>
  <c r="Q202" i="15"/>
  <c r="N202" i="15" s="1"/>
  <c r="C202" i="15"/>
  <c r="B203" i="15" l="1"/>
  <c r="N106" i="15"/>
  <c r="P106" i="15"/>
  <c r="J106" i="15"/>
  <c r="L106" i="15"/>
  <c r="R106" i="15"/>
  <c r="T106" i="15"/>
  <c r="H106" i="15"/>
  <c r="V106" i="15"/>
  <c r="D106" i="15"/>
  <c r="F106" i="15" s="1"/>
  <c r="B107" i="15"/>
  <c r="C107" i="15" s="1"/>
  <c r="L203" i="15" l="1"/>
  <c r="I203" i="15" s="1"/>
  <c r="G203" i="15"/>
  <c r="D203" i="15" s="1"/>
  <c r="Q203" i="15"/>
  <c r="N203" i="15" s="1"/>
  <c r="V203" i="15"/>
  <c r="S203" i="15" s="1"/>
  <c r="C203" i="15"/>
  <c r="B204" i="15" l="1"/>
  <c r="C204" i="15" s="1"/>
  <c r="N107" i="15"/>
  <c r="P107" i="15"/>
  <c r="J107" i="15"/>
  <c r="L107" i="15"/>
  <c r="B108" i="15"/>
  <c r="C108" i="15" s="1"/>
  <c r="H107" i="15"/>
  <c r="V107" i="15"/>
  <c r="T107" i="15"/>
  <c r="R107" i="15"/>
  <c r="D107" i="15"/>
  <c r="F107" i="15" s="1"/>
  <c r="V204" i="15" l="1"/>
  <c r="S204" i="15" s="1"/>
  <c r="Q204" i="15"/>
  <c r="N204" i="15" s="1"/>
  <c r="L204" i="15"/>
  <c r="I204" i="15" s="1"/>
  <c r="G204" i="15"/>
  <c r="D204" i="15" s="1"/>
  <c r="B205" i="15"/>
  <c r="N108" i="15"/>
  <c r="P108" i="15"/>
  <c r="J108" i="15"/>
  <c r="L108" i="15"/>
  <c r="B109" i="15"/>
  <c r="C109" i="15" s="1"/>
  <c r="R108" i="15"/>
  <c r="V108" i="15"/>
  <c r="H108" i="15"/>
  <c r="D108" i="15"/>
  <c r="F108" i="15" s="1"/>
  <c r="T108" i="15"/>
  <c r="V205" i="15" l="1"/>
  <c r="S205" i="15" s="1"/>
  <c r="L205" i="15"/>
  <c r="I205" i="15" s="1"/>
  <c r="G205" i="15"/>
  <c r="D205" i="15" s="1"/>
  <c r="Q205" i="15"/>
  <c r="N205" i="15" s="1"/>
  <c r="C205" i="15"/>
  <c r="N109" i="15"/>
  <c r="P109" i="15"/>
  <c r="J109" i="15"/>
  <c r="L109" i="15"/>
  <c r="B110" i="15"/>
  <c r="C110" i="15" s="1"/>
  <c r="V109" i="15"/>
  <c r="R109" i="15"/>
  <c r="T109" i="15"/>
  <c r="D109" i="15"/>
  <c r="F109" i="15" s="1"/>
  <c r="H109" i="15"/>
  <c r="B206" i="15" l="1"/>
  <c r="N110" i="15"/>
  <c r="P110" i="15"/>
  <c r="J110" i="15"/>
  <c r="L110" i="15"/>
  <c r="B111" i="15"/>
  <c r="C111" i="15" s="1"/>
  <c r="V110" i="15"/>
  <c r="R110" i="15"/>
  <c r="H110" i="15"/>
  <c r="D110" i="15"/>
  <c r="F110" i="15" s="1"/>
  <c r="T110" i="15"/>
  <c r="Q206" i="15" l="1"/>
  <c r="N206" i="15" s="1"/>
  <c r="L206" i="15"/>
  <c r="I206" i="15" s="1"/>
  <c r="G206" i="15"/>
  <c r="D206" i="15" s="1"/>
  <c r="V206" i="15"/>
  <c r="S206" i="15" s="1"/>
  <c r="C206" i="15"/>
  <c r="N111" i="15"/>
  <c r="P111" i="15"/>
  <c r="J111" i="15"/>
  <c r="L111" i="15"/>
  <c r="V111" i="15"/>
  <c r="H111" i="15"/>
  <c r="D111" i="15"/>
  <c r="F111" i="15" s="1"/>
  <c r="R111" i="15"/>
  <c r="T111" i="15"/>
  <c r="B112" i="15"/>
  <c r="C112" i="15" s="1"/>
  <c r="B207" i="15" l="1"/>
  <c r="Q207" i="15" l="1"/>
  <c r="N207" i="15" s="1"/>
  <c r="L207" i="15"/>
  <c r="I207" i="15" s="1"/>
  <c r="G207" i="15"/>
  <c r="D207" i="15" s="1"/>
  <c r="V207" i="15"/>
  <c r="S207" i="15" s="1"/>
  <c r="C207" i="15"/>
  <c r="N112" i="15"/>
  <c r="P112" i="15"/>
  <c r="J112" i="15"/>
  <c r="L112" i="15"/>
  <c r="B113" i="15"/>
  <c r="C113" i="15" s="1"/>
  <c r="D112" i="15"/>
  <c r="F112" i="15" s="1"/>
  <c r="H112" i="15"/>
  <c r="V112" i="15"/>
  <c r="R112" i="15"/>
  <c r="T112" i="15"/>
  <c r="B208" i="15" l="1"/>
  <c r="C208" i="15" s="1"/>
  <c r="N113" i="15"/>
  <c r="P113" i="15"/>
  <c r="J113" i="15"/>
  <c r="L113" i="15"/>
  <c r="B114" i="15"/>
  <c r="C114" i="15" s="1"/>
  <c r="R113" i="15"/>
  <c r="T113" i="15"/>
  <c r="V113" i="15"/>
  <c r="H113" i="15"/>
  <c r="D113" i="15"/>
  <c r="F113" i="15" s="1"/>
  <c r="B209" i="15" l="1"/>
  <c r="L208" i="15"/>
  <c r="I208" i="15" s="1"/>
  <c r="V208" i="15"/>
  <c r="S208" i="15" s="1"/>
  <c r="Q208" i="15"/>
  <c r="N208" i="15" s="1"/>
  <c r="G208" i="15"/>
  <c r="D208" i="15" s="1"/>
  <c r="N114" i="15"/>
  <c r="P114" i="15"/>
  <c r="J114" i="15"/>
  <c r="L114" i="15"/>
  <c r="B115" i="15"/>
  <c r="C115" i="15" s="1"/>
  <c r="V114" i="15"/>
  <c r="H114" i="15"/>
  <c r="T114" i="15"/>
  <c r="D114" i="15"/>
  <c r="F114" i="15" s="1"/>
  <c r="R114" i="15"/>
  <c r="L209" i="15" l="1"/>
  <c r="I209" i="15" s="1"/>
  <c r="V209" i="15"/>
  <c r="S209" i="15" s="1"/>
  <c r="G209" i="15"/>
  <c r="D209" i="15" s="1"/>
  <c r="Q209" i="15"/>
  <c r="N209" i="15" s="1"/>
  <c r="C209" i="15"/>
  <c r="N115" i="15"/>
  <c r="P115" i="15"/>
  <c r="J115" i="15"/>
  <c r="L115" i="15"/>
  <c r="B116" i="15"/>
  <c r="C116" i="15" s="1"/>
  <c r="V115" i="15"/>
  <c r="R115" i="15"/>
  <c r="D115" i="15"/>
  <c r="F115" i="15" s="1"/>
  <c r="H115" i="15"/>
  <c r="T115" i="15"/>
  <c r="B210" i="15" l="1"/>
  <c r="N116" i="15"/>
  <c r="P116" i="15"/>
  <c r="J116" i="15"/>
  <c r="L116" i="15"/>
  <c r="T116" i="15"/>
  <c r="V116" i="15"/>
  <c r="H116" i="15"/>
  <c r="D116" i="15"/>
  <c r="F116" i="15" s="1"/>
  <c r="R116" i="15"/>
  <c r="L210" i="15" l="1"/>
  <c r="I210" i="15" s="1"/>
  <c r="G210" i="15"/>
  <c r="D210" i="15" s="1"/>
  <c r="V210" i="15"/>
  <c r="S210" i="15" s="1"/>
  <c r="Q210" i="15"/>
  <c r="N210" i="15" s="1"/>
  <c r="C210" i="15"/>
  <c r="B211" i="15" l="1"/>
  <c r="V211" i="15" l="1"/>
  <c r="S211" i="15" s="1"/>
  <c r="Q211" i="15"/>
  <c r="N211" i="15" s="1"/>
  <c r="L211" i="15"/>
  <c r="I211" i="15" s="1"/>
  <c r="G211" i="15"/>
  <c r="D211" i="15" s="1"/>
  <c r="C211" i="15"/>
  <c r="B212" i="15" l="1"/>
  <c r="Q212" i="15" l="1"/>
  <c r="N212" i="15" s="1"/>
  <c r="V212" i="15"/>
  <c r="S212" i="15" s="1"/>
  <c r="G212" i="15"/>
  <c r="D212" i="15" s="1"/>
  <c r="L212" i="15"/>
  <c r="I212" i="15" s="1"/>
  <c r="C212" i="15"/>
  <c r="B213" i="15" l="1"/>
  <c r="G213" i="15" l="1"/>
  <c r="D213" i="15" s="1"/>
  <c r="V213" i="15"/>
  <c r="S213" i="15" s="1"/>
  <c r="L213" i="15"/>
  <c r="I213" i="15" s="1"/>
  <c r="Q213" i="15"/>
  <c r="N213" i="15" s="1"/>
  <c r="C213" i="15"/>
  <c r="B214" i="15" l="1"/>
  <c r="L214" i="15" l="1"/>
  <c r="I214" i="15" s="1"/>
  <c r="Q214" i="15"/>
  <c r="N214" i="15" s="1"/>
  <c r="V214" i="15"/>
  <c r="S214" i="15" s="1"/>
  <c r="G214" i="15"/>
  <c r="D214" i="15" s="1"/>
  <c r="C214" i="15"/>
  <c r="B215" i="15" l="1"/>
  <c r="C215" i="15" s="1"/>
  <c r="L215" i="15" l="1"/>
  <c r="I215" i="15" s="1"/>
  <c r="Q215" i="15"/>
  <c r="N215" i="15" s="1"/>
  <c r="G215" i="15"/>
  <c r="D215" i="15" s="1"/>
  <c r="V215" i="15"/>
  <c r="S215" i="15" s="1"/>
  <c r="B216" i="15"/>
  <c r="C216" i="15" s="1"/>
  <c r="Q216" i="15" l="1"/>
  <c r="N216" i="15" s="1"/>
  <c r="L216" i="15"/>
  <c r="I216" i="15" s="1"/>
  <c r="G216" i="15"/>
  <c r="D216" i="15" s="1"/>
  <c r="V216" i="15"/>
  <c r="S216" i="15" s="1"/>
  <c r="B217" i="15"/>
  <c r="C217" i="15" s="1"/>
  <c r="L217" i="15" l="1"/>
  <c r="I217" i="15" s="1"/>
  <c r="V217" i="15"/>
  <c r="S217" i="15" s="1"/>
  <c r="G217" i="15"/>
  <c r="D217" i="15" s="1"/>
  <c r="Q217" i="15"/>
  <c r="N217" i="15" s="1"/>
  <c r="B218" i="15"/>
  <c r="V218" i="15" l="1"/>
  <c r="S218" i="15" s="1"/>
  <c r="Q218" i="15"/>
  <c r="N218" i="15" s="1"/>
  <c r="L218" i="15"/>
  <c r="I218" i="15" s="1"/>
  <c r="G218" i="15"/>
  <c r="D218" i="15" s="1"/>
  <c r="C218" i="15"/>
  <c r="B219" i="15" l="1"/>
  <c r="V219" i="15" l="1"/>
  <c r="S219" i="15" s="1"/>
  <c r="G219" i="15"/>
  <c r="Q219" i="15"/>
  <c r="N219" i="15" s="1"/>
  <c r="L219" i="15"/>
  <c r="I219" i="15" s="1"/>
  <c r="C219" i="15"/>
  <c r="B220" i="15" l="1"/>
  <c r="D219" i="15"/>
  <c r="L220" i="15" l="1"/>
  <c r="I220" i="15" s="1"/>
  <c r="G220" i="15"/>
  <c r="D220" i="15" s="1"/>
  <c r="Q220" i="15"/>
  <c r="N220" i="15" s="1"/>
  <c r="V220" i="15"/>
  <c r="S220" i="15" s="1"/>
  <c r="C220" i="15"/>
  <c r="B221" i="15" l="1"/>
  <c r="V221" i="15" l="1"/>
  <c r="S221" i="15" s="1"/>
  <c r="L221" i="15"/>
  <c r="I221" i="15" s="1"/>
  <c r="G221" i="15"/>
  <c r="D221" i="15" s="1"/>
  <c r="Q221" i="15"/>
  <c r="N221" i="15" s="1"/>
  <c r="C221" i="15"/>
  <c r="B222" i="15" l="1"/>
  <c r="C222" i="15" s="1"/>
  <c r="V222" i="15" l="1"/>
  <c r="S222" i="15" s="1"/>
  <c r="G222" i="15"/>
  <c r="D222" i="15" s="1"/>
  <c r="Q222" i="15"/>
  <c r="N222" i="15" s="1"/>
  <c r="L222" i="15"/>
  <c r="I222" i="15" s="1"/>
  <c r="B223" i="15"/>
  <c r="V223" i="15" l="1"/>
  <c r="S223" i="15" s="1"/>
  <c r="Q223" i="15"/>
  <c r="N223" i="15" s="1"/>
  <c r="G223" i="15"/>
  <c r="D223" i="15" s="1"/>
  <c r="L223" i="15"/>
  <c r="I223" i="15" s="1"/>
  <c r="C223" i="15"/>
  <c r="B224" i="15" l="1"/>
  <c r="C224" i="15" s="1"/>
  <c r="Q224" i="15" l="1"/>
  <c r="N224" i="15" s="1"/>
  <c r="V224" i="15"/>
  <c r="S224" i="15" s="1"/>
  <c r="G224" i="15"/>
  <c r="D224" i="15" s="1"/>
  <c r="L224" i="15"/>
  <c r="I224" i="15" s="1"/>
  <c r="B225" i="15"/>
  <c r="V225" i="15" l="1"/>
  <c r="S225" i="15" s="1"/>
  <c r="G225" i="15"/>
  <c r="D225" i="15" s="1"/>
  <c r="Q225" i="15"/>
  <c r="N225" i="15" s="1"/>
  <c r="L225" i="15"/>
  <c r="I225" i="15" s="1"/>
  <c r="C225" i="15"/>
  <c r="B226" i="15" l="1"/>
  <c r="C226" i="15" s="1"/>
  <c r="V226" i="15" l="1"/>
  <c r="S226" i="15" s="1"/>
  <c r="Q226" i="15"/>
  <c r="N226" i="15" s="1"/>
  <c r="L226" i="15"/>
  <c r="I226" i="15" s="1"/>
  <c r="G226" i="15"/>
  <c r="D226" i="15" s="1"/>
  <c r="B227" i="15"/>
  <c r="C227" i="15" s="1"/>
  <c r="B228" i="15" l="1"/>
  <c r="C228" i="15" s="1"/>
  <c r="G227" i="15"/>
  <c r="D227" i="15" s="1"/>
  <c r="V227" i="15"/>
  <c r="S227" i="15" s="1"/>
  <c r="L227" i="15"/>
  <c r="I227" i="15" s="1"/>
  <c r="Q227" i="15"/>
  <c r="N227" i="15" s="1"/>
  <c r="V228" i="15" l="1"/>
  <c r="S228" i="15" s="1"/>
  <c r="L228" i="15"/>
  <c r="I228" i="15" s="1"/>
  <c r="Q228" i="15"/>
  <c r="N228" i="15" s="1"/>
  <c r="G228" i="15"/>
  <c r="D228" i="15" s="1"/>
  <c r="B229" i="15"/>
  <c r="C229" i="15" s="1"/>
  <c r="L229" i="15" l="1"/>
  <c r="I229" i="15" s="1"/>
  <c r="V229" i="15"/>
  <c r="S229" i="15" s="1"/>
  <c r="Q229" i="15"/>
  <c r="N229" i="15" s="1"/>
  <c r="G229" i="15"/>
  <c r="B186" i="15" l="1"/>
  <c r="D229" i="15"/>
</calcChain>
</file>

<file path=xl/sharedStrings.xml><?xml version="1.0" encoding="utf-8"?>
<sst xmlns="http://schemas.openxmlformats.org/spreadsheetml/2006/main" count="3123" uniqueCount="1077">
  <si>
    <t>保險
年齡</t>
    <phoneticPr fontId="5" type="noConversion"/>
  </si>
  <si>
    <t>性別：</t>
    <phoneticPr fontId="5" type="noConversion"/>
  </si>
  <si>
    <t>保險種類</t>
    <phoneticPr fontId="5" type="noConversion"/>
  </si>
  <si>
    <t>險種代碼</t>
    <phoneticPr fontId="5" type="noConversion"/>
  </si>
  <si>
    <t>被保險人</t>
    <phoneticPr fontId="5" type="noConversion"/>
  </si>
  <si>
    <t>姓名：</t>
    <phoneticPr fontId="5" type="noConversion"/>
  </si>
  <si>
    <t>性別：</t>
    <phoneticPr fontId="5" type="noConversion"/>
  </si>
  <si>
    <t>生日：</t>
    <phoneticPr fontId="5" type="noConversion"/>
  </si>
  <si>
    <t>保險年齡：</t>
    <phoneticPr fontId="5" type="noConversion"/>
  </si>
  <si>
    <t>實際年齡：</t>
    <phoneticPr fontId="5" type="noConversion"/>
  </si>
  <si>
    <t>保額</t>
    <phoneticPr fontId="5"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</si>
  <si>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5" type="noConversion"/>
  </si>
  <si>
    <t>保險年齡：</t>
    <phoneticPr fontId="5" type="noConversion"/>
  </si>
  <si>
    <t>續期</t>
    <phoneticPr fontId="5" type="noConversion"/>
  </si>
  <si>
    <t>註：</t>
  </si>
  <si>
    <t>商品代號</t>
  </si>
  <si>
    <t>年齡</t>
  </si>
  <si>
    <t>性別</t>
  </si>
  <si>
    <t>文字區域</t>
    <phoneticPr fontId="5" type="noConversion"/>
  </si>
  <si>
    <t>fubon</t>
    <phoneticPr fontId="5" type="noConversion"/>
  </si>
  <si>
    <t>試算日</t>
    <phoneticPr fontId="5" type="noConversion"/>
  </si>
  <si>
    <t>生日</t>
    <phoneticPr fontId="5" type="noConversion"/>
  </si>
  <si>
    <t>驗證</t>
    <phoneticPr fontId="5" type="noConversion"/>
  </si>
  <si>
    <t>彈性繳</t>
    <phoneticPr fontId="5" type="noConversion"/>
  </si>
  <si>
    <t>KEY</t>
    <phoneticPr fontId="5" type="noConversion"/>
  </si>
  <si>
    <t>躉繳</t>
    <phoneticPr fontId="5" type="noConversion"/>
  </si>
  <si>
    <t>年繳</t>
    <phoneticPr fontId="5" type="noConversion"/>
  </si>
  <si>
    <t>最高承保</t>
    <phoneticPr fontId="5" type="noConversion"/>
  </si>
  <si>
    <t>保險</t>
    <phoneticPr fontId="5" type="noConversion"/>
  </si>
  <si>
    <t>半年繳</t>
    <phoneticPr fontId="5" type="noConversion"/>
  </si>
  <si>
    <t>足歲</t>
    <phoneticPr fontId="5" type="noConversion"/>
  </si>
  <si>
    <t>季繳</t>
    <phoneticPr fontId="5" type="noConversion"/>
  </si>
  <si>
    <t>月繳</t>
    <phoneticPr fontId="5" type="noConversion"/>
  </si>
  <si>
    <t>輸入格式選項</t>
    <phoneticPr fontId="5" type="noConversion"/>
  </si>
  <si>
    <t>檢核欄位</t>
    <phoneticPr fontId="5" type="noConversion"/>
  </si>
  <si>
    <t>1.輸入格式1-6或7位數字輸入</t>
    <phoneticPr fontId="5" type="noConversion"/>
  </si>
  <si>
    <t>2.輸入格式2-年月日</t>
    <phoneticPr fontId="5" type="noConversion"/>
  </si>
  <si>
    <t>生日檢核</t>
    <phoneticPr fontId="5" type="noConversion"/>
  </si>
  <si>
    <t>最高承保(保險年齡)</t>
    <phoneticPr fontId="5" type="noConversion"/>
  </si>
  <si>
    <t>年齡檢核</t>
    <phoneticPr fontId="5" type="noConversion"/>
  </si>
  <si>
    <t>性別 (1.男 2.女)</t>
    <phoneticPr fontId="5" type="noConversion"/>
  </si>
  <si>
    <t>性別檢核</t>
    <phoneticPr fontId="5" type="noConversion"/>
  </si>
  <si>
    <t>基本資料欄位檢核結果</t>
    <phoneticPr fontId="5" type="noConversion"/>
  </si>
  <si>
    <t>計價幣別(1.台幣 2.外幣)</t>
    <phoneticPr fontId="5" type="noConversion"/>
  </si>
  <si>
    <t>險種代號</t>
    <phoneticPr fontId="5" type="noConversion"/>
  </si>
  <si>
    <t>商品中文名稱</t>
    <phoneticPr fontId="5" type="noConversion"/>
  </si>
  <si>
    <t>年期</t>
    <phoneticPr fontId="5" type="noConversion"/>
  </si>
  <si>
    <t>年期檢核</t>
    <phoneticPr fontId="5" type="noConversion"/>
  </si>
  <si>
    <t>最低保額</t>
    <phoneticPr fontId="5" type="noConversion"/>
  </si>
  <si>
    <t>最高保額</t>
    <phoneticPr fontId="5" type="noConversion"/>
  </si>
  <si>
    <t>保額</t>
    <phoneticPr fontId="5" type="noConversion"/>
  </si>
  <si>
    <t>保額檢核</t>
    <phoneticPr fontId="5" type="noConversion"/>
  </si>
  <si>
    <t>每萬保費</t>
    <phoneticPr fontId="5" type="noConversion"/>
  </si>
  <si>
    <t>繳別</t>
    <phoneticPr fontId="5" type="noConversion"/>
  </si>
  <si>
    <t>折扣率</t>
    <phoneticPr fontId="5" type="noConversion"/>
  </si>
  <si>
    <t>原始應繳保費</t>
    <phoneticPr fontId="5" type="noConversion"/>
  </si>
  <si>
    <t>匯款</t>
    <phoneticPr fontId="5" type="noConversion"/>
  </si>
  <si>
    <t>↓首期</t>
    <phoneticPr fontId="5" type="noConversion"/>
  </si>
  <si>
    <t>續期↓</t>
    <phoneticPr fontId="5" type="noConversion"/>
  </si>
  <si>
    <t>換算格式1.傳統 2.直接除</t>
    <phoneticPr fontId="5" type="noConversion"/>
  </si>
  <si>
    <t>富邦信用卡</t>
    <phoneticPr fontId="5" type="noConversion"/>
  </si>
  <si>
    <t>繳別換算率</t>
    <phoneticPr fontId="5" type="noConversion"/>
  </si>
  <si>
    <t>↑首期</t>
    <phoneticPr fontId="5" type="noConversion"/>
  </si>
  <si>
    <t>應繳保費</t>
    <phoneticPr fontId="5" type="noConversion"/>
  </si>
  <si>
    <t>自行繳費</t>
    <phoneticPr fontId="5" type="noConversion"/>
  </si>
  <si>
    <t>高保費折扣</t>
    <phoneticPr fontId="5" type="noConversion"/>
  </si>
  <si>
    <t>低&lt;=保費&lt;高</t>
    <phoneticPr fontId="5" type="noConversion"/>
  </si>
  <si>
    <t>收費</t>
    <phoneticPr fontId="5" type="noConversion"/>
  </si>
  <si>
    <t>續期↑</t>
    <phoneticPr fontId="5" type="noConversion"/>
  </si>
  <si>
    <t>高保額折扣</t>
    <phoneticPr fontId="5" type="noConversion"/>
  </si>
  <si>
    <t>險種</t>
    <phoneticPr fontId="5" type="noConversion"/>
  </si>
  <si>
    <t>首期繳別</t>
    <phoneticPr fontId="5" type="noConversion"/>
  </si>
  <si>
    <t>自繳折扣-首期</t>
    <phoneticPr fontId="5" type="noConversion"/>
  </si>
  <si>
    <t>續期繳別</t>
    <phoneticPr fontId="5" type="noConversion"/>
  </si>
  <si>
    <t>自繳折扣-續期</t>
    <phoneticPr fontId="5" type="noConversion"/>
  </si>
  <si>
    <t>折扣率上限</t>
    <phoneticPr fontId="5" type="noConversion"/>
  </si>
  <si>
    <t>首期總折扣率</t>
    <phoneticPr fontId="5" type="noConversion"/>
  </si>
  <si>
    <t>續期總折扣率</t>
    <phoneticPr fontId="5" type="noConversion"/>
  </si>
  <si>
    <t>首期實繳保費</t>
    <phoneticPr fontId="5" type="noConversion"/>
  </si>
  <si>
    <t>續期實繳保費</t>
    <phoneticPr fontId="5" type="noConversion"/>
  </si>
  <si>
    <t>繳別回乘倍數</t>
    <phoneticPr fontId="5" type="noConversion"/>
  </si>
  <si>
    <t>←首期保費規則</t>
    <phoneticPr fontId="5" type="noConversion"/>
  </si>
  <si>
    <t>最低年齡</t>
    <phoneticPr fontId="5" type="noConversion"/>
  </si>
  <si>
    <t>最高年齡</t>
    <phoneticPr fontId="5" type="noConversion"/>
  </si>
  <si>
    <t>首年實繳保費</t>
    <phoneticPr fontId="5" type="noConversion"/>
  </si>
  <si>
    <t>續年實繳保費</t>
    <phoneticPr fontId="5" type="noConversion"/>
  </si>
  <si>
    <t>主約1欄位檢核結果</t>
    <phoneticPr fontId="5" type="noConversion"/>
  </si>
  <si>
    <t>版次</t>
    <phoneticPr fontId="5" type="noConversion"/>
  </si>
  <si>
    <t>A險種+年期(2位)+性別(1位)+年齡(2位)</t>
    <phoneticPr fontId="5" type="noConversion"/>
  </si>
  <si>
    <t>SUMKEY</t>
    <phoneticPr fontId="5" type="noConversion"/>
  </si>
  <si>
    <t>F險種+年期(2位)+年齡(2位)</t>
    <phoneticPr fontId="5" type="noConversion"/>
  </si>
  <si>
    <t>繳別：</t>
    <phoneticPr fontId="5" type="noConversion"/>
  </si>
  <si>
    <t>繳費方式：</t>
    <phoneticPr fontId="5" type="noConversion"/>
  </si>
  <si>
    <t>金融機構轉帳</t>
    <phoneticPr fontId="5" type="noConversion"/>
  </si>
  <si>
    <t>一般信用卡</t>
    <phoneticPr fontId="5" type="noConversion"/>
  </si>
  <si>
    <t>‧身故保險金若被保險人未滿十五足歲前身故者，將以「所繳保險費加計利息」退還予要保人。</t>
  </si>
  <si>
    <t>‧投保後解約或不繼續繳費可能不利消費者，請慎選符合需求之保險商品。</t>
  </si>
  <si>
    <t>‧稅法相關規定或解釋之改變可能會影響本險之稅賦優惠。</t>
  </si>
  <si>
    <t>MAX-Y</t>
    <phoneticPr fontId="5"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</si>
  <si>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</si>
  <si>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</si>
  <si>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</si>
  <si>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 xml:space="preserve">  規範。</t>
  </si>
  <si>
    <t>‧保險契約各項權利義務皆詳列於保單條款，消費者務必詳加閱讀了解，並把握保單契約撤銷之時效(收到保單翌日起算</t>
  </si>
  <si>
    <t xml:space="preserve">  十日內)。</t>
  </si>
  <si>
    <t>‧本商品之保險契約由富邦人壽承保發單，招攬人員若為保險經紀人(或代理人) 所屬業務員仍應受保險業務員管理規則</t>
  </si>
  <si>
    <t xml:space="preserve">  若有加計利息，則實際理賠金額依條款約定辦理。</t>
  </si>
  <si>
    <t>員工折扣</t>
    <phoneticPr fontId="5" type="noConversion"/>
  </si>
  <si>
    <t>公版</t>
  </si>
  <si>
    <t>北富銀</t>
    <phoneticPr fontId="5" type="noConversion"/>
  </si>
  <si>
    <t>版次</t>
  </si>
  <si>
    <t>GP</t>
    <phoneticPr fontId="5" type="noConversion"/>
  </si>
  <si>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</si>
  <si>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</si>
  <si>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</si>
  <si>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</si>
  <si>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</si>
  <si>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</si>
  <si>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</si>
  <si>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</si>
  <si>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</si>
  <si>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</si>
  <si>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</si>
  <si>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</si>
  <si>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</si>
  <si>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</si>
  <si>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</si>
  <si>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</si>
  <si>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</si>
  <si>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</si>
  <si>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</si>
  <si>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</si>
  <si>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</si>
  <si>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</si>
  <si>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</si>
  <si>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</si>
  <si>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</si>
  <si>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</si>
  <si>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</si>
  <si>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</si>
  <si>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</si>
  <si>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</si>
  <si>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</si>
  <si>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</si>
  <si>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</si>
  <si>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</si>
  <si>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</si>
  <si>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</si>
  <si>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</si>
  <si>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</si>
  <si>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</si>
  <si>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</si>
  <si>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</si>
  <si>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</si>
  <si>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</si>
  <si>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</si>
  <si>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</si>
  <si>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</si>
  <si>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</si>
  <si>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</si>
  <si>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</si>
  <si>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</si>
  <si>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</si>
  <si>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</si>
  <si>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</si>
  <si>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</si>
  <si>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</si>
  <si>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</si>
  <si>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</si>
  <si>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</si>
  <si>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</si>
  <si>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</si>
  <si>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</si>
  <si>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</si>
  <si>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</si>
  <si>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</si>
  <si>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</si>
  <si>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</si>
  <si>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</si>
  <si>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</si>
  <si>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</si>
  <si>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</si>
  <si>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</si>
  <si>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</si>
  <si>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</si>
  <si>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</si>
  <si>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</si>
  <si>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</si>
  <si>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</si>
  <si>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</si>
  <si>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</si>
  <si>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</si>
  <si>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</si>
  <si>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</si>
  <si>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</si>
  <si>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</si>
  <si>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DIE</t>
    <phoneticPr fontId="5" type="noConversion"/>
  </si>
  <si>
    <t>EXP</t>
    <phoneticPr fontId="5" type="noConversion"/>
  </si>
  <si>
    <t>繳費年期</t>
    <phoneticPr fontId="5" type="noConversion"/>
  </si>
  <si>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</si>
  <si>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</si>
  <si>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</si>
  <si>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</si>
  <si>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</si>
  <si>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</si>
  <si>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</si>
  <si>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</si>
  <si>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</si>
  <si>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</si>
  <si>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</si>
  <si>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</si>
  <si>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</si>
  <si>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</si>
  <si>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</si>
  <si>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</si>
  <si>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</si>
  <si>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</si>
  <si>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</si>
  <si>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</si>
  <si>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</si>
  <si>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</si>
  <si>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</si>
  <si>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</si>
  <si>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</si>
  <si>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</si>
  <si>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</si>
  <si>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支票</t>
    <phoneticPr fontId="5" type="noConversion"/>
  </si>
  <si>
    <t>首期</t>
    <phoneticPr fontId="5" type="noConversion"/>
  </si>
  <si>
    <t>‧上表所列之各項數值，係指各保單年度末之數值。本保險契約若辦理減額繳清保險時，上表將不適用。</t>
  </si>
  <si>
    <t>‧上表數值為從未申領老年住院醫療提前給付保險金之數值，如有申領過老年住院醫療提前給付保險金者上表將不適</t>
  </si>
  <si>
    <t xml:space="preserve">  用，老年住院醫療提前給付保險金申領之條件及限制請詳閱保單條款說明。</t>
  </si>
  <si>
    <t>※本契約條款樣張須於訂立契約前提供要保人至少三日審閱期間。</t>
    <phoneticPr fontId="5" type="noConversion"/>
  </si>
  <si>
    <t>集彙折扣-首期</t>
    <phoneticPr fontId="5" type="noConversion"/>
  </si>
  <si>
    <t>集彙折扣-續期</t>
    <phoneticPr fontId="5" type="noConversion"/>
  </si>
  <si>
    <t>折扣使用</t>
    <phoneticPr fontId="5" type="noConversion"/>
  </si>
  <si>
    <t>首期</t>
    <phoneticPr fontId="5" type="noConversion"/>
  </si>
  <si>
    <t>續期</t>
    <phoneticPr fontId="5" type="noConversion"/>
  </si>
  <si>
    <t>繳費方式</t>
    <phoneticPr fontId="5" type="noConversion"/>
  </si>
  <si>
    <t>高保額</t>
    <phoneticPr fontId="5" type="noConversion"/>
  </si>
  <si>
    <t>員工轉帳件</t>
    <phoneticPr fontId="5" type="noConversion"/>
  </si>
  <si>
    <t>繳費方式、高保額及集體彙繳件折扣</t>
  </si>
  <si>
    <t>高保額及員工轉帳件折扣</t>
  </si>
  <si>
    <t>繳費方式及高保額折扣</t>
  </si>
  <si>
    <t>高保額及集體彙繳件折扣</t>
  </si>
  <si>
    <t>繳費方式及集體彙繳件折扣</t>
  </si>
  <si>
    <t>第一頁說明↓</t>
    <phoneticPr fontId="5" type="noConversion"/>
  </si>
  <si>
    <t>警語↓</t>
    <phoneticPr fontId="5" type="noConversion"/>
  </si>
  <si>
    <t>集體彙繳件</t>
    <phoneticPr fontId="5" type="noConversion"/>
  </si>
  <si>
    <t>金融機構轉帳</t>
  </si>
  <si>
    <t>適用通路：</t>
    <phoneticPr fontId="5"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</si>
  <si>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</si>
  <si>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</si>
  <si>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</si>
  <si>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</si>
  <si>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</si>
  <si>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</si>
  <si>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</si>
  <si>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</si>
  <si>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</si>
  <si>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</si>
  <si>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</si>
  <si>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</si>
  <si>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</si>
  <si>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</si>
  <si>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</si>
  <si>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</si>
  <si>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</si>
  <si>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</si>
  <si>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</si>
  <si>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</si>
  <si>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</si>
  <si>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</si>
  <si>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</si>
  <si>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</si>
  <si>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</si>
  <si>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業務、服展、北富銀</t>
    <phoneticPr fontId="5" type="noConversion"/>
  </si>
  <si>
    <t>業務、服展</t>
    <phoneticPr fontId="5" type="noConversion"/>
  </si>
  <si>
    <t>整銷</t>
    <phoneticPr fontId="5" type="noConversion"/>
  </si>
  <si>
    <t>多元</t>
    <phoneticPr fontId="5" type="noConversion"/>
  </si>
  <si>
    <t>無</t>
    <phoneticPr fontId="5" type="noConversion"/>
  </si>
  <si>
    <t>集體彙繳件</t>
    <phoneticPr fontId="5" type="noConversion"/>
  </si>
  <si>
    <t>免付費申訴專線：0809-000-550</t>
  </si>
  <si>
    <t>男</t>
  </si>
  <si>
    <t>保額限制(以千為單位)：</t>
    <phoneticPr fontId="5" type="noConversion"/>
  </si>
  <si>
    <t>年齡</t>
    <phoneticPr fontId="5" type="noConversion"/>
  </si>
  <si>
    <t>被保險人：</t>
    <phoneticPr fontId="5" type="noConversion"/>
  </si>
  <si>
    <t>專案保費折扣：</t>
    <phoneticPr fontId="5" type="noConversion"/>
  </si>
  <si>
    <t>姓名遮蔽用：中/英/數混合：前6碼"*"，中文：倒數第2碼"○"</t>
    <phoneticPr fontId="73" type="noConversion"/>
  </si>
  <si>
    <t>姓名：</t>
    <phoneticPr fontId="73" type="noConversion"/>
  </si>
  <si>
    <t>←輸入頁資料</t>
    <phoneticPr fontId="73" type="noConversion"/>
  </si>
  <si>
    <t>帶入資料</t>
    <phoneticPr fontId="73" type="noConversion"/>
  </si>
  <si>
    <t>判別不顯示(不判別)</t>
    <phoneticPr fontId="73" type="noConversion"/>
  </si>
  <si>
    <t>ID-11碼數字</t>
    <phoneticPr fontId="73" type="noConversion"/>
  </si>
  <si>
    <t>*</t>
  </si>
  <si>
    <t>ID-10碼</t>
    <phoneticPr fontId="73" type="noConversion"/>
  </si>
  <si>
    <t>**</t>
  </si>
  <si>
    <t>護照-9碼</t>
    <phoneticPr fontId="73" type="noConversion"/>
  </si>
  <si>
    <t>***</t>
  </si>
  <si>
    <t>****</t>
  </si>
  <si>
    <t>*****</t>
  </si>
  <si>
    <t>******</t>
  </si>
  <si>
    <t>空格位置</t>
    <phoneticPr fontId="73" type="noConversion"/>
  </si>
  <si>
    <t>簡寫</t>
    <phoneticPr fontId="73" type="noConversion"/>
  </si>
  <si>
    <t>1-中文-0-混合</t>
    <phoneticPr fontId="73" type="noConversion"/>
  </si>
  <si>
    <t>試算日：</t>
  </si>
  <si>
    <t>錠嵂保經</t>
  </si>
  <si>
    <r>
      <t>業務員簽名：</t>
    </r>
    <r>
      <rPr>
        <b/>
        <u/>
        <sz val="10"/>
        <rFont val="新細明體"/>
        <family val="3"/>
        <charset val="136"/>
      </rPr>
      <t xml:space="preserve">                                                   .</t>
    </r>
    <phoneticPr fontId="5" type="noConversion"/>
  </si>
  <si>
    <t>（四）病歷、醫療、健康檢查 。</t>
  </si>
  <si>
    <t>（五）要保書、要保文件等其他基於保險契約所提供之個人資料。</t>
  </si>
  <si>
    <t>‧本商品各項保險金給付詳細內容及其限制請詳閱保單條款內容說明。</t>
    <phoneticPr fontId="5" type="noConversion"/>
  </si>
  <si>
    <t>‧傷害：係指被保險人於本契約有效期間內，遭受意外傷害事故，因而蒙受之傷害。</t>
    <phoneticPr fontId="5" type="noConversion"/>
  </si>
  <si>
    <t>‧意外傷害事故：係指非由疾病引起之外來突發事故。</t>
    <phoneticPr fontId="5" type="noConversion"/>
  </si>
  <si>
    <t>‧上表保險年齡15歲以下(含15歲)之身故/完全失能保障數值，為按年繳計算之所繳保險費總和，不含加計利息的部分，</t>
  </si>
  <si>
    <t>注意事項：</t>
    <phoneticPr fontId="83" type="noConversion"/>
  </si>
  <si>
    <t>‧消費者投保前應審慎瞭解本商品之承保範圍、除外責任、不保事項及商品風險，相關內容均詳列於保單條款及相關銷售</t>
    <phoneticPr fontId="83" type="noConversion"/>
  </si>
  <si>
    <t xml:space="preserve">  文件，如有疑義請洽詢銷售人員以詳細說明。</t>
    <phoneticPr fontId="83" type="noConversion"/>
  </si>
  <si>
    <t>保單
年度</t>
    <phoneticPr fontId="5" type="noConversion"/>
  </si>
  <si>
    <t>繳費年期：</t>
    <phoneticPr fontId="5" type="noConversion"/>
  </si>
  <si>
    <t>險種代號：</t>
    <phoneticPr fontId="5" type="noConversion"/>
  </si>
  <si>
    <t>提醒設定</t>
    <phoneticPr fontId="83" type="noConversion"/>
  </si>
  <si>
    <t>跳歲計算</t>
    <phoneticPr fontId="83" type="noConversion"/>
  </si>
  <si>
    <t>新年齡/保費/差異</t>
    <phoneticPr fontId="83" type="noConversion"/>
  </si>
  <si>
    <t>全列印頁面使用</t>
    <phoneticPr fontId="83" type="noConversion"/>
  </si>
  <si>
    <t>更新區域</t>
    <phoneticPr fontId="83" type="noConversion"/>
  </si>
  <si>
    <t>帶入內容區域</t>
    <phoneticPr fontId="83" type="noConversion"/>
  </si>
  <si>
    <t>OLD/說明</t>
    <phoneticPr fontId="83" type="noConversion"/>
  </si>
  <si>
    <t>折扣率：</t>
    <phoneticPr fontId="83" type="noConversion"/>
  </si>
  <si>
    <t>保費/折扣後保費：</t>
    <phoneticPr fontId="83" type="noConversion"/>
  </si>
  <si>
    <t>表格保險種類</t>
    <phoneticPr fontId="83" type="noConversion"/>
  </si>
  <si>
    <t>增值回饋分享金給付方式：</t>
    <phoneticPr fontId="83" type="noConversion"/>
  </si>
  <si>
    <t>有增值回饋分享金頁首：</t>
    <phoneticPr fontId="83" type="noConversion"/>
  </si>
  <si>
    <t>其他頁面用</t>
    <phoneticPr fontId="83" type="noConversion"/>
  </si>
  <si>
    <t>彙總版用</t>
    <phoneticPr fontId="83" type="noConversion"/>
  </si>
  <si>
    <t>商品文號：</t>
    <phoneticPr fontId="83" type="noConversion"/>
  </si>
  <si>
    <t>預定利率</t>
    <phoneticPr fontId="83" type="noConversion"/>
  </si>
  <si>
    <t>列印頁版次試算日：</t>
    <phoneticPr fontId="83" type="noConversion"/>
  </si>
  <si>
    <t>頁尾審閱期：(組合需加代號)</t>
    <phoneticPr fontId="83" type="noConversion"/>
  </si>
  <si>
    <t>頁尾警語：</t>
    <phoneticPr fontId="83" type="noConversion"/>
  </si>
  <si>
    <t>全列印頁表頭欄位使用</t>
    <phoneticPr fontId="83" type="noConversion"/>
  </si>
  <si>
    <t>16歲前年度回饋分享金：</t>
    <phoneticPr fontId="83" type="noConversion"/>
  </si>
  <si>
    <t>16歲前增購保額身故欄位：</t>
    <phoneticPr fontId="83" type="noConversion"/>
  </si>
  <si>
    <t>16歲前增購保額解約金欄位：</t>
    <phoneticPr fontId="83" type="noConversion"/>
  </si>
  <si>
    <t>輸入頁使用</t>
    <phoneticPr fontId="83" type="noConversion"/>
  </si>
  <si>
    <t>輸入頁試算日</t>
    <phoneticPr fontId="83" type="noConversion"/>
  </si>
  <si>
    <t>未滿15足歲：</t>
    <phoneticPr fontId="83" type="noConversion"/>
  </si>
  <si>
    <t xml:space="preserve"> </t>
    <phoneticPr fontId="83" type="noConversion"/>
  </si>
  <si>
    <t>列印頁/列印頁-銀保</t>
    <phoneticPr fontId="83" type="noConversion"/>
  </si>
  <si>
    <t>無增值回饋分享金給付文字</t>
    <phoneticPr fontId="83" type="noConversion"/>
  </si>
  <si>
    <t>下表保險相關給付為假設無增值回饋分享金之情境</t>
    <phoneticPr fontId="83" type="noConversion"/>
  </si>
  <si>
    <t>全列印頁面-祝壽保險金</t>
    <phoneticPr fontId="83" type="noConversion"/>
  </si>
  <si>
    <t>祝壽保險金：</t>
    <phoneticPr fontId="83" type="noConversion"/>
  </si>
  <si>
    <t>增額繳清保險金額祝壽保險金：</t>
    <phoneticPr fontId="83" type="noConversion"/>
  </si>
  <si>
    <t>總保險金額祝壽保險金：</t>
    <phoneticPr fontId="83" type="noConversion"/>
  </si>
  <si>
    <t>要保人</t>
    <phoneticPr fontId="83" type="noConversion"/>
  </si>
  <si>
    <t>fubon</t>
    <phoneticPr fontId="83" type="noConversion"/>
  </si>
  <si>
    <t>試算日</t>
    <phoneticPr fontId="83" type="noConversion"/>
  </si>
  <si>
    <t>生日</t>
    <phoneticPr fontId="83" type="noConversion"/>
  </si>
  <si>
    <t>驗證</t>
    <phoneticPr fontId="83" type="noConversion"/>
  </si>
  <si>
    <t>提醒↓</t>
    <phoneticPr fontId="83" type="noConversion"/>
  </si>
  <si>
    <t>保險</t>
    <phoneticPr fontId="83" type="noConversion"/>
  </si>
  <si>
    <t>足歲</t>
    <phoneticPr fontId="83" type="noConversion"/>
  </si>
  <si>
    <t>提前提醒</t>
    <phoneticPr fontId="83" type="noConversion"/>
  </si>
  <si>
    <t>錄音提醒功能</t>
    <phoneticPr fontId="83" type="noConversion"/>
  </si>
  <si>
    <t>1=提醒/0=不提醒</t>
    <phoneticPr fontId="83" type="noConversion"/>
  </si>
  <si>
    <t>繳款人生日</t>
  </si>
  <si>
    <t>銷售紀錄單使用版本</t>
    <phoneticPr fontId="83" type="noConversion"/>
  </si>
  <si>
    <t>PB</t>
  </si>
  <si>
    <t>←銀保通路判別使用</t>
  </si>
  <si>
    <t>105.11.14富壽商精字第 1050003499 號函備查、110.07.26富壽商精字第1100001366號函備查</t>
    <phoneticPr fontId="83" type="noConversion"/>
  </si>
  <si>
    <t>‧本公司資訊公開說明文件放置網址www.fubon.com/life/，歡迎上網查詢。</t>
    <phoneticPr fontId="5" type="noConversion"/>
  </si>
  <si>
    <t>職業等級</t>
  </si>
  <si>
    <t>年期</t>
  </si>
  <si>
    <t>繳費年度</t>
  </si>
  <si>
    <t>保費</t>
  </si>
  <si>
    <t xml:space="preserve">  相關資訊，請洽本公司業務員、服務據點(免費服務及申訴電話：0809-000-550)或網站(www.fubon.com/life/)，</t>
    <phoneticPr fontId="5" type="noConversion"/>
  </si>
  <si>
    <t xml:space="preserve">  以保障您的權益。</t>
    <phoneticPr fontId="5" type="noConversion"/>
  </si>
  <si>
    <t>客戶</t>
    <phoneticPr fontId="5" type="noConversion"/>
  </si>
  <si>
    <t>年齡-1</t>
    <phoneticPr fontId="83" type="noConversion"/>
  </si>
  <si>
    <t>最高保額-2</t>
    <phoneticPr fontId="83" type="noConversion"/>
  </si>
  <si>
    <t>‧本保險為不分紅保險單，不參加紅利分配，並無紅利給付項目。</t>
    <phoneticPr fontId="5" type="noConversion"/>
  </si>
  <si>
    <t>商品摘要</t>
    <phoneticPr fontId="5" type="noConversion"/>
  </si>
  <si>
    <t>←帶OP</t>
    <phoneticPr fontId="5" type="noConversion"/>
  </si>
  <si>
    <t>以下3欄要注意最下方要和右側揭露拉齊</t>
    <phoneticPr fontId="5" type="noConversion"/>
  </si>
  <si>
    <t>以下COPY-DB</t>
    <phoneticPr fontId="5" type="noConversion"/>
  </si>
  <si>
    <t>代表年齡第?小→</t>
    <phoneticPr fontId="5" type="noConversion"/>
  </si>
  <si>
    <t>年齡代號轉換</t>
    <phoneticPr fontId="5" type="noConversion"/>
  </si>
  <si>
    <t>年度</t>
    <phoneticPr fontId="5" type="noConversion"/>
  </si>
  <si>
    <t>險種大類</t>
  </si>
  <si>
    <t>年期險種</t>
  </si>
  <si>
    <t>繳費方式</t>
  </si>
  <si>
    <t>宣告利率</t>
  </si>
  <si>
    <t>繳費金額</t>
  </si>
  <si>
    <t>保單年度</t>
  </si>
  <si>
    <t>揭露利率</t>
  </si>
  <si>
    <t>性別男=1，女=2→</t>
    <phoneticPr fontId="5" type="noConversion"/>
  </si>
  <si>
    <t>取第?欄→</t>
    <phoneticPr fontId="5" type="noConversion"/>
  </si>
  <si>
    <t>第?小↓</t>
    <phoneticPr fontId="5" type="noConversion"/>
  </si>
  <si>
    <t>保單年度</t>
    <phoneticPr fontId="5" type="noConversion"/>
  </si>
  <si>
    <t>以上區域為帶入列印頁範圍</t>
    <phoneticPr fontId="5" type="noConversion"/>
  </si>
  <si>
    <t>保額代碼</t>
  </si>
  <si>
    <t>投保金額</t>
  </si>
  <si>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</si>
  <si>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</si>
  <si>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</si>
  <si>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</si>
  <si>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</si>
  <si>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</si>
  <si>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</si>
  <si>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</si>
  <si>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</si>
  <si>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</si>
  <si>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</si>
  <si>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</si>
  <si>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</si>
  <si>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</si>
  <si>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</si>
  <si>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</si>
  <si>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</si>
  <si>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</si>
  <si>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</si>
  <si>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</si>
  <si>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</si>
  <si>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</si>
  <si>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</si>
  <si>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</si>
  <si>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</si>
  <si>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</si>
  <si>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</si>
  <si>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</si>
  <si>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</si>
  <si>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</si>
  <si>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</si>
  <si>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</si>
  <si>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</si>
  <si>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</si>
  <si>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</si>
  <si>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</si>
  <si>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</si>
  <si>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</si>
  <si>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</si>
  <si>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</si>
  <si>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</si>
  <si>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</si>
  <si>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</si>
  <si>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</si>
  <si>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</si>
  <si>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</si>
  <si>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</si>
  <si>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</si>
  <si>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</si>
  <si>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</si>
  <si>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</si>
  <si>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</si>
  <si>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</si>
  <si>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</si>
  <si>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</si>
  <si>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</si>
  <si>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</si>
  <si>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</si>
  <si>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</si>
  <si>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</si>
  <si>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</si>
  <si>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</si>
  <si>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</si>
  <si>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</si>
  <si>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</si>
  <si>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</si>
  <si>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</si>
  <si>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</si>
  <si>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</si>
  <si>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</si>
  <si>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</si>
  <si>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</si>
  <si>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</si>
  <si>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</si>
  <si>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</si>
  <si>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</si>
  <si>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</si>
  <si>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</si>
  <si>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</si>
  <si>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</si>
  <si>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</si>
  <si>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</si>
  <si>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</si>
  <si>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</si>
  <si>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</si>
  <si>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</si>
  <si>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</si>
  <si>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</si>
  <si>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</si>
  <si>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</si>
  <si>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</si>
  <si>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</si>
  <si>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</si>
  <si>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</si>
  <si>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</si>
  <si>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</si>
  <si>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</si>
  <si>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</si>
  <si>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</si>
  <si>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</si>
  <si>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</si>
  <si>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</si>
  <si>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</si>
  <si>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</si>
  <si>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</si>
  <si>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</si>
  <si>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</si>
  <si>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</si>
  <si>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</si>
  <si>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</si>
  <si>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</si>
  <si>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CV</t>
    <phoneticPr fontId="5" type="noConversion"/>
  </si>
  <si>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</si>
  <si>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</si>
  <si>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</si>
  <si>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</si>
  <si>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</si>
  <si>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</si>
  <si>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</si>
  <si>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</si>
  <si>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</si>
  <si>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</si>
  <si>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</si>
  <si>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</si>
  <si>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</si>
  <si>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</si>
  <si>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</si>
  <si>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</si>
  <si>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</si>
  <si>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</si>
  <si>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</si>
  <si>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</si>
  <si>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</si>
  <si>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</si>
  <si>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</si>
  <si>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</si>
  <si>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</si>
  <si>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</si>
  <si>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</si>
  <si>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</si>
  <si>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</si>
  <si>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</si>
  <si>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</si>
  <si>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</si>
  <si>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</si>
  <si>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</si>
  <si>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</si>
  <si>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</si>
  <si>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</si>
  <si>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</si>
  <si>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</si>
  <si>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</si>
  <si>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</si>
  <si>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</si>
  <si>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</si>
  <si>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</si>
  <si>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</si>
  <si>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</si>
  <si>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</si>
  <si>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</si>
  <si>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</si>
  <si>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</si>
  <si>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</si>
  <si>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</si>
  <si>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</si>
  <si>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</si>
  <si>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</si>
  <si>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</si>
  <si>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</si>
  <si>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</si>
  <si>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</si>
  <si>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</si>
  <si>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</si>
  <si>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</si>
  <si>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</si>
  <si>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</si>
  <si>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</si>
  <si>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</si>
  <si>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</si>
  <si>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</si>
  <si>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</si>
  <si>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</si>
  <si>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</si>
  <si>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</si>
  <si>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</si>
  <si>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</si>
  <si>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</si>
  <si>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</si>
  <si>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</si>
  <si>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</si>
  <si>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</si>
  <si>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</si>
  <si>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</si>
  <si>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</si>
  <si>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</si>
  <si>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</si>
  <si>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</si>
  <si>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</si>
  <si>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</si>
  <si>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</si>
  <si>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</si>
  <si>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</si>
  <si>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</si>
  <si>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</si>
  <si>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</si>
  <si>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</si>
  <si>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</si>
  <si>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</si>
  <si>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</si>
  <si>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</si>
  <si>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</si>
  <si>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</si>
  <si>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</si>
  <si>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</si>
  <si>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</si>
  <si>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</si>
  <si>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</si>
  <si>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</si>
  <si>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</si>
  <si>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</si>
  <si>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</si>
  <si>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</si>
  <si>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</si>
  <si>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PA</t>
    <phoneticPr fontId="5" type="noConversion"/>
  </si>
  <si>
    <t>‧本保險契約若辦理減額繳清保險時，上表將不適用。</t>
    <phoneticPr fontId="5" type="noConversion"/>
  </si>
  <si>
    <t>揭露事項：</t>
    <phoneticPr fontId="5" type="noConversion"/>
  </si>
  <si>
    <t>‧本商品保險保障部份受「財團法人保險安定基金」之「人身保險安定基金專戶」保障，並非存款，不受存款保險之保障。</t>
    <phoneticPr fontId="5" type="noConversion"/>
  </si>
  <si>
    <t>健康管理保險費折扣項目</t>
    <phoneticPr fontId="83" type="noConversion"/>
  </si>
  <si>
    <t>‧上表健康管理折扣後實繳保費，繳費期內如不符折扣條件，上表將不適用，詳細內容以投保當時保單條款規定為準。</t>
    <phoneticPr fontId="83" type="noConversion"/>
  </si>
  <si>
    <t>慢性精神病</t>
    <phoneticPr fontId="5" type="noConversion"/>
  </si>
  <si>
    <t>年度
實繳保費</t>
    <phoneticPr fontId="5" type="noConversion"/>
  </si>
  <si>
    <t>年度末
解約金</t>
    <phoneticPr fontId="5" type="noConversion"/>
  </si>
  <si>
    <t>56</t>
  </si>
  <si>
    <t>第1年重疾保險金</t>
  </si>
  <si>
    <t>第2年重疾保險金</t>
  </si>
  <si>
    <t>第3年重疾保險金</t>
  </si>
  <si>
    <t>第4年重疾保險金</t>
  </si>
  <si>
    <t>第5年重疾保險金</t>
  </si>
  <si>
    <t>第6年重疾保險金</t>
  </si>
  <si>
    <t>第7年重疾保險金</t>
  </si>
  <si>
    <t>第8年重疾保險金</t>
  </si>
  <si>
    <t>第9年重疾保險金</t>
  </si>
  <si>
    <t>第10年重疾保險金</t>
  </si>
  <si>
    <t>第11年重疾保險金</t>
  </si>
  <si>
    <t>第12年重疾保險金</t>
  </si>
  <si>
    <t>第13年重疾保險金</t>
  </si>
  <si>
    <t>第14年重疾保險金</t>
  </si>
  <si>
    <t>第15年重疾保險金</t>
  </si>
  <si>
    <t>第16年重疾保險金</t>
  </si>
  <si>
    <t>第17年重疾保險金</t>
  </si>
  <si>
    <t>第18年重疾保險金</t>
  </si>
  <si>
    <t>第19年重疾保險金</t>
  </si>
  <si>
    <t>第20年重疾保險金</t>
  </si>
  <si>
    <t>第21年重疾保險金</t>
  </si>
  <si>
    <t>第22年重疾保險金</t>
  </si>
  <si>
    <t>第23年重疾保險金</t>
  </si>
  <si>
    <t>第24年重疾保險金</t>
  </si>
  <si>
    <t>第25年重疾保險金</t>
  </si>
  <si>
    <t>第26年重疾保險金</t>
  </si>
  <si>
    <t>第27年重疾保險金</t>
  </si>
  <si>
    <t>第28年重疾保險金</t>
  </si>
  <si>
    <t>第29年重疾保險金</t>
  </si>
  <si>
    <t>第30年重疾保險金</t>
  </si>
  <si>
    <t>第31年重疾保險金</t>
  </si>
  <si>
    <t>第32年重疾保險金</t>
  </si>
  <si>
    <t>第33年重疾保險金</t>
  </si>
  <si>
    <t>第34年重疾保險金</t>
  </si>
  <si>
    <t>第35年重疾保險金</t>
  </si>
  <si>
    <t>第36年重疾保險金</t>
  </si>
  <si>
    <t>第37年重疾保險金</t>
  </si>
  <si>
    <t>第38年重疾保險金</t>
  </si>
  <si>
    <t>第39年重疾保險金</t>
  </si>
  <si>
    <t>第40年重疾保險金</t>
  </si>
  <si>
    <t>第41年重疾保險金</t>
  </si>
  <si>
    <t>第42年重疾保險金</t>
  </si>
  <si>
    <t>第43年重疾保險金</t>
  </si>
  <si>
    <t>第44年重疾保險金</t>
  </si>
  <si>
    <t>第45年重疾保險金</t>
  </si>
  <si>
    <t>第46年重疾保險金</t>
  </si>
  <si>
    <t>第47年重疾保險金</t>
  </si>
  <si>
    <t>第48年重疾保險金</t>
  </si>
  <si>
    <t>第49年重疾保險金</t>
  </si>
  <si>
    <t>第50年重疾保險金</t>
  </si>
  <si>
    <t>第51年重疾保險金</t>
  </si>
  <si>
    <t>第52年重疾保險金</t>
  </si>
  <si>
    <t>第53年重疾保險金</t>
  </si>
  <si>
    <t>第54年重疾保險金</t>
  </si>
  <si>
    <t>第55年重疾保險金</t>
  </si>
  <si>
    <t>第56年重疾保險金</t>
  </si>
  <si>
    <t>第57年重疾保險金</t>
  </si>
  <si>
    <t>第58年重疾保險金</t>
  </si>
  <si>
    <t>第59年重疾保險金</t>
  </si>
  <si>
    <t>第60年重疾保險金</t>
  </si>
  <si>
    <t>第61年重疾保險金</t>
  </si>
  <si>
    <t>第62年重疾保險金</t>
  </si>
  <si>
    <t>第63年重疾保險金</t>
  </si>
  <si>
    <t>第64年重疾保險金</t>
  </si>
  <si>
    <t>第65年重疾保險金</t>
  </si>
  <si>
    <t>第66年重疾保險金</t>
  </si>
  <si>
    <t>第67年重疾保險金</t>
  </si>
  <si>
    <t>第68年重疾保險金</t>
  </si>
  <si>
    <t>第69年重疾保險金</t>
  </si>
  <si>
    <t>第70年重疾保險金</t>
  </si>
  <si>
    <t>第71年重疾保險金</t>
  </si>
  <si>
    <t>第72年重疾保險金</t>
  </si>
  <si>
    <t>第73年重疾保險金</t>
  </si>
  <si>
    <t>第74年重疾保險金額</t>
  </si>
  <si>
    <t>第75年重疾保險金</t>
  </si>
  <si>
    <t>第76年重疾保險金</t>
  </si>
  <si>
    <t>第77年重疾保險金</t>
  </si>
  <si>
    <t>第78年重疾保險金</t>
  </si>
  <si>
    <t>第79年重疾保險金</t>
  </si>
  <si>
    <t>第80年重疾保險金</t>
  </si>
  <si>
    <t>第81年重疾保險金</t>
  </si>
  <si>
    <t>第82年重疾保險金</t>
  </si>
  <si>
    <t>第83年重疾保險金</t>
  </si>
  <si>
    <t>第84年重疾保險金</t>
  </si>
  <si>
    <t>第85年重疾保險金</t>
  </si>
  <si>
    <t>第86年重疾保險金</t>
  </si>
  <si>
    <t>第87年重疾保險金</t>
  </si>
  <si>
    <t>第88年重疾保險金</t>
  </si>
  <si>
    <t>第89年重疾保險金</t>
  </si>
  <si>
    <t>第90年重疾保險金</t>
  </si>
  <si>
    <t>第91年重疾保險金</t>
  </si>
  <si>
    <t>第92年重疾保險金</t>
  </si>
  <si>
    <t>第93年重疾保險金</t>
  </si>
  <si>
    <t>第94年重疾保險金</t>
  </si>
  <si>
    <t>第95年重疾保險金</t>
  </si>
  <si>
    <t>第96年重疾保險金</t>
  </si>
  <si>
    <t>第97年重疾保險金</t>
  </si>
  <si>
    <t>第98年重疾保險金</t>
  </si>
  <si>
    <t>第99年重疾保險金</t>
  </si>
  <si>
    <t>第100年重疾保險金</t>
  </si>
  <si>
    <t>第101年重疾保險金</t>
  </si>
  <si>
    <t>第102年重疾保險金</t>
  </si>
  <si>
    <t>第103年重疾保險金</t>
  </si>
  <si>
    <t>第104年重疾保險金</t>
  </si>
  <si>
    <t>第105年重疾保險金</t>
  </si>
  <si>
    <t>第106年重疾保險金</t>
  </si>
  <si>
    <t>第107年重疾保險金</t>
  </si>
  <si>
    <t>第108年重疾保險金</t>
  </si>
  <si>
    <t>第109年重疾保險金</t>
  </si>
  <si>
    <t>第110年重疾保險金</t>
  </si>
  <si>
    <t>第111年重疾保險金</t>
  </si>
  <si>
    <t>tbHEALTH2(重大傷病給付-非慢性病)</t>
    <phoneticPr fontId="5" type="noConversion"/>
  </si>
  <si>
    <t>tbHEALTH3(重大疾病給付)</t>
    <phoneticPr fontId="5" type="noConversion"/>
  </si>
  <si>
    <t>‧本保險重大傷病範圍為「全民健康保險重大傷病項目及其證明有效期限」所載之項目，但不包含以下項目：</t>
    <phoneticPr fontId="5" type="noConversion"/>
  </si>
  <si>
    <t xml:space="preserve">  一、遺傳性凝血因子缺乏。二、先天性新陳代謝異常疾病。三、心、肺、胃腸、腎臟、神經、骨骼系統等之</t>
    <phoneticPr fontId="5" type="noConversion"/>
  </si>
  <si>
    <t xml:space="preserve">  先天性畸形及染色體異常。四、先天性免疫不全症。五、職業病。六、先天性肌肉萎縮症。七、外皮之先天</t>
    <phoneticPr fontId="5" type="noConversion"/>
  </si>
  <si>
    <t xml:space="preserve">  (一)急性心肌梗塞(重度)、(二)冠狀動脈繞道手術。</t>
    <phoneticPr fontId="5" type="noConversion"/>
  </si>
  <si>
    <t xml:space="preserve">  畸形。八、早產兒所引起之神經、肌肉、骨骼、心臟、肺臟等之併發症。</t>
    <phoneticPr fontId="5" type="noConversion"/>
  </si>
  <si>
    <t>身故/完全
失能保障</t>
    <phoneticPr fontId="5" type="noConversion"/>
  </si>
  <si>
    <t>重大傷病保險金</t>
    <phoneticPr fontId="5" type="noConversion"/>
  </si>
  <si>
    <t>投     保     利     益     表</t>
    <phoneticPr fontId="5" type="noConversion"/>
  </si>
  <si>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</si>
  <si>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</si>
  <si>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</si>
  <si>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保額小數位數</t>
    <phoneticPr fontId="83" type="noConversion"/>
  </si>
  <si>
    <t>新臺幣</t>
  </si>
  <si>
    <t>‧上表所列各項保險給付項目實際給付金額以保單條款規定為準。</t>
    <phoneticPr fontId="5" type="noConversion"/>
  </si>
  <si>
    <t>年度末
減額繳清
保險金額</t>
    <phoneticPr fontId="5" type="noConversion"/>
  </si>
  <si>
    <t xml:space="preserve"> ※本契約條款樣張須於訂立契約前提供要保人至少三日審閱期間</t>
    <phoneticPr fontId="83" type="noConversion"/>
  </si>
  <si>
    <t>‧本保險健康險部分因費率計算已考慮脫退率，故健康險部分無解約金。</t>
    <phoneticPr fontId="5" type="noConversion"/>
  </si>
  <si>
    <t>投保本商品的目的及需求：</t>
  </si>
  <si>
    <t>「銷售過程紀錄錄音參考範本投保目的及需求須與業務人員報告書一致」</t>
  </si>
  <si>
    <t>指定疫苗接種或健康檢查</t>
    <phoneticPr fontId="83" type="noConversion"/>
  </si>
  <si>
    <t>除慢性精神病以外之
重大傷病</t>
    <phoneticPr fontId="5" type="noConversion"/>
  </si>
  <si>
    <t>本保單計價幣別：</t>
    <phoneticPr fontId="83" type="noConversion"/>
  </si>
  <si>
    <t>單位：元</t>
    <phoneticPr fontId="5" type="noConversion"/>
  </si>
  <si>
    <t>‧特定重大疾病：係指經醫院醫師診斷確定罹患符合下列各目定義之特定重大疾病之一：</t>
    <phoneticPr fontId="5" type="noConversion"/>
  </si>
  <si>
    <t>‧等待期間：係指自本契約生效日起持續有效三十日之期間。但屬保單條款附表所載「一、需積極或長期治療</t>
    <phoneticPr fontId="5" type="noConversion"/>
  </si>
  <si>
    <t>‧健康管理保險費折扣：本契約有效之繳費期間內，被保險人於指定期間內，接受經中央衛生主管機關查驗登記並核准使</t>
    <phoneticPr fontId="5" type="noConversion"/>
  </si>
  <si>
    <t xml:space="preserve">  用之指定疫苗接種，或接受經中央衛生主管機關核准登記並領有開業執照之醫療機構或醫事檢驗所之合格醫事人員所作</t>
    <phoneticPr fontId="5" type="noConversion"/>
  </si>
  <si>
    <t xml:space="preserve">  之健康檢查，並將證明文件或報告送達本公司者，本契約次一保單年度之續期保險費(不含附約)，按提供之項目，給予</t>
    <phoneticPr fontId="5" type="noConversion"/>
  </si>
  <si>
    <t xml:space="preserve">  (一)指定疫苗接種證明文件：提供包含受接種人為被保險人姓名、完整身分證統一編號、接受「指定疫苗接種」的任一</t>
    <phoneticPr fontId="5" type="noConversion"/>
  </si>
  <si>
    <t xml:space="preserve">      項目、接種日期及醫療機構之證明文件，本公司將提供本契約次一保單年度續期保險費1%之健康折扣。於同一指定</t>
    <phoneticPr fontId="5" type="noConversion"/>
  </si>
  <si>
    <t xml:space="preserve">      期間內，被保險人無論接受幾次接種，本款健康折扣均以一次計算。</t>
    <phoneticPr fontId="5" type="noConversion"/>
  </si>
  <si>
    <t xml:space="preserve">  (二)健康檢查報告：提供包含被保險人身高、體重、血壓、血糖、血脂肪(包括膽固醇及三酸甘油脂)等數值之檢查報告</t>
    <phoneticPr fontId="5" type="noConversion"/>
  </si>
  <si>
    <t xml:space="preserve">  被保險人如未於第一項約定之期限內提供疫苗接種證明文件或健康檢查報告予本公司者，本契約次一保單年度即不提供</t>
    <phoneticPr fontId="5" type="noConversion"/>
  </si>
  <si>
    <t xml:space="preserve">  健康折扣。</t>
    <phoneticPr fontId="5" type="noConversion"/>
  </si>
  <si>
    <t>‧特定重大傷病：係指被保險人經醫院醫師診斷確定而屬「重大傷病範圍」中下列項目之一：</t>
    <phoneticPr fontId="5" type="noConversion"/>
  </si>
  <si>
    <t xml:space="preserve">  (一)燒燙傷面積達全身百分之二十以上；或顏面燒燙傷合併五官功能障礙者。</t>
    <phoneticPr fontId="5" type="noConversion"/>
  </si>
  <si>
    <t xml:space="preserve">  (二)重大創傷且其嚴重程度到達創傷嚴重程度分數十六分以上者。</t>
    <phoneticPr fontId="5" type="noConversion"/>
  </si>
  <si>
    <t xml:space="preserve">  其後上述「特定重大傷病」之內容如有變動，則以中央衛生主管機關最新公告之內容為準。</t>
    <phoneticPr fontId="5" type="noConversion"/>
  </si>
  <si>
    <t>現售</t>
  </si>
  <si>
    <t>二至六級意外失能豁免保險費</t>
    <phoneticPr fontId="5" type="noConversion"/>
  </si>
  <si>
    <t xml:space="preserve">  本契約已達豁免保險費者，無本條約定適用。</t>
    <phoneticPr fontId="5" type="noConversion"/>
  </si>
  <si>
    <t>年繳</t>
  </si>
  <si>
    <t>HEALTH1(重大傷病給付-慢性精神病)</t>
    <phoneticPr fontId="5" type="noConversion"/>
  </si>
  <si>
    <t xml:space="preserve">  之癌症」之範圍及保單條款第二條第七款特定重大疾病者，則係指自本契約生效日起持續有效九十日之期間</t>
    <phoneticPr fontId="5" type="noConversion"/>
  </si>
  <si>
    <t xml:space="preserve">  。但因遭受意外傷害事故所致者，不受等待期間之限制。</t>
    <phoneticPr fontId="5" type="noConversion"/>
  </si>
  <si>
    <t>銀保</t>
    <phoneticPr fontId="5" type="noConversion"/>
  </si>
  <si>
    <t>業務、服展、北富銀</t>
  </si>
  <si>
    <t>同被保險人</t>
  </si>
  <si>
    <t>要保人同被保險人</t>
  </si>
  <si>
    <t>繳款人同被保險人</t>
  </si>
  <si>
    <t>繳款人同要保人</t>
  </si>
  <si>
    <t>與被保險人不同人</t>
  </si>
  <si>
    <t>要保人</t>
  </si>
  <si>
    <t>被保人</t>
  </si>
  <si>
    <t>繳款人</t>
  </si>
  <si>
    <t>月繳*2 ←1130126新增月繳倍數(紀錄單用)</t>
  </si>
  <si>
    <t>公司名稱：</t>
  </si>
  <si>
    <t>招攬人：</t>
  </si>
  <si>
    <t>登錄證：</t>
  </si>
  <si>
    <t>共同招攬人：</t>
  </si>
  <si>
    <t>共同招攬人登錄證：</t>
  </si>
  <si>
    <t>要保人/繳款人：</t>
    <phoneticPr fontId="83" type="noConversion"/>
  </si>
  <si>
    <t>（一）期間：因執行業務所必須及依法令規定應為保存之期間。</t>
  </si>
  <si>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</si>
  <si>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</si>
  <si>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</si>
  <si>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</si>
  <si>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五、台端不提供個人資料所致權益之影響</t>
  </si>
  <si>
    <t>本商品之各保單年度末之解約金、生存保險金及預估紅利總和與加計利息之應繳保險費累計之差異情形揭示如下表。</t>
    <phoneticPr fontId="5" type="noConversion"/>
  </si>
  <si>
    <t>‧富邦人壽保險股份有限公司 / 地址：台北市信義區松高路77號8樓 / 電話：(02)8771-6699</t>
    <phoneticPr fontId="5" type="noConversion"/>
  </si>
  <si>
    <t>‧上表年度/累計實繳保費已扣除繳費方式折扣，繳費期內如不符繳費方式折扣條件，上表將不適用。</t>
  </si>
  <si>
    <t>客戶計畫繳交保費(元)：</t>
    <phoneticPr fontId="83" type="noConversion"/>
  </si>
  <si>
    <t>換算可購買保額(萬)：</t>
    <phoneticPr fontId="83" type="noConversion"/>
  </si>
  <si>
    <t>計畫繳交保費換算保額未考慮保費折扣條件</t>
    <phoneticPr fontId="83" type="noConversion"/>
  </si>
  <si>
    <t>保費</t>
    <phoneticPr fontId="83" type="noConversion"/>
  </si>
  <si>
    <t>換算1</t>
    <phoneticPr fontId="83" type="noConversion"/>
  </si>
  <si>
    <t>換算2加計折扣</t>
    <phoneticPr fontId="83" type="noConversion"/>
  </si>
  <si>
    <t>保額輸入檢核</t>
    <phoneticPr fontId="83" type="noConversion"/>
  </si>
  <si>
    <t>0.00%</t>
  </si>
  <si>
    <t>滿期保險金</t>
    <phoneticPr fontId="5" type="noConversion"/>
  </si>
  <si>
    <t>第1年滿期保險金</t>
  </si>
  <si>
    <t>第2年滿期保險金</t>
  </si>
  <si>
    <t>第3年滿期保險金</t>
  </si>
  <si>
    <t>第4年滿期保險金</t>
  </si>
  <si>
    <t>第5年滿期保險金</t>
  </si>
  <si>
    <t>第6年滿期保險金</t>
  </si>
  <si>
    <t>第7年滿期保險金</t>
  </si>
  <si>
    <t>第8年滿期保險金</t>
  </si>
  <si>
    <t>第9年滿期保險金</t>
  </si>
  <si>
    <t>第10年滿期保險金</t>
  </si>
  <si>
    <t>第11年滿期保險金</t>
  </si>
  <si>
    <t>第12年滿期保險金</t>
  </si>
  <si>
    <t>第13年滿期保險金</t>
  </si>
  <si>
    <t>第14年滿期保險金</t>
  </si>
  <si>
    <t>第15年滿期保險金</t>
  </si>
  <si>
    <t>第16年滿期保險金</t>
  </si>
  <si>
    <t>第17年滿期保險金</t>
  </si>
  <si>
    <t>第18年滿期保險金</t>
  </si>
  <si>
    <t>第19年滿期保險金</t>
  </si>
  <si>
    <t>第20年滿期保險金</t>
  </si>
  <si>
    <t>第21年滿期保險金</t>
  </si>
  <si>
    <t>第22年滿期保險金</t>
  </si>
  <si>
    <t>第23年滿期保險金</t>
  </si>
  <si>
    <t>第24年滿期保險金</t>
  </si>
  <si>
    <t>第25年滿期保險金</t>
  </si>
  <si>
    <t>第26年滿期保險金</t>
  </si>
  <si>
    <t>第27年滿期保險金</t>
  </si>
  <si>
    <t>第28年滿期保險金</t>
  </si>
  <si>
    <t>第29年滿期保險金</t>
  </si>
  <si>
    <t>第30年滿期保險金</t>
  </si>
  <si>
    <t>第31年滿期保險金</t>
  </si>
  <si>
    <t>第32年滿期保險金</t>
  </si>
  <si>
    <t>第33年滿期保險金</t>
  </si>
  <si>
    <t>第34年滿期保險金</t>
  </si>
  <si>
    <t>第35年滿期保險金</t>
  </si>
  <si>
    <t>第36年滿期保險金</t>
  </si>
  <si>
    <t>第37年滿期保險金</t>
  </si>
  <si>
    <t>第38年滿期保險金</t>
  </si>
  <si>
    <t>第39年滿期保險金</t>
  </si>
  <si>
    <t>第40年滿期保險金</t>
  </si>
  <si>
    <t>第41年滿期保險金</t>
  </si>
  <si>
    <t>第42年滿期保險金</t>
  </si>
  <si>
    <t>第43年滿期保險金</t>
  </si>
  <si>
    <t>第44年滿期保險金</t>
  </si>
  <si>
    <t>第45年滿期保險金</t>
  </si>
  <si>
    <t>第46年滿期保險金</t>
  </si>
  <si>
    <t>第47年滿期保險金</t>
  </si>
  <si>
    <t>第48年滿期保險金</t>
  </si>
  <si>
    <t>第49年滿期保險金</t>
  </si>
  <si>
    <t>第50年滿期保險金</t>
  </si>
  <si>
    <t>第51年滿期保險金</t>
  </si>
  <si>
    <t>第52年滿期保險金</t>
  </si>
  <si>
    <t>第53年滿期保險金</t>
  </si>
  <si>
    <t>第54年滿期保險金</t>
  </si>
  <si>
    <t>第55年滿期保險金</t>
  </si>
  <si>
    <t>第56年滿期保險金</t>
  </si>
  <si>
    <t>第57年滿期保險金</t>
  </si>
  <si>
    <t>第58年滿期保險金</t>
  </si>
  <si>
    <t>第59年滿期保險金</t>
  </si>
  <si>
    <t>第60年滿期保險金</t>
  </si>
  <si>
    <t>第61年滿期保險金</t>
  </si>
  <si>
    <t>第62年滿期保險金</t>
  </si>
  <si>
    <t>第63年滿期保險金</t>
  </si>
  <si>
    <t>第64年滿期保險金</t>
  </si>
  <si>
    <t>第65年滿期保險金</t>
  </si>
  <si>
    <t>第66年滿期保險金</t>
  </si>
  <si>
    <t>第67年滿期保險金</t>
  </si>
  <si>
    <t>第68年滿期保險金</t>
  </si>
  <si>
    <t>第69年滿期保險金</t>
  </si>
  <si>
    <t>第70年滿期保險金</t>
  </si>
  <si>
    <t>第71年滿期保險金</t>
  </si>
  <si>
    <t>第72年滿期保險金</t>
  </si>
  <si>
    <t>第73年滿期保險金</t>
  </si>
  <si>
    <t>第74年滿期保險金</t>
  </si>
  <si>
    <t>第75年滿期保險金</t>
  </si>
  <si>
    <t>第76年滿期保險金</t>
  </si>
  <si>
    <t>第77年滿期保險金</t>
  </si>
  <si>
    <t>第78年滿期保險金</t>
  </si>
  <si>
    <t>第79年滿期保險金</t>
  </si>
  <si>
    <t>第80年滿期保險金</t>
  </si>
  <si>
    <t>第81年滿期保險金</t>
  </si>
  <si>
    <t>第82年滿期保險金</t>
  </si>
  <si>
    <t>第83年滿期保險金</t>
  </si>
  <si>
    <t>第84年滿期保險金</t>
  </si>
  <si>
    <t>第85年滿期保險金</t>
  </si>
  <si>
    <t>第86年滿期保險金</t>
  </si>
  <si>
    <t>第87年滿期保險金</t>
  </si>
  <si>
    <t>第88年滿期保險金</t>
  </si>
  <si>
    <t>第89年滿期保險金</t>
  </si>
  <si>
    <t>第90年滿期保險金</t>
  </si>
  <si>
    <t>第91年滿期保險金</t>
  </si>
  <si>
    <t>第92年滿期保險金</t>
  </si>
  <si>
    <t>第93年滿期保險金</t>
  </si>
  <si>
    <t>第94年滿期保險金</t>
  </si>
  <si>
    <t>第95年滿期保險金</t>
  </si>
  <si>
    <t>第96年滿期保險金</t>
  </si>
  <si>
    <t>第97年滿期保險金</t>
  </si>
  <si>
    <t>第98年滿期保險金</t>
  </si>
  <si>
    <t>第99年滿期保險金</t>
  </si>
  <si>
    <t>第100年滿期保險金</t>
  </si>
  <si>
    <t>第101年滿期保險金</t>
  </si>
  <si>
    <t>第102年滿期保險金</t>
  </si>
  <si>
    <t>第103年滿期保險金</t>
  </si>
  <si>
    <t>第104年滿期保險金</t>
  </si>
  <si>
    <t>第105年滿期保險金</t>
  </si>
  <si>
    <t>第106年滿期保險金</t>
  </si>
  <si>
    <t>第107年滿期保險金</t>
  </si>
  <si>
    <t>第108年滿期保險金</t>
  </si>
  <si>
    <t>第109年滿期保險金</t>
  </si>
  <si>
    <t>第110年滿期保險金</t>
  </si>
  <si>
    <t>第111年滿期保險金</t>
  </si>
  <si>
    <t xml:space="preserve">  其後「重大傷病範圍」所載之項目如有變動，則以中央衛生主管機關最新公告之項目為準。</t>
    <phoneticPr fontId="5" type="noConversion"/>
  </si>
  <si>
    <t>請注意：如使用非微軟OFFICE-PC版開啟本建議書，本建議書內容可能會因硬體系統升級或軟體更新問題導致數值誤差，業務同仁使用時請確實確認。</t>
  </si>
  <si>
    <t>‧本人已將本建議書內容及注意事項向要保人親自告知</t>
  </si>
  <si>
    <t>‧本人已詳閱本建議書內容並同意提醒注意事項</t>
  </si>
  <si>
    <t>本建議書僅供參考，詳細商品內容及其變更，應以投保當時保單條款內容及本公司核保、保全作業規定為準</t>
  </si>
  <si>
    <t>保險期間</t>
    <phoneticPr fontId="5" type="noConversion"/>
  </si>
  <si>
    <t>指定保險金：</t>
    <phoneticPr fontId="5" type="noConversion"/>
  </si>
  <si>
    <t>轉換金額</t>
    <phoneticPr fontId="5" type="noConversion"/>
  </si>
  <si>
    <t>分期</t>
    <phoneticPr fontId="5" type="noConversion"/>
  </si>
  <si>
    <t>ㄧ次</t>
    <phoneticPr fontId="5" type="noConversion"/>
  </si>
  <si>
    <t>比例</t>
    <phoneticPr fontId="5" type="noConversion"/>
  </si>
  <si>
    <t>年</t>
    <phoneticPr fontId="5" type="noConversion"/>
  </si>
  <si>
    <t>分期最低金額</t>
    <phoneticPr fontId="5" type="noConversion"/>
  </si>
  <si>
    <t>半年</t>
    <phoneticPr fontId="5" type="noConversion"/>
  </si>
  <si>
    <t>季</t>
    <phoneticPr fontId="5" type="noConversion"/>
  </si>
  <si>
    <t>利率</t>
    <phoneticPr fontId="5" type="noConversion"/>
  </si>
  <si>
    <t>月</t>
    <phoneticPr fontId="5" type="noConversion"/>
  </si>
  <si>
    <t>期別</t>
    <phoneticPr fontId="5" type="noConversion"/>
  </si>
  <si>
    <t>精算公式→</t>
    <phoneticPr fontId="5" type="noConversion"/>
  </si>
  <si>
    <t>←精算換算比例(每萬元)</t>
    <phoneticPr fontId="5" type="noConversion"/>
  </si>
  <si>
    <t>←帶入換算比例(每元)</t>
    <phoneticPr fontId="5" type="noConversion"/>
  </si>
  <si>
    <t>定期定額-本利攤還</t>
    <phoneticPr fontId="5" type="noConversion"/>
  </si>
  <si>
    <t>給付金額/每期</t>
    <phoneticPr fontId="5" type="noConversion"/>
  </si>
  <si>
    <t>給付總額</t>
    <phoneticPr fontId="5" type="noConversion"/>
  </si>
  <si>
    <t>給付比例</t>
    <phoneticPr fontId="5" type="noConversion"/>
  </si>
  <si>
    <t>←自行計算換算比例</t>
    <phoneticPr fontId="5" type="noConversion"/>
  </si>
  <si>
    <t>定額不定期</t>
    <phoneticPr fontId="5" type="noConversion"/>
  </si>
  <si>
    <t>←帶入期付金額</t>
    <phoneticPr fontId="5" type="noConversion"/>
  </si>
  <si>
    <t>給付次數</t>
    <phoneticPr fontId="5" type="noConversion"/>
  </si>
  <si>
    <t>剩餘金額</t>
    <phoneticPr fontId="5" type="noConversion"/>
  </si>
  <si>
    <t>給付年次</t>
    <phoneticPr fontId="5" type="noConversion"/>
  </si>
  <si>
    <t>←自行計算給付年月數</t>
    <phoneticPr fontId="5" type="noConversion"/>
  </si>
  <si>
    <t>台幣=1，美元=2，澳幣=3</t>
    <phoneticPr fontId="83" type="noConversion"/>
  </si>
  <si>
    <t>←設定幣別</t>
    <phoneticPr fontId="5" type="noConversion"/>
  </si>
  <si>
    <t>台幣</t>
    <phoneticPr fontId="83" type="noConversion"/>
  </si>
  <si>
    <t>美元</t>
    <phoneticPr fontId="83" type="noConversion"/>
  </si>
  <si>
    <t>澳幣</t>
    <phoneticPr fontId="83" type="noConversion"/>
  </si>
  <si>
    <t>分期低額</t>
    <phoneticPr fontId="5" type="noConversion"/>
  </si>
  <si>
    <t>每期</t>
    <phoneticPr fontId="5" type="noConversion"/>
  </si>
  <si>
    <t>指定</t>
    <phoneticPr fontId="5" type="noConversion"/>
  </si>
  <si>
    <t>新臺幣</t>
    <phoneticPr fontId="5" type="noConversion"/>
  </si>
  <si>
    <t>美元</t>
  </si>
  <si>
    <t>澳幣</t>
  </si>
  <si>
    <t>人民幣</t>
  </si>
  <si>
    <t>分期定期保險金給付設定：</t>
    <phoneticPr fontId="5" type="noConversion"/>
  </si>
  <si>
    <t>一次給付</t>
    <phoneticPr fontId="5" type="noConversion"/>
  </si>
  <si>
    <t>特定重大疾病保險金
或
特定傷病保險金</t>
    <phoneticPr fontId="5" type="noConversion"/>
  </si>
  <si>
    <t>累計
實繳保費</t>
    <phoneticPr fontId="5" type="noConversion"/>
  </si>
  <si>
    <t>‧被保險人實際年齡滿十五足歲前死亡者，其身故保險金變更為喪葬費用保險金。喪葬費用保險金給付總和（包含但不限</t>
    <phoneticPr fontId="5" type="noConversion"/>
  </si>
  <si>
    <t xml:space="preserve">  本公司），不得超過投保時遺產及贈與稅法第十七條喪葬費扣除額之一半，超過部分本公司不負給付責任，並依保單條</t>
    <phoneticPr fontId="5" type="noConversion"/>
  </si>
  <si>
    <t xml:space="preserve">  款約定無息退還該超過部分之已繳保險費。但被保險人如有於民國99年2月3日之前投保者，其喪葬費用保險金之給付，</t>
    <phoneticPr fontId="5" type="noConversion"/>
  </si>
  <si>
    <t xml:space="preserve">  請詳保單條款之約定。有關喪葬費用保險金給付之詳細內容，亦請詳保單條款。</t>
    <phoneticPr fontId="5" type="noConversion"/>
  </si>
  <si>
    <t>給付項目：重大傷病保險金、特定重大傷病保險金、特定重大疾病保險金、特定傷病保險金、身故保險金或喪葬費用保險金</t>
    <phoneticPr fontId="5" type="noConversion"/>
  </si>
  <si>
    <t>‧特定傷病：係指被保險人經醫院醫師診斷確定符合下列各目定義之特定傷病之一：</t>
    <phoneticPr fontId="5" type="noConversion"/>
  </si>
  <si>
    <t xml:space="preserve">  (一)主動脈外科置換手術、(二)嚴重原發性肺動脈高血壓。</t>
    <phoneticPr fontId="5" type="noConversion"/>
  </si>
  <si>
    <t xml:space="preserve">  (三)脊髓損傷或病變所引起之神經、肌肉、皮膚、骨骼、心肺、泌尿及腸胃等之併發症者(其身心障礙等級在中度以上</t>
    <phoneticPr fontId="5" type="noConversion"/>
  </si>
  <si>
    <t xml:space="preserve">      者)。</t>
    <phoneticPr fontId="5" type="noConversion"/>
  </si>
  <si>
    <t>‧被保險人經醫師首次診斷為重大傷病，並備齊本契約條款所約定申領「重大傷病保險金」之文件，才符合重大傷病保險</t>
    <phoneticPr fontId="5" type="noConversion"/>
  </si>
  <si>
    <t xml:space="preserve">  金申領資格。</t>
    <phoneticPr fontId="5" type="noConversion"/>
  </si>
  <si>
    <t>‧被保險人於投保前曾經取得或投保時正在申請全民健康保險保險人核定重大傷病證明者，或投保前曾經符合屬由診治醫</t>
    <phoneticPr fontId="5" type="noConversion"/>
  </si>
  <si>
    <t xml:space="preserve">  師逕行認定，免向全民健康保險保險人申請重大傷病證明，而得免除全民健康保險部分負擔之資格者，或於投保前曾經</t>
    <phoneticPr fontId="5" type="noConversion"/>
  </si>
  <si>
    <t xml:space="preserve">  「區域醫院」層級以上（含）之醫師診斷符合投保當時「全民健康保險重大傷病項目及其證明有效期限」所載之項目者</t>
    <phoneticPr fontId="5" type="noConversion"/>
  </si>
  <si>
    <t xml:space="preserve">  ，本公司不負給付「重大傷病保險金」的責任。</t>
    <phoneticPr fontId="5" type="noConversion"/>
  </si>
  <si>
    <t>‧保險給付的限制：本公司依保單條款約定給付「重大傷病保險金」者，除同時符合保單條款約定而應另給付「特定重大</t>
    <phoneticPr fontId="5" type="noConversion"/>
  </si>
  <si>
    <t xml:space="preserve">  傷病保險金」外，不再負本契約其他各項保險金給付之責。</t>
    <phoneticPr fontId="5" type="noConversion"/>
  </si>
  <si>
    <t xml:space="preserve">  滿期保險金其中一項保險金者，不再負本契約各項保險金給付之責。</t>
    <phoneticPr fontId="5" type="noConversion"/>
  </si>
  <si>
    <t>‧分期定期保險金給付約定之變更、終止及其限制：本契約有效期間內，要保人得於保險事故發生前變更或終止約定分期</t>
  </si>
  <si>
    <t xml:space="preserve">  定期保險金給付。</t>
    <phoneticPr fontId="5" type="noConversion"/>
  </si>
  <si>
    <t xml:space="preserve">  一次給付指定保險金予本契約受益人，分期定期給付之約定即行終止。</t>
    <phoneticPr fontId="5" type="noConversion"/>
  </si>
  <si>
    <t xml:space="preserve">  本契約於分期定期保險金給付期間，要保人不得變更或終止本契約，且不得以保險契約為質，向本公司借款。</t>
    <phoneticPr fontId="5" type="noConversion"/>
  </si>
  <si>
    <t>分期期數</t>
    <phoneticPr fontId="5" type="noConversion"/>
  </si>
  <si>
    <t>月</t>
  </si>
  <si>
    <t>SDJ20</t>
  </si>
  <si>
    <t>SDJ</t>
  </si>
  <si>
    <t>SDJ折扣率</t>
  </si>
  <si>
    <t>富邦人壽優卡安心重大傷病健康保險</t>
    <phoneticPr fontId="5" type="noConversion"/>
  </si>
  <si>
    <t>保障至幾歲</t>
    <phoneticPr fontId="83" type="noConversion"/>
  </si>
  <si>
    <t>投保年齡區間：</t>
    <phoneticPr fontId="5" type="noConversion"/>
  </si>
  <si>
    <t>被保險人於本契約有效且繳費期間內遭受保單條款約定的意外傷害事故，自意外傷害事故發生之日起一百八十日以內致成保單條款附表所列二至六級失能程度之一者，經醫院醫師診斷確定，本公司豁免失能診斷確定日後本契約（不含附約）續期應繳之各期保險費，本契約繼續有效。
被保險人因本次意外傷害事故所致之失能如合併以前（不含本契約訂立前）的失能，符合保單條款附表所列二至六級失能程度之一者，亦同。</t>
    <phoneticPr fontId="5" type="noConversion"/>
  </si>
  <si>
    <t xml:space="preserve">          、完全失能保險金、滿期保險金、二至六級意外失能豁免保險費</t>
    <phoneticPr fontId="5" type="noConversion"/>
  </si>
  <si>
    <t xml:space="preserve">  本公司依保單條款約定給付特定重大疾病保險金、特定傷病保險金、身故保險金或喪葬費用保險金、完全失能保險金或</t>
    <phoneticPr fontId="5" type="noConversion"/>
  </si>
  <si>
    <t>5.27%</t>
  </si>
  <si>
    <t>6.01%</t>
  </si>
  <si>
    <t>8.50%</t>
  </si>
  <si>
    <t>4.49%</t>
  </si>
  <si>
    <t>5.06%</t>
  </si>
  <si>
    <t>5.72%</t>
  </si>
  <si>
    <t>8.11%</t>
  </si>
  <si>
    <t>4.76%</t>
  </si>
  <si>
    <t>6.37%</t>
  </si>
  <si>
    <t>7.21%</t>
  </si>
  <si>
    <t>3.26%</t>
  </si>
  <si>
    <t>4.44%</t>
  </si>
  <si>
    <t>8.52%</t>
  </si>
  <si>
    <t>3.89%</t>
  </si>
  <si>
    <t>5.22%</t>
  </si>
  <si>
    <t>最高29.76%，最低17.98%</t>
    <phoneticPr fontId="83" type="noConversion"/>
  </si>
  <si>
    <t xml:space="preserve">  被保險人若於同一指定期間內提供前項第一款及第二款之證明文件及報告者，本契約之健康折扣以1%為限。</t>
    <phoneticPr fontId="5" type="noConversion"/>
  </si>
  <si>
    <t xml:space="preserve">      查，本款健康折扣均以一次計算。</t>
    <phoneticPr fontId="5" type="noConversion"/>
  </si>
  <si>
    <t xml:space="preserve">      ，本公司將提供本契約次一保單年度續期保險費1%之健康折扣。於同一指定期間內，被保險人無論接受幾次健康檢</t>
    <phoneticPr fontId="5" type="noConversion"/>
  </si>
  <si>
    <t xml:space="preserve">  前項之指定保險金如為重大傷病保險金及特定重大傷病保險金時，係採二者合併計算指定保險金。</t>
    <phoneticPr fontId="5" type="noConversion"/>
  </si>
  <si>
    <t>無</t>
  </si>
  <si>
    <t>‧上表年度末解約金之數值為領取滿期保險金後之金額。</t>
    <phoneticPr fontId="5" type="noConversion"/>
  </si>
  <si>
    <t>特定重大傷病保險金
(含除慢性精神病以外之
重大傷病保險金)</t>
    <phoneticPr fontId="5" type="noConversion"/>
  </si>
  <si>
    <t xml:space="preserve">  健康管理保險費折扣(以下簡稱健康折扣)。健康折扣於每一保單年度均按其提供之項目重新計算：</t>
    <phoneticPr fontId="5" type="noConversion"/>
  </si>
  <si>
    <r>
      <t>要保人簽名：</t>
    </r>
    <r>
      <rPr>
        <b/>
        <u/>
        <sz val="10"/>
        <rFont val="新細明體"/>
        <family val="3"/>
        <charset val="136"/>
      </rPr>
      <t xml:space="preserve">                                                .</t>
    </r>
    <phoneticPr fontId="5" type="noConversion"/>
  </si>
  <si>
    <t>特定重大傷病保險金
(含除慢性精神病以外之重大傷病保險金)</t>
    <phoneticPr fontId="5" type="noConversion"/>
  </si>
  <si>
    <t>保險金分期定期給付說明(預估值)</t>
    <phoneticPr fontId="5" type="noConversion"/>
  </si>
  <si>
    <t>匯款</t>
  </si>
  <si>
    <t>V1.2-1150101</t>
    <phoneticPr fontId="5" type="noConversion"/>
  </si>
  <si>
    <t>3.57%</t>
  </si>
  <si>
    <t>4.72%</t>
  </si>
  <si>
    <t>8.48%</t>
  </si>
  <si>
    <t>8.76%</t>
  </si>
  <si>
    <t>8.95%</t>
  </si>
  <si>
    <t>3.39%</t>
  </si>
  <si>
    <t>8.10%</t>
  </si>
  <si>
    <t>8.70%</t>
  </si>
  <si>
    <t>9.50%</t>
  </si>
  <si>
    <t>8.28%</t>
  </si>
  <si>
    <t>12.67%</t>
  </si>
  <si>
    <t>14.94%</t>
  </si>
  <si>
    <t>17.83%</t>
  </si>
  <si>
    <t>4.99%</t>
  </si>
  <si>
    <t>5.75%</t>
  </si>
  <si>
    <t>8.75%</t>
  </si>
  <si>
    <t>5.90%</t>
  </si>
  <si>
    <t>6.76%</t>
  </si>
  <si>
    <t>9.85%</t>
  </si>
  <si>
    <t>10.89%</t>
  </si>
  <si>
    <t>12.00%</t>
  </si>
  <si>
    <t>9.68%</t>
  </si>
  <si>
    <t>11.13%</t>
  </si>
  <si>
    <t>16.71%</t>
  </si>
  <si>
    <t>19.26%</t>
  </si>
  <si>
    <t>22.47%</t>
  </si>
  <si>
    <t>同被保險人</t>
    <phoneticPr fontId="5" type="noConversion"/>
  </si>
  <si>
    <t/>
  </si>
  <si>
    <t>其他(請自行填入)</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</si>
</sst>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76" formatCode="_(* #,##0_);_(* \(#,##0\);_(* &quot;-&quot;_);_(@_)"/>
    <numFmt numFmtId="177" formatCode="_(* #,##0.00_);_(* \(#,##0.00\);_(* &quot;-&quot;??_);_(@_)"/>
    <numFmt numFmtId="178" formatCode="0.0%"/>
    <numFmt numFmtId="179" formatCode="#,##0_ "/>
    <numFmt numFmtId="180" formatCode="0_);[Red]\(0\)"/>
    <numFmt numFmtId="181" formatCode="0_ "/>
    <numFmt numFmtId="182" formatCode="#,##0\ &quot;歲&quot;"/>
    <numFmt numFmtId="183" formatCode="#,##0_ &quot;元&quot;"/>
    <numFmt numFmtId="184" formatCode="0\ &quot;歲&quot;"/>
    <numFmt numFmtId="185" formatCode="\(\1\)&quot;安&quot;&quot;泰&quot;&quot;人&quot;&quot;壽&quot;&quot;富&quot;&quot;貴&quot;&quot;保&quot;&quot;本&quot;&quot;終&quot;&quot;身&quot;&quot;壽&quot;&quot;險&quot;\ \(&quot;繳&quot;&quot;費&quot;\ 0\ &quot;年&quot;\)"/>
    <numFmt numFmtId="186" formatCode="0\ &quot;XRLD&quot;"/>
    <numFmt numFmtId="187" formatCode="#,##0\ &quot;歲&quot;;[Red]\ \-#,##0\ &quot;歲&quot;"/>
    <numFmt numFmtId="188" formatCode="0.00_ "/>
    <numFmt numFmtId="189" formatCode="0\ &quot;公&quot;&quot;分&quot;\ "/>
    <numFmt numFmtId="190" formatCode="0.0\ &quot;公&quot;&quot;斤&quot;"/>
    <numFmt numFmtId="191" formatCode="0.00_);[Red]\(0.00\)"/>
    <numFmt numFmtId="192" formatCode="#,##0.0_ "/>
    <numFmt numFmtId="193" formatCode="_-* #,##0_-;\-* #,##0_-;_-* &quot;&quot;??_-;_-@_-"/>
    <numFmt numFmtId="194" formatCode="0.0000_ "/>
    <numFmt numFmtId="195" formatCode="0.00000_ "/>
    <numFmt numFmtId="196" formatCode="#,##0.00_ "/>
    <numFmt numFmtId="197" formatCode="0.000_ "/>
    <numFmt numFmtId="198" formatCode="##.##"/>
    <numFmt numFmtId="199" formatCode="0.00000000000_ "/>
    <numFmt numFmtId="200" formatCode="#,##0_ ;[Red]\-#,##0\ "/>
    <numFmt numFmtId="201" formatCode="0.0000000000_ "/>
    <numFmt numFmtId="202" formatCode="#,##0.0000000000_ "/>
    <numFmt numFmtId="203" formatCode="[DBNum1][$-404]General"/>
    <numFmt numFmtId="204" formatCode="0\ &quot;個月&quot;"/>
  </numFmts>
  <fonts count="121">
    <font>
      <sz val="10"/>
      <name val="新細明體"/>
      <family val="3"/>
      <charset val="136"/>
    </font>
    <font>
      <sz val="12"/>
      <color theme="1"/>
      <name val="新細明體"/>
      <family val="2"/>
      <charset val="136"/>
      <scheme val="minor"/>
    </font>
    <font>
      <sz val="12"/>
      <color theme="1"/>
      <name val="新細明體"/>
      <family val="2"/>
      <charset val="136"/>
      <scheme val="minor"/>
    </font>
    <font>
      <b/>
      <sz val="10"/>
      <name val="新細明體"/>
      <family val="3"/>
      <charset val="136"/>
    </font>
    <font>
      <sz val="10"/>
      <name val="新細明體"/>
      <family val="3"/>
      <charset val="136"/>
    </font>
    <font>
      <sz val="9"/>
      <name val="新細明體"/>
      <family val="3"/>
      <charset val="136"/>
    </font>
    <font>
      <sz val="10"/>
      <name val="Arial"/>
      <family val="2"/>
    </font>
    <font>
      <sz val="12"/>
      <name val="Arial"/>
      <family val="2"/>
    </font>
    <font>
      <sz val="12"/>
      <name val="細明體"/>
      <family val="3"/>
      <charset val="136"/>
    </font>
    <font>
      <sz val="12"/>
      <name val="新細明體"/>
      <family val="3"/>
      <charset val="136"/>
    </font>
    <font>
      <sz val="12"/>
      <color indexed="9"/>
      <name val="新細明體"/>
      <family val="3"/>
      <charset val="136"/>
    </font>
    <font>
      <sz val="10"/>
      <color indexed="9"/>
      <name val="新細明體"/>
      <family val="3"/>
      <charset val="136"/>
    </font>
    <font>
      <b/>
      <sz val="16"/>
      <name val="標楷體"/>
      <family val="4"/>
      <charset val="136"/>
    </font>
    <font>
      <b/>
      <sz val="9"/>
      <name val="新細明體"/>
      <family val="3"/>
      <charset val="136"/>
    </font>
    <font>
      <b/>
      <sz val="10"/>
      <color indexed="10"/>
      <name val="新細明體"/>
      <family val="3"/>
      <charset val="136"/>
    </font>
    <font>
      <sz val="12"/>
      <color indexed="8"/>
      <name val="新細明體"/>
      <family val="3"/>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3"/>
      <charset val="136"/>
    </font>
    <font>
      <b/>
      <sz val="12"/>
      <name val="細明體"/>
      <family val="3"/>
      <charset val="136"/>
    </font>
    <font>
      <b/>
      <sz val="16"/>
      <name val="新細明體"/>
      <family val="3"/>
      <charset val="136"/>
    </font>
    <font>
      <b/>
      <sz val="16"/>
      <name val="Arial"/>
      <family val="2"/>
    </font>
    <font>
      <b/>
      <sz val="10"/>
      <name val="Arial"/>
      <family val="2"/>
    </font>
    <font>
      <b/>
      <sz val="9"/>
      <name val="Arial"/>
      <family val="2"/>
    </font>
    <font>
      <sz val="12"/>
      <color indexed="10"/>
      <name val="Arial"/>
      <family val="2"/>
    </font>
    <font>
      <b/>
      <sz val="10"/>
      <name val="細明體"/>
      <family val="3"/>
      <charset val="136"/>
    </font>
    <font>
      <b/>
      <sz val="12"/>
      <color indexed="8"/>
      <name val="細明體"/>
      <family val="3"/>
      <charset val="136"/>
    </font>
    <font>
      <b/>
      <sz val="12"/>
      <color indexed="10"/>
      <name val="細明體"/>
      <family val="3"/>
      <charset val="136"/>
    </font>
    <font>
      <b/>
      <sz val="12"/>
      <color indexed="12"/>
      <name val="新細明體"/>
      <family val="3"/>
      <charset val="136"/>
    </font>
    <font>
      <sz val="9"/>
      <name val="細明體"/>
      <family val="3"/>
      <charset val="136"/>
    </font>
    <font>
      <sz val="10"/>
      <name val="細明體"/>
      <family val="3"/>
      <charset val="136"/>
    </font>
    <font>
      <sz val="9"/>
      <color indexed="9"/>
      <name val="新細明體"/>
      <family val="3"/>
      <charset val="136"/>
    </font>
    <font>
      <sz val="10"/>
      <color indexed="9"/>
      <name val="Arial"/>
      <family val="2"/>
    </font>
    <font>
      <b/>
      <sz val="8"/>
      <name val="新細明體"/>
      <family val="3"/>
      <charset val="136"/>
    </font>
    <font>
      <b/>
      <sz val="8"/>
      <name val="Arial"/>
      <family val="2"/>
    </font>
    <font>
      <sz val="8"/>
      <name val="Arial"/>
      <family val="2"/>
    </font>
    <font>
      <sz val="10"/>
      <name val="新細明體"/>
      <family val="3"/>
      <charset val="136"/>
    </font>
    <font>
      <sz val="8"/>
      <color indexed="8"/>
      <name val="Arial"/>
      <family val="2"/>
    </font>
    <font>
      <b/>
      <sz val="24"/>
      <name val="標楷體"/>
      <family val="4"/>
      <charset val="136"/>
    </font>
    <font>
      <b/>
      <sz val="24"/>
      <name val="Arial"/>
      <family val="2"/>
    </font>
    <font>
      <b/>
      <sz val="8"/>
      <color indexed="10"/>
      <name val="新細明體"/>
      <family val="3"/>
      <charset val="136"/>
    </font>
    <font>
      <sz val="9"/>
      <color indexed="8"/>
      <name val="新細明體"/>
      <family val="3"/>
      <charset val="136"/>
    </font>
    <font>
      <b/>
      <sz val="12"/>
      <color indexed="10"/>
      <name val="新細明體"/>
      <family val="3"/>
      <charset val="136"/>
    </font>
    <font>
      <sz val="10"/>
      <color indexed="10"/>
      <name val="新細明體"/>
      <family val="3"/>
      <charset val="136"/>
    </font>
    <font>
      <b/>
      <sz val="9"/>
      <color indexed="8"/>
      <name val="細明體"/>
      <family val="3"/>
      <charset val="136"/>
    </font>
    <font>
      <b/>
      <sz val="9"/>
      <color indexed="10"/>
      <name val="細明體"/>
      <family val="3"/>
      <charset val="136"/>
    </font>
    <font>
      <b/>
      <sz val="9"/>
      <color indexed="12"/>
      <name val="細明體"/>
      <family val="3"/>
      <charset val="136"/>
    </font>
    <font>
      <b/>
      <sz val="9"/>
      <name val="細明體"/>
      <family val="3"/>
      <charset val="136"/>
    </font>
    <font>
      <sz val="8"/>
      <name val="細明體"/>
      <family val="3"/>
      <charset val="136"/>
    </font>
    <font>
      <sz val="9"/>
      <color indexed="9"/>
      <name val="細明體"/>
      <family val="3"/>
      <charset val="136"/>
    </font>
    <font>
      <sz val="8"/>
      <color indexed="8"/>
      <name val="細明體"/>
      <family val="3"/>
      <charset val="136"/>
    </font>
    <font>
      <strike/>
      <sz val="9"/>
      <name val="新細明體"/>
      <family val="3"/>
      <charset val="136"/>
    </font>
    <font>
      <strike/>
      <sz val="10"/>
      <name val="Arial"/>
      <family val="2"/>
    </font>
    <font>
      <b/>
      <sz val="10"/>
      <color indexed="10"/>
      <name val="細明體"/>
      <family val="3"/>
      <charset val="136"/>
    </font>
    <font>
      <b/>
      <sz val="9"/>
      <color indexed="9"/>
      <name val="Arial"/>
      <family val="2"/>
    </font>
    <font>
      <b/>
      <sz val="9"/>
      <color indexed="9"/>
      <name val="細明體"/>
      <family val="3"/>
      <charset val="136"/>
    </font>
    <font>
      <b/>
      <sz val="10"/>
      <color indexed="9"/>
      <name val="Arial"/>
      <family val="2"/>
    </font>
    <font>
      <sz val="9"/>
      <name val="Arial"/>
      <family val="2"/>
    </font>
    <font>
      <sz val="9"/>
      <color indexed="8"/>
      <name val="Arial"/>
      <family val="2"/>
    </font>
    <font>
      <b/>
      <u/>
      <sz val="9"/>
      <color indexed="10"/>
      <name val="細明體"/>
      <family val="3"/>
      <charset val="136"/>
    </font>
    <font>
      <b/>
      <sz val="12"/>
      <name val="標楷體"/>
      <family val="4"/>
      <charset val="136"/>
    </font>
    <font>
      <b/>
      <sz val="18"/>
      <name val="標楷體"/>
      <family val="4"/>
      <charset val="136"/>
    </font>
    <font>
      <sz val="9"/>
      <name val="新細明體"/>
      <family val="3"/>
      <charset val="136"/>
    </font>
    <font>
      <sz val="10"/>
      <name val="新細明體"/>
      <family val="3"/>
      <charset val="136"/>
    </font>
    <font>
      <sz val="12"/>
      <name val="新細明體"/>
      <family val="3"/>
      <charset val="136"/>
    </font>
    <font>
      <b/>
      <u/>
      <sz val="10"/>
      <name val="新細明體"/>
      <family val="3"/>
      <charset val="136"/>
    </font>
    <font>
      <sz val="12"/>
      <color indexed="8"/>
      <name val="新細明體"/>
      <family val="3"/>
      <charset val="136"/>
    </font>
    <font>
      <sz val="10"/>
      <color theme="0"/>
      <name val="新細明體"/>
      <family val="3"/>
      <charset val="136"/>
    </font>
    <font>
      <b/>
      <sz val="9"/>
      <color rgb="FFFF0000"/>
      <name val="細明體"/>
      <family val="3"/>
      <charset val="136"/>
    </font>
    <font>
      <b/>
      <sz val="9"/>
      <color rgb="FF0000FF"/>
      <name val="細明體"/>
      <family val="3"/>
      <charset val="136"/>
    </font>
    <font>
      <b/>
      <u/>
      <sz val="9"/>
      <color rgb="FFFF0000"/>
      <name val="細明體"/>
      <family val="3"/>
      <charset val="136"/>
    </font>
    <font>
      <b/>
      <sz val="11"/>
      <color rgb="FFFF0000"/>
      <name val="新細明體"/>
      <family val="3"/>
      <charset val="136"/>
    </font>
    <font>
      <sz val="9"/>
      <name val="新細明體"/>
      <family val="1"/>
      <charset val="136"/>
    </font>
    <font>
      <b/>
      <sz val="12"/>
      <color rgb="FF0000FF"/>
      <name val="Arial"/>
      <family val="2"/>
    </font>
    <font>
      <sz val="12"/>
      <name val="新細明體"/>
      <family val="1"/>
      <charset val="136"/>
    </font>
    <font>
      <sz val="12"/>
      <color indexed="9"/>
      <name val="新細明體"/>
      <family val="1"/>
      <charset val="136"/>
    </font>
    <font>
      <b/>
      <sz val="12"/>
      <name val="新細明體"/>
      <family val="1"/>
      <charset val="136"/>
    </font>
    <font>
      <b/>
      <sz val="12"/>
      <color indexed="12"/>
      <name val="新細明體"/>
      <family val="1"/>
      <charset val="136"/>
    </font>
    <font>
      <b/>
      <sz val="12"/>
      <color rgb="FFFF0000"/>
      <name val="Arial"/>
      <family val="2"/>
    </font>
    <font>
      <sz val="12"/>
      <color indexed="8"/>
      <name val="新細明體"/>
      <family val="1"/>
      <charset val="136"/>
    </font>
    <font>
      <sz val="9"/>
      <color indexed="8"/>
      <name val="新細明體"/>
      <family val="1"/>
      <charset val="136"/>
    </font>
    <font>
      <b/>
      <sz val="12"/>
      <color theme="1"/>
      <name val="Arial"/>
      <family val="2"/>
    </font>
    <font>
      <b/>
      <sz val="12"/>
      <color rgb="FFFF0000"/>
      <name val="新細明體"/>
      <family val="1"/>
      <charset val="136"/>
    </font>
    <font>
      <sz val="12"/>
      <color theme="5" tint="-0.249977111117893"/>
      <name val="新細明體"/>
      <family val="3"/>
      <charset val="136"/>
    </font>
    <font>
      <sz val="9"/>
      <color theme="5" tint="-0.249977111117893"/>
      <name val="新細明體"/>
      <family val="3"/>
      <charset val="136"/>
    </font>
    <font>
      <sz val="10"/>
      <name val="新細明體"/>
      <family val="1"/>
      <charset val="136"/>
    </font>
    <font>
      <sz val="9"/>
      <color indexed="9"/>
      <name val="Arial"/>
      <family val="2"/>
    </font>
    <font>
      <b/>
      <sz val="12"/>
      <color rgb="FF0000FF"/>
      <name val="新細明體"/>
      <family val="3"/>
      <charset val="136"/>
    </font>
    <font>
      <b/>
      <sz val="12"/>
      <color rgb="FF0000FF"/>
      <name val="新細明體"/>
      <family val="1"/>
      <charset val="136"/>
    </font>
    <font>
      <b/>
      <sz val="9"/>
      <color indexed="8"/>
      <name val="Arial"/>
      <family val="2"/>
    </font>
    <font>
      <b/>
      <sz val="14"/>
      <name val="標楷體"/>
      <family val="4"/>
      <charset val="136"/>
    </font>
    <font>
      <b/>
      <sz val="10"/>
      <color rgb="FFFF0000"/>
      <name val="細明體"/>
      <family val="3"/>
      <charset val="136"/>
    </font>
    <font>
      <b/>
      <sz val="9"/>
      <color theme="1"/>
      <name val="細明體"/>
      <family val="3"/>
      <charset val="136"/>
    </font>
    <font>
      <b/>
      <sz val="12"/>
      <color indexed="8"/>
      <name val="新細明體"/>
      <family val="1"/>
      <charset val="136"/>
    </font>
    <font>
      <sz val="10"/>
      <color rgb="FF0000FF"/>
      <name val="新細明體"/>
      <family val="1"/>
      <charset val="136"/>
    </font>
    <font>
      <sz val="10"/>
      <color indexed="9"/>
      <name val="細明體"/>
      <family val="3"/>
      <charset val="136"/>
    </font>
    <font>
      <b/>
      <sz val="8"/>
      <name val="細明體"/>
      <family val="3"/>
      <charset val="136"/>
    </font>
    <font>
      <b/>
      <sz val="11"/>
      <color rgb="FFFF0000"/>
      <name val="細明體"/>
      <family val="3"/>
      <charset val="136"/>
    </font>
    <font>
      <b/>
      <sz val="12"/>
      <color indexed="10"/>
      <name val="新細明體"/>
      <family val="1"/>
      <charset val="136"/>
    </font>
    <font>
      <b/>
      <sz val="12"/>
      <color theme="1"/>
      <name val="細明體"/>
      <family val="3"/>
      <charset val="136"/>
    </font>
    <font>
      <sz val="12"/>
      <color rgb="FFFF0000"/>
      <name val="Arial"/>
      <family val="2"/>
    </font>
    <font>
      <b/>
      <sz val="12"/>
      <color rgb="FFFF0000"/>
      <name val="細明體"/>
      <family val="3"/>
      <charset val="136"/>
    </font>
    <font>
      <u/>
      <sz val="10"/>
      <color indexed="12"/>
      <name val="新細明體"/>
      <family val="1"/>
      <charset val="136"/>
    </font>
    <font>
      <b/>
      <sz val="14"/>
      <color rgb="FF0000FF"/>
      <name val="新細明體"/>
      <family val="1"/>
      <charset val="136"/>
    </font>
    <font>
      <b/>
      <u/>
      <sz val="12"/>
      <color rgb="FF0000FF"/>
      <name val="Arial"/>
      <family val="2"/>
    </font>
    <font>
      <b/>
      <sz val="12"/>
      <color rgb="FF0000FF"/>
      <name val="細明體"/>
      <family val="3"/>
      <charset val="136"/>
    </font>
    <font>
      <sz val="12"/>
      <color theme="1"/>
      <name val="新細明體"/>
      <family val="3"/>
      <charset val="136"/>
      <scheme val="minor"/>
    </font>
    <font>
      <b/>
      <sz val="9"/>
      <name val="新細明體"/>
      <family val="1"/>
      <charset val="136"/>
    </font>
    <font>
      <sz val="8"/>
      <name val="新細明體"/>
      <family val="3"/>
      <charset val="136"/>
    </font>
    <font>
      <sz val="8"/>
      <name val="新細明體"/>
      <family val="1"/>
      <charset val="136"/>
    </font>
  </fonts>
  <fills count="2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53"/>
        <bgColor indexed="64"/>
      </patternFill>
    </fill>
    <fill>
      <patternFill patternType="solid">
        <fgColor indexed="10"/>
        <bgColor indexed="64"/>
      </patternFill>
    </fill>
    <fill>
      <patternFill patternType="solid">
        <fgColor indexed="22"/>
        <bgColor indexed="0"/>
      </patternFill>
    </fill>
    <fill>
      <patternFill patternType="solid">
        <fgColor indexed="52"/>
        <bgColor indexed="64"/>
      </patternFill>
    </fill>
    <fill>
      <patternFill patternType="solid">
        <fgColor indexed="37"/>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CCECFF"/>
        <bgColor indexed="64"/>
      </patternFill>
    </fill>
    <fill>
      <patternFill patternType="solid">
        <fgColor theme="5" tint="0.79998168889431442"/>
        <bgColor indexed="64"/>
      </patternFill>
    </fill>
    <fill>
      <patternFill patternType="solid">
        <fgColor indexed="45"/>
        <bgColor indexed="64"/>
      </patternFill>
    </fill>
    <fill>
      <patternFill patternType="solid">
        <fgColor theme="8" tint="0.79995117038483843"/>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tint="0.59999389629810485"/>
        <bgColor indexed="64"/>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9"/>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double">
        <color indexed="10"/>
      </left>
      <right style="double">
        <color indexed="10"/>
      </right>
      <top style="double">
        <color indexed="10"/>
      </top>
      <bottom style="thin">
        <color indexed="10"/>
      </bottom>
      <diagonal/>
    </border>
    <border>
      <left/>
      <right style="thin">
        <color indexed="64"/>
      </right>
      <top style="thin">
        <color indexed="64"/>
      </top>
      <bottom style="thin">
        <color indexed="64"/>
      </bottom>
      <diagonal/>
    </border>
    <border>
      <left style="double">
        <color indexed="53"/>
      </left>
      <right style="double">
        <color indexed="53"/>
      </right>
      <top style="thin">
        <color indexed="10"/>
      </top>
      <bottom style="thin">
        <color indexed="53"/>
      </bottom>
      <diagonal/>
    </border>
    <border>
      <left style="double">
        <color indexed="53"/>
      </left>
      <right style="double">
        <color indexed="53"/>
      </right>
      <top style="thin">
        <color indexed="53"/>
      </top>
      <bottom style="thin">
        <color indexed="53"/>
      </bottom>
      <diagonal/>
    </border>
    <border>
      <left/>
      <right/>
      <top style="thin">
        <color indexed="64"/>
      </top>
      <bottom/>
      <diagonal/>
    </border>
    <border>
      <left style="double">
        <color indexed="48"/>
      </left>
      <right style="double">
        <color indexed="48"/>
      </right>
      <top style="thin">
        <color indexed="48"/>
      </top>
      <bottom style="double">
        <color indexed="48"/>
      </bottom>
      <diagonal/>
    </border>
    <border>
      <left style="thin">
        <color indexed="64"/>
      </left>
      <right/>
      <top style="thin">
        <color indexed="64"/>
      </top>
      <bottom style="thin">
        <color indexed="64"/>
      </bottom>
      <diagonal/>
    </border>
    <border>
      <left/>
      <right/>
      <top style="thick">
        <color indexed="58"/>
      </top>
      <bottom/>
      <diagonal/>
    </border>
    <border>
      <left style="double">
        <color indexed="53"/>
      </left>
      <right style="double">
        <color indexed="53"/>
      </right>
      <top style="thin">
        <color indexed="53"/>
      </top>
      <bottom/>
      <diagonal/>
    </border>
    <border>
      <left style="double">
        <color indexed="48"/>
      </left>
      <right style="double">
        <color indexed="48"/>
      </right>
      <top/>
      <bottom style="thin">
        <color indexed="48"/>
      </bottom>
      <diagonal/>
    </border>
    <border>
      <left style="thin">
        <color indexed="8"/>
      </left>
      <right style="thin">
        <color indexed="8"/>
      </right>
      <top style="thin">
        <color indexed="8"/>
      </top>
      <bottom style="thin">
        <color indexed="8"/>
      </bottom>
      <diagonal/>
    </border>
    <border>
      <left style="thin">
        <color indexed="9"/>
      </left>
      <right/>
      <top/>
      <bottom/>
      <diagonal/>
    </border>
    <border>
      <left/>
      <right/>
      <top style="thin">
        <color auto="1"/>
      </top>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auto="1"/>
      </left>
      <right/>
      <top/>
      <bottom style="thin">
        <color indexed="64"/>
      </bottom>
      <diagonal/>
    </border>
    <border>
      <left style="thin">
        <color auto="1"/>
      </left>
      <right/>
      <top style="thick">
        <color indexed="58"/>
      </top>
      <bottom/>
      <diagonal/>
    </border>
    <border>
      <left style="thin">
        <color auto="1"/>
      </left>
      <right/>
      <top style="thin">
        <color indexed="64"/>
      </top>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right style="thin">
        <color auto="1"/>
      </right>
      <top style="thick">
        <color indexed="58"/>
      </top>
      <bottom/>
      <diagonal/>
    </border>
    <border>
      <left/>
      <right style="thin">
        <color auto="1"/>
      </right>
      <top style="thin">
        <color indexed="64"/>
      </top>
      <bottom/>
      <diagonal/>
    </border>
  </borders>
  <cellStyleXfs count="28">
    <xf numFmtId="0" fontId="0" fillId="0" borderId="0"/>
    <xf numFmtId="0" fontId="4" fillId="0" borderId="0"/>
    <xf numFmtId="0" fontId="74" fillId="0" borderId="0"/>
    <xf numFmtId="0" fontId="6" fillId="0" borderId="0"/>
    <xf numFmtId="0" fontId="9" fillId="0" borderId="0"/>
    <xf numFmtId="0" fontId="15" fillId="0" borderId="0"/>
    <xf numFmtId="0" fontId="6" fillId="0" borderId="0"/>
    <xf numFmtId="0" fontId="15" fillId="0" borderId="0"/>
    <xf numFmtId="0" fontId="77" fillId="0" borderId="0"/>
    <xf numFmtId="0" fontId="15" fillId="0" borderId="0"/>
    <xf numFmtId="0" fontId="15" fillId="0" borderId="0"/>
    <xf numFmtId="0" fontId="9" fillId="0" borderId="0">
      <alignment vertical="center"/>
    </xf>
    <xf numFmtId="0" fontId="6" fillId="0" borderId="0"/>
    <xf numFmtId="177" fontId="4" fillId="0" borderId="0" applyFont="0" applyFill="0" applyBorder="0" applyAlignment="0" applyProtection="0"/>
    <xf numFmtId="176" fontId="4" fillId="0" borderId="0" applyFont="0" applyFill="0" applyBorder="0" applyAlignment="0" applyProtection="0"/>
    <xf numFmtId="0" fontId="9" fillId="0" borderId="0">
      <alignment vertical="center"/>
    </xf>
    <xf numFmtId="0" fontId="4" fillId="0" borderId="0"/>
    <xf numFmtId="0" fontId="9" fillId="0" borderId="0">
      <alignment vertical="center"/>
    </xf>
    <xf numFmtId="0" fontId="90" fillId="0" borderId="0"/>
    <xf numFmtId="0" fontId="15" fillId="0" borderId="0"/>
    <xf numFmtId="0" fontId="15" fillId="0" borderId="0"/>
    <xf numFmtId="0" fontId="15" fillId="0" borderId="0"/>
    <xf numFmtId="0" fontId="2" fillId="0" borderId="0">
      <alignment vertical="center"/>
    </xf>
    <xf numFmtId="0" fontId="96" fillId="0" borderId="0"/>
    <xf numFmtId="0" fontId="90" fillId="0" borderId="0"/>
    <xf numFmtId="0" fontId="1" fillId="0" borderId="0">
      <alignment vertical="center"/>
    </xf>
    <xf numFmtId="0" fontId="113" fillId="0" borderId="0" applyNumberFormat="0" applyFill="0" applyBorder="0" applyAlignment="0" applyProtection="0"/>
    <xf numFmtId="0" fontId="117" fillId="0" borderId="0">
      <alignment vertical="center"/>
    </xf>
  </cellStyleXfs>
  <cellXfs count="616">
    <xf numFmtId="0" fontId="0" fillId="0" borderId="0" xfId="0"/>
    <xf numFmtId="0" fontId="7" fillId="0" borderId="0" xfId="1" applyFont="1"/>
    <xf numFmtId="0" fontId="8" fillId="0" borderId="0" xfId="1" applyFont="1"/>
    <xf numFmtId="0" fontId="9" fillId="2" borderId="0" xfId="12" applyFont="1" applyFill="1" applyAlignment="1" applyProtection="1">
      <alignment vertical="center"/>
      <protection hidden="1"/>
    </xf>
    <xf numFmtId="0" fontId="9" fillId="0" borderId="0" xfId="12" applyFont="1" applyAlignment="1" applyProtection="1">
      <alignment vertical="center"/>
      <protection hidden="1"/>
    </xf>
    <xf numFmtId="0" fontId="10" fillId="2" borderId="0" xfId="12" applyFont="1" applyFill="1" applyAlignment="1" applyProtection="1">
      <alignment vertical="center"/>
      <protection hidden="1"/>
    </xf>
    <xf numFmtId="180" fontId="10" fillId="2" borderId="0" xfId="12" applyNumberFormat="1" applyFont="1" applyFill="1" applyAlignment="1" applyProtection="1">
      <alignment vertical="center"/>
      <protection hidden="1"/>
    </xf>
    <xf numFmtId="0" fontId="0" fillId="0" borderId="0" xfId="1" applyFont="1" applyProtection="1">
      <protection hidden="1"/>
    </xf>
    <xf numFmtId="0" fontId="3" fillId="0" borderId="0" xfId="1" applyFont="1" applyProtection="1">
      <protection hidden="1"/>
    </xf>
    <xf numFmtId="57" fontId="0" fillId="0" borderId="0" xfId="1" applyNumberFormat="1" applyFont="1" applyProtection="1">
      <protection hidden="1"/>
    </xf>
    <xf numFmtId="0" fontId="11" fillId="0" borderId="0" xfId="1" applyFont="1" applyProtection="1">
      <protection hidden="1"/>
    </xf>
    <xf numFmtId="0" fontId="11" fillId="0" borderId="0" xfId="1" applyFont="1" applyAlignment="1" applyProtection="1">
      <alignment horizontal="right"/>
      <protection hidden="1"/>
    </xf>
    <xf numFmtId="0" fontId="5" fillId="0" borderId="0" xfId="1" applyFont="1" applyProtection="1">
      <protection hidden="1"/>
    </xf>
    <xf numFmtId="0" fontId="18" fillId="0" borderId="0" xfId="12" applyFont="1" applyAlignment="1" applyProtection="1">
      <alignment horizontal="center" vertical="center"/>
      <protection hidden="1"/>
    </xf>
    <xf numFmtId="0" fontId="3" fillId="0" borderId="0" xfId="1" applyFont="1" applyAlignment="1" applyProtection="1">
      <alignment horizontal="right"/>
      <protection hidden="1"/>
    </xf>
    <xf numFmtId="0" fontId="13" fillId="0" borderId="0" xfId="1" applyFont="1" applyAlignment="1" applyProtection="1">
      <alignment horizontal="right" shrinkToFit="1"/>
      <protection hidden="1"/>
    </xf>
    <xf numFmtId="0" fontId="33" fillId="0" borderId="0" xfId="1" applyFont="1" applyAlignment="1" applyProtection="1">
      <alignment horizontal="center"/>
      <protection hidden="1"/>
    </xf>
    <xf numFmtId="0" fontId="7" fillId="0" borderId="2" xfId="1" applyFont="1" applyBorder="1"/>
    <xf numFmtId="185" fontId="36" fillId="0" borderId="0" xfId="1" applyNumberFormat="1" applyFont="1" applyAlignment="1" applyProtection="1">
      <alignment horizontal="left" vertical="center"/>
      <protection hidden="1"/>
    </xf>
    <xf numFmtId="0" fontId="36" fillId="0" borderId="0" xfId="1" applyFont="1" applyAlignment="1" applyProtection="1">
      <alignment horizontal="left" vertical="center"/>
      <protection hidden="1"/>
    </xf>
    <xf numFmtId="0" fontId="33" fillId="0" borderId="0" xfId="1" applyFont="1" applyAlignment="1" applyProtection="1">
      <alignment horizontal="left"/>
      <protection hidden="1"/>
    </xf>
    <xf numFmtId="0" fontId="3" fillId="0" borderId="0" xfId="1" applyFont="1" applyAlignment="1" applyProtection="1">
      <alignment vertical="center"/>
      <protection hidden="1"/>
    </xf>
    <xf numFmtId="57" fontId="3" fillId="0" borderId="0" xfId="1" applyNumberFormat="1" applyFont="1" applyAlignment="1" applyProtection="1">
      <alignment vertical="center"/>
      <protection hidden="1"/>
    </xf>
    <xf numFmtId="57" fontId="47" fillId="0" borderId="0" xfId="1" applyNumberFormat="1" applyFont="1" applyAlignment="1" applyProtection="1">
      <alignment vertical="center"/>
      <protection hidden="1"/>
    </xf>
    <xf numFmtId="0" fontId="47" fillId="0" borderId="0" xfId="1" applyFont="1" applyAlignment="1" applyProtection="1">
      <alignment vertical="center"/>
      <protection hidden="1"/>
    </xf>
    <xf numFmtId="0" fontId="6" fillId="0" borderId="0" xfId="1" applyFont="1" applyAlignment="1" applyProtection="1">
      <alignment vertical="center"/>
      <protection hidden="1"/>
    </xf>
    <xf numFmtId="0" fontId="41" fillId="0" borderId="0" xfId="1" applyFont="1"/>
    <xf numFmtId="0" fontId="6" fillId="0" borderId="0" xfId="1" applyFont="1"/>
    <xf numFmtId="0" fontId="6" fillId="0" borderId="0" xfId="1" applyFont="1" applyProtection="1">
      <protection hidden="1"/>
    </xf>
    <xf numFmtId="57" fontId="33" fillId="0" borderId="0" xfId="1" applyNumberFormat="1" applyFont="1" applyAlignment="1" applyProtection="1">
      <alignment horizontal="center" shrinkToFit="1"/>
      <protection hidden="1"/>
    </xf>
    <xf numFmtId="0" fontId="20" fillId="0" borderId="0" xfId="12" applyFont="1" applyAlignment="1" applyProtection="1">
      <alignment horizontal="center" vertical="center"/>
      <protection hidden="1"/>
    </xf>
    <xf numFmtId="0" fontId="29" fillId="0" borderId="0" xfId="12" applyFont="1" applyAlignment="1" applyProtection="1">
      <alignment horizontal="center" vertical="center"/>
      <protection hidden="1"/>
    </xf>
    <xf numFmtId="0" fontId="17" fillId="0" borderId="0" xfId="12" applyFont="1" applyAlignment="1" applyProtection="1">
      <alignment horizontal="center" vertical="center"/>
      <protection hidden="1"/>
    </xf>
    <xf numFmtId="182" fontId="19" fillId="0" borderId="0" xfId="12" applyNumberFormat="1" applyFont="1" applyAlignment="1" applyProtection="1">
      <alignment horizontal="center" vertical="center"/>
      <protection hidden="1"/>
    </xf>
    <xf numFmtId="0" fontId="23" fillId="0" borderId="0" xfId="12" applyFont="1" applyAlignment="1" applyProtection="1">
      <alignment horizontal="center" vertical="center" wrapText="1"/>
      <protection hidden="1"/>
    </xf>
    <xf numFmtId="0" fontId="11" fillId="0" borderId="0" xfId="1" applyFont="1" applyAlignment="1" applyProtection="1">
      <alignment vertical="center"/>
      <protection hidden="1"/>
    </xf>
    <xf numFmtId="0" fontId="32" fillId="0" borderId="0" xfId="12" applyFont="1" applyAlignment="1" applyProtection="1">
      <alignment horizontal="center" vertical="center"/>
      <protection hidden="1"/>
    </xf>
    <xf numFmtId="0" fontId="7" fillId="0" borderId="0" xfId="12" applyFont="1" applyAlignment="1" applyProtection="1">
      <alignment horizontal="center" vertical="center"/>
      <protection hidden="1"/>
    </xf>
    <xf numFmtId="187" fontId="19" fillId="0" borderId="0" xfId="12" applyNumberFormat="1" applyFont="1" applyAlignment="1" applyProtection="1">
      <alignment horizontal="center" vertical="center"/>
      <protection hidden="1"/>
    </xf>
    <xf numFmtId="0" fontId="19" fillId="0" borderId="0" xfId="12" applyFont="1" applyAlignment="1" applyProtection="1">
      <alignment horizontal="center" vertical="center"/>
      <protection hidden="1"/>
    </xf>
    <xf numFmtId="0" fontId="37" fillId="0" borderId="0" xfId="12" applyFont="1" applyAlignment="1" applyProtection="1">
      <alignment horizontal="center" vertical="center" wrapText="1"/>
      <protection hidden="1"/>
    </xf>
    <xf numFmtId="0" fontId="35" fillId="0" borderId="0" xfId="12" applyFont="1" applyAlignment="1" applyProtection="1">
      <alignment horizontal="center" vertical="center"/>
      <protection hidden="1"/>
    </xf>
    <xf numFmtId="0" fontId="24" fillId="0" borderId="0" xfId="12" applyFont="1" applyAlignment="1" applyProtection="1">
      <alignment horizontal="center" vertical="center"/>
      <protection hidden="1"/>
    </xf>
    <xf numFmtId="0" fontId="23" fillId="0" borderId="0" xfId="12" applyFont="1" applyAlignment="1" applyProtection="1">
      <alignment horizontal="center" vertical="center"/>
      <protection hidden="1"/>
    </xf>
    <xf numFmtId="0" fontId="26" fillId="0" borderId="0" xfId="12" applyFont="1" applyAlignment="1" applyProtection="1">
      <alignment horizontal="center" vertical="center"/>
      <protection hidden="1"/>
    </xf>
    <xf numFmtId="0" fontId="30" fillId="0" borderId="0" xfId="12" applyFont="1" applyAlignment="1" applyProtection="1">
      <alignment horizontal="right" vertical="center"/>
      <protection hidden="1"/>
    </xf>
    <xf numFmtId="0" fontId="7" fillId="0" borderId="0" xfId="12" applyFont="1" applyAlignment="1" applyProtection="1">
      <alignment horizontal="right" vertical="center"/>
      <protection hidden="1"/>
    </xf>
    <xf numFmtId="0" fontId="9" fillId="0" borderId="0" xfId="12" applyFont="1" applyAlignment="1" applyProtection="1">
      <alignment horizontal="center" vertical="center"/>
      <protection hidden="1"/>
    </xf>
    <xf numFmtId="179" fontId="19" fillId="0" borderId="0" xfId="12" applyNumberFormat="1" applyFont="1" applyAlignment="1" applyProtection="1">
      <alignment horizontal="center" vertical="center"/>
      <protection hidden="1"/>
    </xf>
    <xf numFmtId="0" fontId="4" fillId="0" borderId="0" xfId="1"/>
    <xf numFmtId="0" fontId="39" fillId="0" borderId="0" xfId="12" applyFont="1" applyAlignment="1" applyProtection="1">
      <alignment horizontal="center" vertical="center" shrinkToFit="1"/>
      <protection hidden="1"/>
    </xf>
    <xf numFmtId="187" fontId="17" fillId="0" borderId="0" xfId="12" applyNumberFormat="1" applyFont="1" applyAlignment="1" applyProtection="1">
      <alignment horizontal="center" vertical="center" shrinkToFit="1"/>
      <protection hidden="1"/>
    </xf>
    <xf numFmtId="0" fontId="32" fillId="0" borderId="0" xfId="12" applyFont="1" applyAlignment="1" applyProtection="1">
      <alignment vertical="center"/>
      <protection hidden="1"/>
    </xf>
    <xf numFmtId="0" fontId="9" fillId="0" borderId="2" xfId="11" applyBorder="1" applyAlignment="1">
      <alignment horizontal="center" vertical="center"/>
    </xf>
    <xf numFmtId="14" fontId="9" fillId="3" borderId="2" xfId="11" applyNumberFormat="1" applyFill="1" applyBorder="1" applyAlignment="1">
      <alignment horizontal="center" vertical="center"/>
    </xf>
    <xf numFmtId="180" fontId="9" fillId="0" borderId="2" xfId="11" applyNumberFormat="1" applyBorder="1" applyAlignment="1">
      <alignment horizontal="center" vertical="center"/>
    </xf>
    <xf numFmtId="14" fontId="9" fillId="0" borderId="2" xfId="11" applyNumberFormat="1" applyBorder="1" applyAlignment="1">
      <alignment horizontal="center" vertical="center"/>
    </xf>
    <xf numFmtId="0" fontId="9" fillId="4" borderId="2" xfId="11" applyFill="1" applyBorder="1" applyAlignment="1">
      <alignment horizontal="center" vertical="center"/>
    </xf>
    <xf numFmtId="0" fontId="9" fillId="0" borderId="0" xfId="11">
      <alignment vertical="center"/>
    </xf>
    <xf numFmtId="184" fontId="20" fillId="0" borderId="3" xfId="12" applyNumberFormat="1" applyFont="1" applyBorder="1" applyAlignment="1" applyProtection="1">
      <alignment horizontal="left" vertical="center"/>
      <protection hidden="1"/>
    </xf>
    <xf numFmtId="0" fontId="4" fillId="0" borderId="0" xfId="11" applyFont="1">
      <alignment vertical="center"/>
    </xf>
    <xf numFmtId="0" fontId="9" fillId="0" borderId="0" xfId="11" applyAlignment="1">
      <alignment horizontal="center" vertical="center"/>
    </xf>
    <xf numFmtId="0" fontId="9" fillId="3" borderId="0" xfId="11" applyFill="1">
      <alignment vertical="center"/>
    </xf>
    <xf numFmtId="0" fontId="9" fillId="0" borderId="2" xfId="11" applyBorder="1">
      <alignment vertical="center"/>
    </xf>
    <xf numFmtId="0" fontId="9" fillId="5" borderId="2" xfId="11" applyFill="1" applyBorder="1" applyAlignment="1">
      <alignment horizontal="center" vertical="center"/>
    </xf>
    <xf numFmtId="0" fontId="9" fillId="6" borderId="2" xfId="11" applyFill="1" applyBorder="1">
      <alignment vertical="center"/>
    </xf>
    <xf numFmtId="179" fontId="9" fillId="0" borderId="2" xfId="11" applyNumberFormat="1" applyBorder="1" applyAlignment="1">
      <alignment horizontal="center" vertical="center"/>
    </xf>
    <xf numFmtId="178" fontId="9" fillId="0" borderId="2" xfId="11" applyNumberFormat="1" applyBorder="1" applyAlignment="1">
      <alignment horizontal="center" vertical="center"/>
    </xf>
    <xf numFmtId="0" fontId="9" fillId="4" borderId="4" xfId="11" applyFill="1" applyBorder="1" applyAlignment="1">
      <alignment horizontal="center" vertical="center"/>
    </xf>
    <xf numFmtId="0" fontId="9" fillId="6" borderId="4" xfId="11" applyFill="1" applyBorder="1">
      <alignment vertical="center"/>
    </xf>
    <xf numFmtId="0" fontId="9" fillId="7" borderId="2" xfId="11" applyFill="1" applyBorder="1" applyAlignment="1">
      <alignment horizontal="center" vertical="center"/>
    </xf>
    <xf numFmtId="0" fontId="9" fillId="7" borderId="2" xfId="11" applyFill="1" applyBorder="1">
      <alignment vertical="center"/>
    </xf>
    <xf numFmtId="0" fontId="9" fillId="0" borderId="5" xfId="11" applyBorder="1" applyAlignment="1">
      <alignment horizontal="center" vertical="center"/>
    </xf>
    <xf numFmtId="0" fontId="9" fillId="0" borderId="6" xfId="11" applyBorder="1" applyAlignment="1">
      <alignment horizontal="center" vertical="center"/>
    </xf>
    <xf numFmtId="0" fontId="9" fillId="4" borderId="7" xfId="11" applyFill="1" applyBorder="1" applyAlignment="1">
      <alignment horizontal="center" vertical="center"/>
    </xf>
    <xf numFmtId="0" fontId="9" fillId="6" borderId="7" xfId="11" applyFill="1" applyBorder="1">
      <alignment vertical="center"/>
    </xf>
    <xf numFmtId="0" fontId="4" fillId="0" borderId="0" xfId="1" applyAlignment="1" applyProtection="1">
      <alignment horizontal="left"/>
      <protection hidden="1"/>
    </xf>
    <xf numFmtId="0" fontId="9" fillId="7" borderId="0" xfId="11" applyFill="1" applyAlignment="1">
      <alignment horizontal="center" vertical="center"/>
    </xf>
    <xf numFmtId="0" fontId="9" fillId="7" borderId="0" xfId="11" applyFill="1">
      <alignment vertical="center"/>
    </xf>
    <xf numFmtId="0" fontId="9" fillId="0" borderId="0" xfId="1" applyFont="1"/>
    <xf numFmtId="0" fontId="9" fillId="7" borderId="8" xfId="11" applyFill="1" applyBorder="1" applyAlignment="1">
      <alignment horizontal="center" vertical="center"/>
    </xf>
    <xf numFmtId="0" fontId="9" fillId="0" borderId="9" xfId="11" applyBorder="1">
      <alignment vertical="center"/>
    </xf>
    <xf numFmtId="0" fontId="9" fillId="0" borderId="10" xfId="11" applyBorder="1">
      <alignment vertical="center"/>
    </xf>
    <xf numFmtId="179" fontId="9" fillId="0" borderId="0" xfId="11" applyNumberFormat="1" applyAlignment="1">
      <alignment horizontal="center" vertical="center"/>
    </xf>
    <xf numFmtId="0" fontId="9" fillId="0" borderId="4" xfId="11" applyBorder="1">
      <alignment vertical="center"/>
    </xf>
    <xf numFmtId="0" fontId="9" fillId="0" borderId="11" xfId="11" applyBorder="1">
      <alignment vertical="center"/>
    </xf>
    <xf numFmtId="0" fontId="9" fillId="0" borderId="12" xfId="11" applyBorder="1">
      <alignment vertical="center"/>
    </xf>
    <xf numFmtId="178" fontId="9" fillId="0" borderId="13" xfId="11" applyNumberFormat="1" applyBorder="1" applyAlignment="1">
      <alignment horizontal="center" vertical="center"/>
    </xf>
    <xf numFmtId="0" fontId="9" fillId="0" borderId="14" xfId="11" applyBorder="1">
      <alignment vertical="center"/>
    </xf>
    <xf numFmtId="0" fontId="9" fillId="0" borderId="0" xfId="11" applyAlignment="1">
      <alignment horizontal="right" vertical="center"/>
    </xf>
    <xf numFmtId="0" fontId="9" fillId="0" borderId="15" xfId="11" applyBorder="1">
      <alignment vertical="center"/>
    </xf>
    <xf numFmtId="0" fontId="9" fillId="0" borderId="16" xfId="11" applyBorder="1">
      <alignment vertical="center"/>
    </xf>
    <xf numFmtId="10" fontId="9" fillId="0" borderId="0" xfId="11" applyNumberFormat="1" applyAlignment="1">
      <alignment horizontal="center" vertical="center"/>
    </xf>
    <xf numFmtId="0" fontId="9" fillId="0" borderId="17" xfId="11" applyBorder="1">
      <alignment vertical="center"/>
    </xf>
    <xf numFmtId="181" fontId="9" fillId="0" borderId="2" xfId="11" applyNumberFormat="1" applyBorder="1" applyAlignment="1">
      <alignment horizontal="center" vertical="center"/>
    </xf>
    <xf numFmtId="0" fontId="9" fillId="0" borderId="18" xfId="11" applyBorder="1" applyAlignment="1">
      <alignment horizontal="center" vertical="center"/>
    </xf>
    <xf numFmtId="0" fontId="9" fillId="0" borderId="8" xfId="11" applyBorder="1">
      <alignment vertical="center"/>
    </xf>
    <xf numFmtId="10" fontId="9" fillId="8" borderId="2" xfId="11" applyNumberFormat="1" applyFill="1" applyBorder="1" applyAlignment="1">
      <alignment horizontal="center" vertical="center"/>
    </xf>
    <xf numFmtId="178" fontId="9" fillId="0" borderId="0" xfId="11" applyNumberFormat="1" applyAlignment="1">
      <alignment horizontal="center" vertical="center"/>
    </xf>
    <xf numFmtId="0" fontId="54" fillId="0" borderId="0" xfId="11" applyFont="1">
      <alignment vertical="center"/>
    </xf>
    <xf numFmtId="49" fontId="9" fillId="0" borderId="0" xfId="11" applyNumberFormat="1" applyAlignment="1">
      <alignment horizontal="center" vertical="center"/>
    </xf>
    <xf numFmtId="0" fontId="53" fillId="0" borderId="0" xfId="11" applyFont="1">
      <alignment vertical="center"/>
    </xf>
    <xf numFmtId="182" fontId="17" fillId="0" borderId="0" xfId="12" applyNumberFormat="1" applyFont="1" applyAlignment="1" applyProtection="1">
      <alignment horizontal="center" vertical="center" shrinkToFit="1"/>
      <protection hidden="1"/>
    </xf>
    <xf numFmtId="0" fontId="40" fillId="0" borderId="0" xfId="1" applyFont="1"/>
    <xf numFmtId="0" fontId="42" fillId="0" borderId="0" xfId="1" applyFont="1" applyAlignment="1" applyProtection="1">
      <alignment vertical="center"/>
      <protection hidden="1"/>
    </xf>
    <xf numFmtId="0" fontId="5" fillId="0" borderId="0" xfId="1" applyFont="1" applyAlignment="1" applyProtection="1">
      <alignment vertical="center"/>
      <protection hidden="1"/>
    </xf>
    <xf numFmtId="0" fontId="7" fillId="0" borderId="19" xfId="12" applyFont="1" applyBorder="1" applyAlignment="1" applyProtection="1">
      <alignment horizontal="center" vertical="center"/>
      <protection hidden="1"/>
    </xf>
    <xf numFmtId="0" fontId="23" fillId="0" borderId="19" xfId="12" applyFont="1" applyBorder="1" applyAlignment="1" applyProtection="1">
      <alignment horizontal="center" vertical="center" wrapText="1"/>
      <protection hidden="1"/>
    </xf>
    <xf numFmtId="14" fontId="9" fillId="0" borderId="0" xfId="11" applyNumberFormat="1">
      <alignment vertical="center"/>
    </xf>
    <xf numFmtId="0" fontId="52" fillId="0" borderId="0" xfId="1" applyFont="1" applyAlignment="1">
      <alignment wrapText="1"/>
    </xf>
    <xf numFmtId="0" fontId="52" fillId="0" borderId="0" xfId="1" applyFont="1" applyAlignment="1">
      <alignment horizontal="right" wrapText="1"/>
    </xf>
    <xf numFmtId="0" fontId="55" fillId="0" borderId="0" xfId="1" applyFont="1" applyAlignment="1" applyProtection="1">
      <alignment horizontal="left" vertical="center"/>
      <protection hidden="1"/>
    </xf>
    <xf numFmtId="0" fontId="41" fillId="0" borderId="0" xfId="11" applyFont="1">
      <alignment vertical="center"/>
    </xf>
    <xf numFmtId="0" fontId="40" fillId="0" borderId="0" xfId="11" applyFont="1">
      <alignment vertical="center"/>
    </xf>
    <xf numFmtId="0" fontId="9" fillId="0" borderId="20" xfId="11" applyBorder="1">
      <alignment vertical="center"/>
    </xf>
    <xf numFmtId="178" fontId="9" fillId="0" borderId="5" xfId="11" applyNumberFormat="1" applyBorder="1" applyAlignment="1">
      <alignment horizontal="center" vertical="center"/>
    </xf>
    <xf numFmtId="0" fontId="9" fillId="0" borderId="21" xfId="11" applyBorder="1">
      <alignment vertical="center"/>
    </xf>
    <xf numFmtId="178" fontId="9" fillId="0" borderId="6" xfId="11" applyNumberFormat="1" applyBorder="1" applyAlignment="1">
      <alignment horizontal="center" vertical="center"/>
    </xf>
    <xf numFmtId="10" fontId="9" fillId="4" borderId="2" xfId="11" applyNumberFormat="1" applyFill="1" applyBorder="1" applyAlignment="1">
      <alignment horizontal="center" vertical="center"/>
    </xf>
    <xf numFmtId="0" fontId="29" fillId="0" borderId="0" xfId="12" applyFont="1" applyAlignment="1" applyProtection="1">
      <alignment horizontal="right" vertical="center"/>
      <protection hidden="1"/>
    </xf>
    <xf numFmtId="0" fontId="9" fillId="6" borderId="18" xfId="11" applyFill="1" applyBorder="1" applyAlignment="1">
      <alignment horizontal="center" vertical="center"/>
    </xf>
    <xf numFmtId="180" fontId="9" fillId="0" borderId="2" xfId="11" applyNumberFormat="1" applyBorder="1">
      <alignment vertical="center"/>
    </xf>
    <xf numFmtId="194" fontId="0" fillId="0" borderId="0" xfId="1" applyNumberFormat="1" applyFont="1"/>
    <xf numFmtId="0" fontId="9" fillId="0" borderId="0" xfId="12" applyFont="1" applyAlignment="1" applyProtection="1">
      <alignment vertical="center"/>
      <protection locked="0"/>
    </xf>
    <xf numFmtId="0" fontId="29" fillId="0" borderId="3" xfId="12" applyFont="1" applyBorder="1" applyAlignment="1" applyProtection="1">
      <alignment horizontal="right" vertical="center"/>
      <protection hidden="1"/>
    </xf>
    <xf numFmtId="0" fontId="57" fillId="0" borderId="0" xfId="1" applyFont="1" applyAlignment="1" applyProtection="1">
      <alignment vertical="center"/>
      <protection hidden="1"/>
    </xf>
    <xf numFmtId="0" fontId="56" fillId="0" borderId="0" xfId="1" applyFont="1" applyAlignment="1" applyProtection="1">
      <alignment vertical="center"/>
      <protection hidden="1"/>
    </xf>
    <xf numFmtId="0" fontId="53" fillId="0" borderId="0" xfId="12" applyFont="1" applyAlignment="1" applyProtection="1">
      <alignment horizontal="left" vertical="center"/>
      <protection hidden="1"/>
    </xf>
    <xf numFmtId="179" fontId="17" fillId="0" borderId="0" xfId="12" applyNumberFormat="1" applyFont="1" applyAlignment="1" applyProtection="1">
      <alignment horizontal="right" vertical="center" shrinkToFit="1"/>
      <protection hidden="1"/>
    </xf>
    <xf numFmtId="0" fontId="52" fillId="0" borderId="1" xfId="9" applyFont="1" applyBorder="1" applyAlignment="1">
      <alignment horizontal="right" wrapText="1"/>
    </xf>
    <xf numFmtId="0" fontId="0" fillId="0" borderId="0" xfId="1" applyFont="1"/>
    <xf numFmtId="0" fontId="52" fillId="0" borderId="0" xfId="9" applyFont="1" applyAlignment="1">
      <alignment horizontal="center"/>
    </xf>
    <xf numFmtId="0" fontId="52" fillId="0" borderId="0" xfId="9" applyFont="1" applyAlignment="1">
      <alignment horizontal="right" wrapText="1"/>
    </xf>
    <xf numFmtId="0" fontId="40" fillId="0" borderId="0" xfId="1" applyFont="1" applyAlignment="1" applyProtection="1">
      <alignment vertical="center"/>
      <protection hidden="1"/>
    </xf>
    <xf numFmtId="0" fontId="13" fillId="0" borderId="0" xfId="1" applyFont="1" applyAlignment="1" applyProtection="1">
      <alignment vertical="center"/>
      <protection hidden="1"/>
    </xf>
    <xf numFmtId="0" fontId="0" fillId="0" borderId="0" xfId="1" applyFont="1" applyAlignment="1" applyProtection="1">
      <alignment vertical="center"/>
      <protection hidden="1"/>
    </xf>
    <xf numFmtId="0" fontId="62" fillId="0" borderId="0" xfId="1" applyFont="1" applyAlignment="1" applyProtection="1">
      <alignment vertical="center"/>
      <protection hidden="1"/>
    </xf>
    <xf numFmtId="0" fontId="63" fillId="0" borderId="0" xfId="1" applyFont="1" applyAlignment="1" applyProtection="1">
      <alignment vertical="center"/>
      <protection hidden="1"/>
    </xf>
    <xf numFmtId="0" fontId="58" fillId="0" borderId="0" xfId="1" applyFont="1" applyAlignment="1" applyProtection="1">
      <alignment vertical="center"/>
      <protection hidden="1"/>
    </xf>
    <xf numFmtId="0" fontId="17" fillId="0" borderId="0" xfId="12" applyFont="1" applyAlignment="1" applyProtection="1">
      <alignment vertical="center"/>
      <protection hidden="1"/>
    </xf>
    <xf numFmtId="0" fontId="9" fillId="0" borderId="13" xfId="11" applyBorder="1">
      <alignment vertical="center"/>
    </xf>
    <xf numFmtId="0" fontId="9" fillId="0" borderId="2" xfId="1" applyFont="1" applyBorder="1" applyAlignment="1">
      <alignment vertical="center"/>
    </xf>
    <xf numFmtId="10" fontId="9" fillId="0" borderId="2" xfId="11" applyNumberFormat="1" applyBorder="1">
      <alignment vertical="center"/>
    </xf>
    <xf numFmtId="0" fontId="53" fillId="10" borderId="2" xfId="11" applyFont="1" applyFill="1" applyBorder="1">
      <alignment vertical="center"/>
    </xf>
    <xf numFmtId="179" fontId="20" fillId="0" borderId="0" xfId="12" applyNumberFormat="1" applyFont="1" applyAlignment="1" applyProtection="1">
      <alignment horizontal="right" vertical="center"/>
      <protection hidden="1"/>
    </xf>
    <xf numFmtId="0" fontId="37" fillId="0" borderId="19" xfId="12" applyFont="1" applyBorder="1" applyAlignment="1" applyProtection="1">
      <alignment horizontal="center" vertical="center" wrapText="1"/>
      <protection hidden="1"/>
    </xf>
    <xf numFmtId="189" fontId="18" fillId="0" borderId="19" xfId="12" applyNumberFormat="1" applyFont="1" applyBorder="1" applyAlignment="1" applyProtection="1">
      <alignment horizontal="center" vertical="center"/>
      <protection hidden="1"/>
    </xf>
    <xf numFmtId="0" fontId="9" fillId="4" borderId="2" xfId="11" applyFill="1" applyBorder="1" applyAlignment="1">
      <alignment horizontal="left" vertical="center"/>
    </xf>
    <xf numFmtId="0" fontId="68" fillId="0" borderId="0" xfId="1" applyFont="1" applyProtection="1">
      <protection hidden="1"/>
    </xf>
    <xf numFmtId="0" fontId="70" fillId="0" borderId="0" xfId="1" applyFont="1" applyAlignment="1" applyProtection="1">
      <alignment vertical="center"/>
      <protection hidden="1"/>
    </xf>
    <xf numFmtId="0" fontId="68" fillId="0" borderId="0" xfId="1" applyFont="1" applyAlignment="1">
      <alignment vertical="center"/>
    </xf>
    <xf numFmtId="10" fontId="69" fillId="0" borderId="0" xfId="1" applyNumberFormat="1" applyFont="1" applyAlignment="1">
      <alignment vertical="center"/>
    </xf>
    <xf numFmtId="0" fontId="68" fillId="0" borderId="0" xfId="1" applyFont="1" applyAlignment="1" applyProtection="1">
      <alignment vertical="center"/>
      <protection hidden="1"/>
    </xf>
    <xf numFmtId="0" fontId="34" fillId="0" borderId="0" xfId="1" applyFont="1" applyAlignment="1">
      <alignment vertical="center"/>
    </xf>
    <xf numFmtId="0" fontId="34" fillId="0" borderId="0" xfId="1" applyFont="1" applyAlignment="1" applyProtection="1">
      <alignment vertical="center"/>
      <protection hidden="1"/>
    </xf>
    <xf numFmtId="0" fontId="9" fillId="12" borderId="2" xfId="11" applyFill="1" applyBorder="1">
      <alignment vertical="center"/>
    </xf>
    <xf numFmtId="0" fontId="9" fillId="13" borderId="2" xfId="11" applyFill="1" applyBorder="1">
      <alignment vertical="center"/>
    </xf>
    <xf numFmtId="0" fontId="9" fillId="14" borderId="0" xfId="11" applyFill="1">
      <alignment vertical="center"/>
    </xf>
    <xf numFmtId="0" fontId="78" fillId="15" borderId="0" xfId="1" applyFont="1" applyFill="1" applyProtection="1">
      <protection hidden="1"/>
    </xf>
    <xf numFmtId="0" fontId="71" fillId="0" borderId="0" xfId="0" applyFont="1" applyAlignment="1">
      <alignment vertical="center"/>
    </xf>
    <xf numFmtId="0" fontId="33" fillId="0" borderId="0" xfId="1" applyFont="1" applyAlignment="1" applyProtection="1">
      <alignment vertical="center" shrinkToFit="1"/>
      <protection hidden="1"/>
    </xf>
    <xf numFmtId="0" fontId="45" fillId="0" borderId="0" xfId="1" applyFont="1" applyAlignment="1" applyProtection="1">
      <alignment horizontal="right" vertical="center"/>
      <protection hidden="1"/>
    </xf>
    <xf numFmtId="0" fontId="9" fillId="12" borderId="2" xfId="11" applyFill="1" applyBorder="1" applyAlignment="1">
      <alignment horizontal="center" vertical="center"/>
    </xf>
    <xf numFmtId="0" fontId="79" fillId="0" borderId="0" xfId="1" applyFont="1" applyAlignment="1" applyProtection="1">
      <alignment vertical="center"/>
      <protection hidden="1"/>
    </xf>
    <xf numFmtId="0" fontId="16" fillId="0" borderId="0" xfId="12" applyFont="1" applyProtection="1">
      <protection hidden="1"/>
    </xf>
    <xf numFmtId="0" fontId="38" fillId="0" borderId="11" xfId="12" applyFont="1" applyBorder="1" applyAlignment="1" applyProtection="1">
      <alignment horizontal="left" vertical="center"/>
      <protection hidden="1"/>
    </xf>
    <xf numFmtId="0" fontId="20" fillId="0" borderId="11" xfId="12" applyFont="1" applyBorder="1" applyAlignment="1" applyProtection="1">
      <alignment horizontal="center" vertical="center" shrinkToFit="1"/>
      <protection hidden="1"/>
    </xf>
    <xf numFmtId="0" fontId="37" fillId="0" borderId="11" xfId="12" applyFont="1" applyBorder="1" applyAlignment="1" applyProtection="1">
      <alignment vertical="center"/>
      <protection hidden="1"/>
    </xf>
    <xf numFmtId="0" fontId="38" fillId="0" borderId="11" xfId="12" applyFont="1" applyBorder="1" applyAlignment="1" applyProtection="1">
      <alignment horizontal="center" vertical="center"/>
      <protection hidden="1"/>
    </xf>
    <xf numFmtId="0" fontId="38" fillId="0" borderId="11" xfId="12" applyFont="1" applyBorder="1" applyAlignment="1" applyProtection="1">
      <alignment vertical="center"/>
      <protection hidden="1"/>
    </xf>
    <xf numFmtId="0" fontId="9" fillId="0" borderId="11" xfId="12" applyFont="1" applyBorder="1" applyAlignment="1" applyProtection="1">
      <alignment vertical="center"/>
      <protection hidden="1"/>
    </xf>
    <xf numFmtId="0" fontId="53" fillId="0" borderId="11" xfId="12" applyFont="1" applyBorder="1" applyAlignment="1" applyProtection="1">
      <alignment horizontal="right" vertical="center"/>
      <protection hidden="1"/>
    </xf>
    <xf numFmtId="0" fontId="30" fillId="0" borderId="0" xfId="12" applyFont="1" applyAlignment="1" applyProtection="1">
      <alignment horizontal="center" vertical="center"/>
      <protection hidden="1"/>
    </xf>
    <xf numFmtId="190" fontId="18" fillId="0" borderId="0" xfId="12" applyNumberFormat="1" applyFont="1" applyAlignment="1" applyProtection="1">
      <alignment horizontal="center" vertical="center" shrinkToFit="1"/>
      <protection hidden="1"/>
    </xf>
    <xf numFmtId="0" fontId="17" fillId="0" borderId="0" xfId="12" applyFont="1" applyAlignment="1" applyProtection="1">
      <alignment horizontal="center" vertical="center" shrinkToFit="1"/>
      <protection hidden="1"/>
    </xf>
    <xf numFmtId="188" fontId="17" fillId="0" borderId="0" xfId="12" applyNumberFormat="1" applyFont="1" applyAlignment="1" applyProtection="1">
      <alignment vertical="center"/>
      <protection hidden="1"/>
    </xf>
    <xf numFmtId="188" fontId="19" fillId="0" borderId="0" xfId="12" applyNumberFormat="1" applyFont="1" applyAlignment="1" applyProtection="1">
      <alignment vertical="center" shrinkToFit="1"/>
      <protection hidden="1"/>
    </xf>
    <xf numFmtId="183" fontId="25" fillId="0" borderId="0" xfId="12" applyNumberFormat="1" applyFont="1" applyAlignment="1" applyProtection="1">
      <alignment horizontal="center" vertical="center"/>
      <protection hidden="1"/>
    </xf>
    <xf numFmtId="191" fontId="25" fillId="0" borderId="0" xfId="12" applyNumberFormat="1" applyFont="1" applyAlignment="1" applyProtection="1">
      <alignment horizontal="center" vertical="center"/>
      <protection hidden="1"/>
    </xf>
    <xf numFmtId="183" fontId="28" fillId="0" borderId="0" xfId="12" applyNumberFormat="1" applyFont="1" applyAlignment="1" applyProtection="1">
      <alignment horizontal="center" vertical="center"/>
      <protection hidden="1"/>
    </xf>
    <xf numFmtId="183" fontId="20" fillId="0" borderId="0" xfId="12" applyNumberFormat="1" applyFont="1" applyAlignment="1" applyProtection="1">
      <alignment horizontal="right" vertical="center"/>
      <protection hidden="1"/>
    </xf>
    <xf numFmtId="0" fontId="17" fillId="0" borderId="16" xfId="12" applyFont="1" applyBorder="1" applyAlignment="1" applyProtection="1">
      <alignment horizontal="center" vertical="center"/>
      <protection hidden="1"/>
    </xf>
    <xf numFmtId="183" fontId="27" fillId="0" borderId="16" xfId="12" applyNumberFormat="1" applyFont="1" applyBorder="1" applyAlignment="1" applyProtection="1">
      <alignment horizontal="center" vertical="center" shrinkToFit="1"/>
      <protection hidden="1"/>
    </xf>
    <xf numFmtId="180" fontId="0" fillId="0" borderId="0" xfId="1" applyNumberFormat="1" applyFont="1"/>
    <xf numFmtId="0" fontId="5" fillId="0" borderId="1" xfId="9" applyFont="1" applyBorder="1" applyAlignment="1">
      <alignment horizontal="right" wrapText="1"/>
    </xf>
    <xf numFmtId="192" fontId="9" fillId="4" borderId="2" xfId="11" applyNumberFormat="1" applyFill="1" applyBorder="1" applyAlignment="1">
      <alignment horizontal="center" vertical="center"/>
    </xf>
    <xf numFmtId="0" fontId="80" fillId="0" borderId="0" xfId="1" applyFont="1" applyAlignment="1" applyProtection="1">
      <alignment vertical="center"/>
      <protection hidden="1"/>
    </xf>
    <xf numFmtId="0" fontId="65" fillId="0" borderId="0" xfId="1" applyFont="1" applyAlignment="1" applyProtection="1">
      <alignment vertical="center"/>
      <protection hidden="1"/>
    </xf>
    <xf numFmtId="0" fontId="34" fillId="0" borderId="0" xfId="1" applyFont="1" applyAlignment="1" applyProtection="1">
      <alignment horizontal="right" vertical="center"/>
      <protection hidden="1"/>
    </xf>
    <xf numFmtId="0" fontId="43" fillId="0" borderId="0" xfId="1" applyFont="1" applyAlignment="1" applyProtection="1">
      <alignment vertical="center"/>
      <protection hidden="1"/>
    </xf>
    <xf numFmtId="0" fontId="66" fillId="0" borderId="0" xfId="1" applyFont="1" applyAlignment="1" applyProtection="1">
      <alignment vertical="center"/>
      <protection hidden="1"/>
    </xf>
    <xf numFmtId="0" fontId="67" fillId="0" borderId="0" xfId="1" applyFont="1" applyAlignment="1" applyProtection="1">
      <alignment vertical="center"/>
      <protection hidden="1"/>
    </xf>
    <xf numFmtId="0" fontId="38" fillId="0" borderId="0" xfId="12" applyFont="1" applyAlignment="1" applyProtection="1">
      <alignment horizontal="left" vertical="center"/>
      <protection hidden="1"/>
    </xf>
    <xf numFmtId="0" fontId="3" fillId="0" borderId="0" xfId="1" applyFont="1" applyAlignment="1" applyProtection="1">
      <alignment horizontal="left"/>
      <protection hidden="1"/>
    </xf>
    <xf numFmtId="0" fontId="81" fillId="0" borderId="0" xfId="1" applyFont="1" applyAlignment="1" applyProtection="1">
      <alignment vertical="center"/>
      <protection hidden="1"/>
    </xf>
    <xf numFmtId="0" fontId="0" fillId="0" borderId="0" xfId="0" applyAlignment="1">
      <alignment vertical="center"/>
    </xf>
    <xf numFmtId="0" fontId="0" fillId="0" borderId="2" xfId="2" applyFont="1" applyBorder="1" applyAlignment="1" applyProtection="1">
      <alignment shrinkToFit="1"/>
      <protection hidden="1"/>
    </xf>
    <xf numFmtId="0" fontId="0" fillId="16" borderId="2" xfId="0" applyFill="1" applyBorder="1" applyAlignment="1">
      <alignment vertical="center"/>
    </xf>
    <xf numFmtId="0" fontId="75" fillId="13" borderId="2" xfId="2" applyFont="1" applyFill="1" applyBorder="1" applyAlignment="1" applyProtection="1">
      <alignment shrinkToFit="1"/>
      <protection hidden="1"/>
    </xf>
    <xf numFmtId="0" fontId="0" fillId="0" borderId="2" xfId="0" applyBorder="1" applyAlignment="1">
      <alignment vertical="center"/>
    </xf>
    <xf numFmtId="0" fontId="0" fillId="17" borderId="2" xfId="0" applyFill="1" applyBorder="1" applyAlignment="1">
      <alignment vertical="center"/>
    </xf>
    <xf numFmtId="0" fontId="0" fillId="18" borderId="2" xfId="0" applyFill="1" applyBorder="1" applyAlignment="1">
      <alignment horizontal="center" vertical="center"/>
    </xf>
    <xf numFmtId="0" fontId="0" fillId="18" borderId="2" xfId="0" applyFill="1" applyBorder="1" applyAlignment="1">
      <alignment vertical="center"/>
    </xf>
    <xf numFmtId="0" fontId="0" fillId="19" borderId="2" xfId="0" applyFill="1" applyBorder="1" applyAlignment="1">
      <alignment vertical="center"/>
    </xf>
    <xf numFmtId="0" fontId="0" fillId="0" borderId="2" xfId="0" applyBorder="1" applyAlignment="1">
      <alignment horizontal="center" vertical="center"/>
    </xf>
    <xf numFmtId="0" fontId="75" fillId="0" borderId="2" xfId="2" applyFont="1" applyBorder="1" applyAlignment="1" applyProtection="1">
      <alignment horizontal="center" shrinkToFit="1"/>
      <protection hidden="1"/>
    </xf>
    <xf numFmtId="0" fontId="3" fillId="0" borderId="11" xfId="1" applyFont="1" applyBorder="1" applyAlignment="1" applyProtection="1">
      <alignment horizontal="right"/>
      <protection hidden="1"/>
    </xf>
    <xf numFmtId="0" fontId="3" fillId="0" borderId="11" xfId="1" applyFont="1" applyBorder="1" applyProtection="1">
      <protection hidden="1"/>
    </xf>
    <xf numFmtId="0" fontId="14" fillId="0" borderId="0" xfId="12" applyFont="1" applyAlignment="1" applyProtection="1">
      <alignment vertical="center"/>
      <protection hidden="1"/>
    </xf>
    <xf numFmtId="0" fontId="22" fillId="0" borderId="0" xfId="12" applyFont="1" applyAlignment="1" applyProtection="1">
      <alignment horizontal="center" vertical="center"/>
      <protection hidden="1"/>
    </xf>
    <xf numFmtId="0" fontId="42" fillId="0" borderId="0" xfId="1" applyFont="1" applyProtection="1">
      <protection hidden="1"/>
    </xf>
    <xf numFmtId="0" fontId="40" fillId="0" borderId="0" xfId="1" applyFont="1" applyProtection="1">
      <protection hidden="1"/>
    </xf>
    <xf numFmtId="0" fontId="60" fillId="0" borderId="0" xfId="1" applyFont="1" applyProtection="1">
      <protection hidden="1"/>
    </xf>
    <xf numFmtId="0" fontId="43" fillId="0" borderId="0" xfId="1" applyFont="1" applyProtection="1">
      <protection hidden="1"/>
    </xf>
    <xf numFmtId="0" fontId="40" fillId="0" borderId="0" xfId="1" applyFont="1" applyAlignment="1">
      <alignment horizontal="center" vertical="center"/>
    </xf>
    <xf numFmtId="10" fontId="40" fillId="0" borderId="0" xfId="1" applyNumberFormat="1" applyFont="1" applyAlignment="1">
      <alignment horizontal="center" vertical="center"/>
    </xf>
    <xf numFmtId="0" fontId="56" fillId="0" borderId="0" xfId="1" applyFont="1" applyProtection="1">
      <protection hidden="1"/>
    </xf>
    <xf numFmtId="0" fontId="59" fillId="0" borderId="0" xfId="1" applyFont="1"/>
    <xf numFmtId="10" fontId="61" fillId="0" borderId="0" xfId="1" applyNumberFormat="1" applyFont="1"/>
    <xf numFmtId="0" fontId="46" fillId="0" borderId="0" xfId="1" applyFont="1"/>
    <xf numFmtId="10" fontId="48" fillId="0" borderId="0" xfId="1" applyNumberFormat="1" applyFont="1"/>
    <xf numFmtId="0" fontId="68" fillId="0" borderId="0" xfId="1" applyFont="1"/>
    <xf numFmtId="10" fontId="69" fillId="0" borderId="0" xfId="1" applyNumberFormat="1" applyFont="1"/>
    <xf numFmtId="0" fontId="9" fillId="20" borderId="2" xfId="11" applyFill="1" applyBorder="1">
      <alignment vertical="center"/>
    </xf>
    <xf numFmtId="0" fontId="50" fillId="0" borderId="8" xfId="12" applyFont="1" applyBorder="1" applyAlignment="1" applyProtection="1">
      <alignment horizontal="center" vertical="center" shrinkToFit="1"/>
      <protection hidden="1"/>
    </xf>
    <xf numFmtId="0" fontId="56" fillId="0" borderId="0" xfId="2" applyFont="1" applyAlignment="1" applyProtection="1">
      <alignment vertical="center"/>
      <protection hidden="1"/>
    </xf>
    <xf numFmtId="0" fontId="70" fillId="0" borderId="0" xfId="2" applyFont="1" applyAlignment="1" applyProtection="1">
      <alignment vertical="center"/>
      <protection hidden="1"/>
    </xf>
    <xf numFmtId="0" fontId="56" fillId="0" borderId="0" xfId="1" applyFont="1" applyAlignment="1" applyProtection="1">
      <alignment horizontal="center" vertical="center"/>
      <protection hidden="1"/>
    </xf>
    <xf numFmtId="0" fontId="34" fillId="0" borderId="0" xfId="1" applyFont="1" applyAlignment="1" applyProtection="1">
      <alignment horizontal="left" vertical="center"/>
      <protection hidden="1"/>
    </xf>
    <xf numFmtId="0" fontId="13" fillId="0" borderId="0" xfId="1" applyFont="1" applyAlignment="1" applyProtection="1">
      <alignment horizontal="right"/>
      <protection hidden="1"/>
    </xf>
    <xf numFmtId="0" fontId="13" fillId="0" borderId="0" xfId="1" applyFont="1" applyAlignment="1" applyProtection="1">
      <alignment horizontal="left"/>
      <protection hidden="1"/>
    </xf>
    <xf numFmtId="184" fontId="13" fillId="0" borderId="0" xfId="1" applyNumberFormat="1" applyFont="1" applyAlignment="1" applyProtection="1">
      <alignment horizontal="left"/>
      <protection hidden="1"/>
    </xf>
    <xf numFmtId="0" fontId="13" fillId="0" borderId="0" xfId="1" applyFont="1" applyProtection="1">
      <protection hidden="1"/>
    </xf>
    <xf numFmtId="0" fontId="5" fillId="0" borderId="0" xfId="1" applyFont="1" applyAlignment="1" applyProtection="1">
      <alignment horizontal="right"/>
      <protection hidden="1"/>
    </xf>
    <xf numFmtId="0" fontId="42" fillId="0" borderId="0" xfId="1" applyFont="1" applyAlignment="1" applyProtection="1">
      <alignment horizontal="right"/>
      <protection hidden="1"/>
    </xf>
    <xf numFmtId="57" fontId="5" fillId="0" borderId="0" xfId="1" applyNumberFormat="1" applyFont="1" applyAlignment="1" applyProtection="1">
      <alignment horizontal="center"/>
      <protection hidden="1"/>
    </xf>
    <xf numFmtId="57" fontId="13" fillId="0" borderId="0" xfId="1" applyNumberFormat="1" applyFont="1" applyAlignment="1" applyProtection="1">
      <alignment horizontal="right"/>
      <protection hidden="1"/>
    </xf>
    <xf numFmtId="179" fontId="68" fillId="0" borderId="0" xfId="1" applyNumberFormat="1" applyFont="1" applyAlignment="1" applyProtection="1">
      <alignment horizontal="center" vertical="center"/>
      <protection hidden="1"/>
    </xf>
    <xf numFmtId="179" fontId="68" fillId="0" borderId="0" xfId="1" applyNumberFormat="1" applyFont="1" applyAlignment="1" applyProtection="1">
      <alignment vertical="center" shrinkToFit="1"/>
      <protection hidden="1"/>
    </xf>
    <xf numFmtId="179" fontId="68" fillId="0" borderId="0" xfId="1" applyNumberFormat="1" applyFont="1" applyAlignment="1" applyProtection="1">
      <alignment horizontal="center" vertical="center" shrinkToFit="1"/>
      <protection hidden="1"/>
    </xf>
    <xf numFmtId="0" fontId="85" fillId="13" borderId="2" xfId="11" applyFont="1" applyFill="1" applyBorder="1" applyAlignment="1">
      <alignment horizontal="center" vertical="center"/>
    </xf>
    <xf numFmtId="0" fontId="9" fillId="13" borderId="2" xfId="11" applyFill="1" applyBorder="1" applyAlignment="1">
      <alignment horizontal="center" vertical="center"/>
    </xf>
    <xf numFmtId="0" fontId="85" fillId="23" borderId="2" xfId="11" applyFont="1" applyFill="1" applyBorder="1" applyAlignment="1">
      <alignment horizontal="center" vertical="center"/>
    </xf>
    <xf numFmtId="14" fontId="9" fillId="23" borderId="2" xfId="11" applyNumberFormat="1" applyFill="1" applyBorder="1" applyAlignment="1">
      <alignment horizontal="center" vertical="center"/>
    </xf>
    <xf numFmtId="180" fontId="9" fillId="23" borderId="2" xfId="11" applyNumberFormat="1" applyFill="1" applyBorder="1" applyAlignment="1">
      <alignment horizontal="center" vertical="center"/>
    </xf>
    <xf numFmtId="0" fontId="9" fillId="22" borderId="2" xfId="11" applyFill="1" applyBorder="1" applyAlignment="1">
      <alignment horizontal="center" vertical="center"/>
    </xf>
    <xf numFmtId="0" fontId="85" fillId="0" borderId="2" xfId="11" applyFont="1" applyBorder="1" applyAlignment="1">
      <alignment horizontal="center" vertical="center"/>
    </xf>
    <xf numFmtId="196" fontId="9" fillId="23" borderId="2" xfId="11" applyNumberFormat="1" applyFill="1" applyBorder="1" applyAlignment="1">
      <alignment horizontal="center" vertical="center"/>
    </xf>
    <xf numFmtId="194" fontId="0" fillId="0" borderId="0" xfId="0" applyNumberFormat="1"/>
    <xf numFmtId="0" fontId="9" fillId="19" borderId="2" xfId="11" applyFill="1" applyBorder="1" applyAlignment="1">
      <alignment horizontal="center" vertical="center"/>
    </xf>
    <xf numFmtId="0" fontId="85" fillId="19" borderId="2" xfId="0" applyFont="1" applyFill="1" applyBorder="1" applyAlignment="1">
      <alignment horizontal="left" vertical="center"/>
    </xf>
    <xf numFmtId="188" fontId="85" fillId="19" borderId="2" xfId="0" applyNumberFormat="1" applyFont="1" applyFill="1" applyBorder="1" applyAlignment="1">
      <alignment vertical="center"/>
    </xf>
    <xf numFmtId="0" fontId="9" fillId="0" borderId="2" xfId="11" applyBorder="1" applyAlignment="1">
      <alignment horizontal="right" vertical="center"/>
    </xf>
    <xf numFmtId="0" fontId="9" fillId="13" borderId="2" xfId="11" applyFill="1" applyBorder="1" applyAlignment="1">
      <alignment horizontal="right" vertical="center"/>
    </xf>
    <xf numFmtId="0" fontId="85" fillId="13" borderId="2" xfId="1" applyFont="1" applyFill="1" applyBorder="1" applyAlignment="1">
      <alignment vertical="center"/>
    </xf>
    <xf numFmtId="188" fontId="85" fillId="13" borderId="2" xfId="0" applyNumberFormat="1" applyFont="1" applyFill="1" applyBorder="1" applyAlignment="1">
      <alignment vertical="center"/>
    </xf>
    <xf numFmtId="179" fontId="9" fillId="0" borderId="2" xfId="11" applyNumberFormat="1" applyBorder="1">
      <alignment vertical="center"/>
    </xf>
    <xf numFmtId="0" fontId="85" fillId="0" borderId="2" xfId="0" applyFont="1" applyBorder="1" applyAlignment="1">
      <alignment vertical="center"/>
    </xf>
    <xf numFmtId="197" fontId="85" fillId="0" borderId="2" xfId="0" applyNumberFormat="1" applyFont="1" applyBorder="1" applyAlignment="1">
      <alignment vertical="center"/>
    </xf>
    <xf numFmtId="0" fontId="0" fillId="0" borderId="2" xfId="0" applyBorder="1"/>
    <xf numFmtId="194" fontId="0" fillId="0" borderId="2" xfId="0" applyNumberFormat="1" applyBorder="1"/>
    <xf numFmtId="0" fontId="9" fillId="13" borderId="2" xfId="11" applyFill="1" applyBorder="1" applyAlignment="1">
      <alignment horizontal="left" vertical="center"/>
    </xf>
    <xf numFmtId="0" fontId="9" fillId="19" borderId="2" xfId="11" applyFill="1" applyBorder="1">
      <alignment vertical="center"/>
    </xf>
    <xf numFmtId="0" fontId="0" fillId="0" borderId="2" xfId="0" applyBorder="1" applyAlignment="1">
      <alignment horizontal="left" vertical="center"/>
    </xf>
    <xf numFmtId="14" fontId="15" fillId="13" borderId="2" xfId="5" applyNumberFormat="1" applyFill="1" applyBorder="1"/>
    <xf numFmtId="179" fontId="9" fillId="13" borderId="2" xfId="11" applyNumberFormat="1" applyFill="1" applyBorder="1" applyAlignment="1">
      <alignment horizontal="center" vertical="center"/>
    </xf>
    <xf numFmtId="188" fontId="0" fillId="0" borderId="2" xfId="0" applyNumberFormat="1" applyBorder="1" applyAlignment="1">
      <alignment vertical="center"/>
    </xf>
    <xf numFmtId="0" fontId="7" fillId="0" borderId="0" xfId="1" applyFont="1" applyAlignment="1">
      <alignment horizontal="right"/>
    </xf>
    <xf numFmtId="14" fontId="85" fillId="3" borderId="2" xfId="11" applyNumberFormat="1" applyFont="1" applyFill="1" applyBorder="1" applyAlignment="1">
      <alignment horizontal="center" vertical="center"/>
    </xf>
    <xf numFmtId="180" fontId="85" fillId="0" borderId="2" xfId="11" applyNumberFormat="1" applyFont="1" applyBorder="1" applyAlignment="1">
      <alignment horizontal="center" vertical="center"/>
    </xf>
    <xf numFmtId="14" fontId="85" fillId="0" borderId="2" xfId="11" applyNumberFormat="1" applyFont="1" applyBorder="1" applyAlignment="1">
      <alignment horizontal="center" vertical="center"/>
    </xf>
    <xf numFmtId="0" fontId="85" fillId="4" borderId="2" xfId="11" applyFont="1" applyFill="1" applyBorder="1" applyAlignment="1">
      <alignment horizontal="center" vertical="center"/>
    </xf>
    <xf numFmtId="0" fontId="0" fillId="20" borderId="2" xfId="0" applyFill="1" applyBorder="1"/>
    <xf numFmtId="0" fontId="85" fillId="6" borderId="2" xfId="11" applyFont="1" applyFill="1" applyBorder="1" applyAlignment="1">
      <alignment horizontal="center" vertical="center"/>
    </xf>
    <xf numFmtId="0" fontId="9" fillId="0" borderId="4" xfId="11" applyBorder="1" applyAlignment="1">
      <alignment horizontal="center" vertical="center"/>
    </xf>
    <xf numFmtId="0" fontId="85" fillId="0" borderId="0" xfId="11" applyFont="1" applyAlignment="1">
      <alignment horizontal="center" vertical="center"/>
    </xf>
    <xf numFmtId="0" fontId="9" fillId="24" borderId="2" xfId="11" applyFill="1" applyBorder="1" applyAlignment="1">
      <alignment horizontal="center" vertical="center"/>
    </xf>
    <xf numFmtId="0" fontId="85" fillId="13" borderId="2" xfId="0" applyFont="1" applyFill="1" applyBorder="1" applyAlignment="1">
      <alignment horizontal="center" vertical="center"/>
    </xf>
    <xf numFmtId="0" fontId="9" fillId="13" borderId="2" xfId="11" applyFill="1" applyBorder="1" applyProtection="1">
      <alignment vertical="center"/>
      <protection locked="0" hidden="1"/>
    </xf>
    <xf numFmtId="0" fontId="85" fillId="0" borderId="0" xfId="11" applyFont="1">
      <alignment vertical="center"/>
    </xf>
    <xf numFmtId="0" fontId="86" fillId="2" borderId="0" xfId="12" applyFont="1" applyFill="1" applyAlignment="1" applyProtection="1">
      <alignment vertical="center"/>
      <protection hidden="1"/>
    </xf>
    <xf numFmtId="0" fontId="7" fillId="0" borderId="24" xfId="12" applyFont="1" applyBorder="1" applyAlignment="1" applyProtection="1">
      <alignment horizontal="center" vertical="center"/>
      <protection hidden="1"/>
    </xf>
    <xf numFmtId="0" fontId="85" fillId="2" borderId="0" xfId="12" applyFont="1" applyFill="1" applyAlignment="1" applyProtection="1">
      <alignment vertical="center"/>
      <protection hidden="1"/>
    </xf>
    <xf numFmtId="0" fontId="87" fillId="0" borderId="0" xfId="12" applyFont="1" applyAlignment="1" applyProtection="1">
      <alignment horizontal="right" vertical="center"/>
      <protection hidden="1"/>
    </xf>
    <xf numFmtId="0" fontId="7" fillId="0" borderId="11" xfId="12" applyFont="1" applyBorder="1" applyAlignment="1" applyProtection="1">
      <alignment horizontal="center" vertical="center"/>
      <protection hidden="1"/>
    </xf>
    <xf numFmtId="0" fontId="87" fillId="0" borderId="11" xfId="12" applyFont="1" applyBorder="1" applyAlignment="1" applyProtection="1">
      <alignment horizontal="center" vertical="center"/>
      <protection hidden="1"/>
    </xf>
    <xf numFmtId="0" fontId="20" fillId="0" borderId="11" xfId="12" applyFont="1" applyBorder="1" applyAlignment="1" applyProtection="1">
      <alignment vertical="center"/>
      <protection hidden="1"/>
    </xf>
    <xf numFmtId="0" fontId="89" fillId="0" borderId="11" xfId="12" applyFont="1" applyBorder="1" applyAlignment="1" applyProtection="1">
      <alignment horizontal="left" vertical="center"/>
      <protection hidden="1"/>
    </xf>
    <xf numFmtId="0" fontId="89" fillId="0" borderId="0" xfId="12" applyFont="1" applyAlignment="1" applyProtection="1">
      <alignment horizontal="center" vertical="center"/>
      <protection hidden="1"/>
    </xf>
    <xf numFmtId="0" fontId="41" fillId="0" borderId="0" xfId="6" applyFont="1"/>
    <xf numFmtId="10" fontId="41" fillId="0" borderId="0" xfId="6" applyNumberFormat="1" applyFont="1"/>
    <xf numFmtId="178" fontId="41" fillId="0" borderId="0" xfId="6" applyNumberFormat="1" applyFont="1"/>
    <xf numFmtId="0" fontId="6" fillId="0" borderId="0" xfId="6"/>
    <xf numFmtId="0" fontId="9" fillId="0" borderId="0" xfId="5" applyFont="1"/>
    <xf numFmtId="0" fontId="5" fillId="0" borderId="0" xfId="1" applyFont="1" applyAlignment="1">
      <alignment horizontal="center"/>
    </xf>
    <xf numFmtId="0" fontId="5" fillId="0" borderId="0" xfId="8" applyFont="1" applyAlignment="1">
      <alignment horizontal="center"/>
    </xf>
    <xf numFmtId="0" fontId="5" fillId="0" borderId="0" xfId="9" applyFont="1" applyAlignment="1">
      <alignment horizontal="center"/>
    </xf>
    <xf numFmtId="0" fontId="5" fillId="0" borderId="0" xfId="1" applyFont="1" applyAlignment="1">
      <alignment wrapText="1"/>
    </xf>
    <xf numFmtId="0" fontId="5" fillId="0" borderId="0" xfId="8" applyFont="1" applyAlignment="1">
      <alignment wrapText="1"/>
    </xf>
    <xf numFmtId="0" fontId="5" fillId="0" borderId="0" xfId="8" applyFont="1" applyAlignment="1">
      <alignment horizontal="right" wrapText="1"/>
    </xf>
    <xf numFmtId="0" fontId="5" fillId="0" borderId="0" xfId="9" applyFont="1" applyAlignment="1">
      <alignment horizontal="right" wrapText="1"/>
    </xf>
    <xf numFmtId="0" fontId="5" fillId="0" borderId="0" xfId="7" applyFont="1" applyAlignment="1">
      <alignment wrapText="1"/>
    </xf>
    <xf numFmtId="0" fontId="5" fillId="0" borderId="0" xfId="7" applyFont="1" applyAlignment="1">
      <alignment horizontal="right" wrapText="1"/>
    </xf>
    <xf numFmtId="0" fontId="9" fillId="0" borderId="0" xfId="4"/>
    <xf numFmtId="0" fontId="5" fillId="0" borderId="0" xfId="1" applyFont="1" applyAlignment="1">
      <alignment horizontal="right" wrapText="1"/>
    </xf>
    <xf numFmtId="0" fontId="5" fillId="0" borderId="0" xfId="10" applyFont="1" applyAlignment="1">
      <alignment horizontal="right" wrapText="1"/>
    </xf>
    <xf numFmtId="10" fontId="6" fillId="0" borderId="0" xfId="6" applyNumberFormat="1"/>
    <xf numFmtId="10" fontId="5" fillId="0" borderId="0" xfId="10" applyNumberFormat="1" applyFont="1" applyAlignment="1">
      <alignment horizontal="right" wrapText="1"/>
    </xf>
    <xf numFmtId="0" fontId="5" fillId="0" borderId="0" xfId="7" applyFont="1" applyAlignment="1">
      <alignment horizontal="center"/>
    </xf>
    <xf numFmtId="0" fontId="9" fillId="25" borderId="2" xfId="11" applyFill="1" applyBorder="1">
      <alignment vertical="center"/>
    </xf>
    <xf numFmtId="0" fontId="93" fillId="25" borderId="2" xfId="11" applyFont="1" applyFill="1" applyBorder="1">
      <alignment vertical="center"/>
    </xf>
    <xf numFmtId="0" fontId="9" fillId="0" borderId="0" xfId="15">
      <alignment vertical="center"/>
    </xf>
    <xf numFmtId="0" fontId="9" fillId="13" borderId="2" xfId="15" applyFill="1" applyBorder="1">
      <alignment vertical="center"/>
    </xf>
    <xf numFmtId="0" fontId="0" fillId="0" borderId="0" xfId="15" applyFont="1">
      <alignment vertical="center"/>
    </xf>
    <xf numFmtId="0" fontId="7" fillId="0" borderId="0" xfId="16" applyFont="1"/>
    <xf numFmtId="0" fontId="9" fillId="0" borderId="0" xfId="17">
      <alignment vertical="center"/>
    </xf>
    <xf numFmtId="0" fontId="94" fillId="0" borderId="0" xfId="17" applyFont="1">
      <alignment vertical="center"/>
    </xf>
    <xf numFmtId="0" fontId="8" fillId="0" borderId="2" xfId="16" applyFont="1" applyBorder="1" applyAlignment="1">
      <alignment horizontal="right"/>
    </xf>
    <xf numFmtId="0" fontId="7" fillId="25" borderId="2" xfId="16" applyFont="1" applyFill="1" applyBorder="1"/>
    <xf numFmtId="0" fontId="0" fillId="0" borderId="2" xfId="15" applyFont="1" applyBorder="1">
      <alignment vertical="center"/>
    </xf>
    <xf numFmtId="0" fontId="0" fillId="0" borderId="2" xfId="15" applyFont="1" applyBorder="1" applyAlignment="1">
      <alignment horizontal="center" vertical="center"/>
    </xf>
    <xf numFmtId="0" fontId="91" fillId="9" borderId="22" xfId="18" applyFont="1" applyFill="1" applyBorder="1" applyAlignment="1">
      <alignment horizontal="center"/>
    </xf>
    <xf numFmtId="0" fontId="0" fillId="0" borderId="2" xfId="15" applyFont="1" applyBorder="1" applyAlignment="1">
      <alignment horizontal="right" vertical="center"/>
    </xf>
    <xf numFmtId="0" fontId="9" fillId="25" borderId="2" xfId="15" applyFill="1" applyBorder="1">
      <alignment vertical="center"/>
    </xf>
    <xf numFmtId="0" fontId="15" fillId="13" borderId="2" xfId="19" applyFill="1" applyBorder="1" applyAlignment="1">
      <alignment wrapText="1"/>
    </xf>
    <xf numFmtId="0" fontId="9" fillId="0" borderId="2" xfId="15" applyBorder="1">
      <alignment vertical="center"/>
    </xf>
    <xf numFmtId="0" fontId="9" fillId="0" borderId="7" xfId="15" applyBorder="1">
      <alignment vertical="center"/>
    </xf>
    <xf numFmtId="0" fontId="91" fillId="0" borderId="1" xfId="18" applyFont="1" applyBorder="1" applyAlignment="1">
      <alignment wrapText="1"/>
    </xf>
    <xf numFmtId="0" fontId="8" fillId="0" borderId="0" xfId="16" applyFont="1" applyAlignment="1">
      <alignment horizontal="right"/>
    </xf>
    <xf numFmtId="0" fontId="7" fillId="20" borderId="2" xfId="16" applyFont="1" applyFill="1" applyBorder="1"/>
    <xf numFmtId="0" fontId="8" fillId="0" borderId="0" xfId="16" applyFont="1" applyAlignment="1">
      <alignment horizontal="center"/>
    </xf>
    <xf numFmtId="0" fontId="8" fillId="12" borderId="2" xfId="16" applyFont="1" applyFill="1" applyBorder="1" applyAlignment="1">
      <alignment horizontal="center" vertical="center"/>
    </xf>
    <xf numFmtId="0" fontId="7" fillId="12" borderId="2" xfId="16" applyFont="1" applyFill="1" applyBorder="1" applyAlignment="1">
      <alignment horizontal="center" vertical="center"/>
    </xf>
    <xf numFmtId="10" fontId="7" fillId="12" borderId="2" xfId="16" applyNumberFormat="1" applyFont="1" applyFill="1" applyBorder="1" applyAlignment="1">
      <alignment horizontal="center" vertical="center"/>
    </xf>
    <xf numFmtId="0" fontId="52" fillId="0" borderId="0" xfId="16" applyFont="1" applyAlignment="1">
      <alignment horizontal="center"/>
    </xf>
    <xf numFmtId="0" fontId="52" fillId="0" borderId="0" xfId="20" applyFont="1" applyAlignment="1">
      <alignment horizontal="center"/>
    </xf>
    <xf numFmtId="0" fontId="52" fillId="0" borderId="0" xfId="20" applyFont="1" applyAlignment="1">
      <alignment horizontal="right" wrapText="1"/>
    </xf>
    <xf numFmtId="0" fontId="52" fillId="0" borderId="0" xfId="16" applyFont="1" applyAlignment="1">
      <alignment wrapText="1"/>
    </xf>
    <xf numFmtId="0" fontId="95" fillId="0" borderId="1" xfId="21" applyFont="1" applyBorder="1" applyAlignment="1">
      <alignment wrapText="1"/>
    </xf>
    <xf numFmtId="0" fontId="95" fillId="0" borderId="1" xfId="21" applyFont="1" applyBorder="1" applyAlignment="1">
      <alignment horizontal="right" wrapText="1"/>
    </xf>
    <xf numFmtId="198" fontId="95" fillId="0" borderId="1" xfId="21" applyNumberFormat="1" applyFont="1" applyBorder="1" applyAlignment="1">
      <alignment horizontal="right" wrapText="1"/>
    </xf>
    <xf numFmtId="0" fontId="94" fillId="0" borderId="0" xfId="21" applyFont="1"/>
    <xf numFmtId="0" fontId="91" fillId="9" borderId="22" xfId="24" applyFont="1" applyFill="1" applyBorder="1" applyAlignment="1">
      <alignment horizontal="center"/>
    </xf>
    <xf numFmtId="0" fontId="91" fillId="0" borderId="1" xfId="24" applyFont="1" applyBorder="1" applyAlignment="1">
      <alignment wrapText="1"/>
    </xf>
    <xf numFmtId="0" fontId="90" fillId="0" borderId="0" xfId="24"/>
    <xf numFmtId="0" fontId="4" fillId="0" borderId="0" xfId="1" applyAlignment="1" applyProtection="1">
      <alignment vertical="center"/>
      <protection hidden="1"/>
    </xf>
    <xf numFmtId="57" fontId="4" fillId="0" borderId="0" xfId="1" applyNumberFormat="1" applyAlignment="1" applyProtection="1">
      <alignment vertical="center"/>
      <protection hidden="1"/>
    </xf>
    <xf numFmtId="0" fontId="4" fillId="0" borderId="0" xfId="1" applyProtection="1">
      <protection hidden="1"/>
    </xf>
    <xf numFmtId="0" fontId="0" fillId="0" borderId="0" xfId="1" applyFont="1" applyAlignment="1" applyProtection="1">
      <alignment horizontal="center" vertical="center"/>
      <protection hidden="1"/>
    </xf>
    <xf numFmtId="57" fontId="0" fillId="0" borderId="0" xfId="1" applyNumberFormat="1" applyFont="1" applyAlignment="1" applyProtection="1">
      <alignment horizontal="center" vertical="center"/>
      <protection hidden="1"/>
    </xf>
    <xf numFmtId="0" fontId="97" fillId="0" borderId="0" xfId="1" applyFont="1" applyAlignment="1" applyProtection="1">
      <alignment vertical="center"/>
      <protection hidden="1"/>
    </xf>
    <xf numFmtId="0" fontId="97" fillId="0" borderId="0" xfId="1" applyFont="1" applyProtection="1">
      <protection hidden="1"/>
    </xf>
    <xf numFmtId="0" fontId="46" fillId="0" borderId="0" xfId="1" applyFont="1" applyAlignment="1" applyProtection="1">
      <alignment wrapText="1"/>
      <protection hidden="1"/>
    </xf>
    <xf numFmtId="10" fontId="48" fillId="0" borderId="0" xfId="1" applyNumberFormat="1" applyFont="1" applyAlignment="1" applyProtection="1">
      <alignment wrapText="1"/>
      <protection hidden="1"/>
    </xf>
    <xf numFmtId="0" fontId="44" fillId="0" borderId="0" xfId="1" applyFont="1" applyAlignment="1" applyProtection="1">
      <alignment horizontal="left" vertical="center"/>
      <protection hidden="1"/>
    </xf>
    <xf numFmtId="0" fontId="45" fillId="0" borderId="0" xfId="1" applyFont="1" applyAlignment="1" applyProtection="1">
      <alignment horizontal="left" vertical="center"/>
      <protection hidden="1"/>
    </xf>
    <xf numFmtId="0" fontId="85" fillId="0" borderId="2" xfId="11" applyFont="1" applyBorder="1">
      <alignment vertical="center"/>
    </xf>
    <xf numFmtId="0" fontId="55" fillId="0" borderId="0" xfId="0" applyFont="1" applyAlignment="1" applyProtection="1">
      <alignment horizontal="left" vertical="center"/>
      <protection hidden="1"/>
    </xf>
    <xf numFmtId="0" fontId="102" fillId="0" borderId="0" xfId="1" applyFont="1" applyAlignment="1" applyProtection="1">
      <alignment vertical="center"/>
      <protection hidden="1"/>
    </xf>
    <xf numFmtId="9" fontId="9" fillId="0" borderId="2" xfId="11" applyNumberFormat="1" applyBorder="1">
      <alignment vertical="center"/>
    </xf>
    <xf numFmtId="0" fontId="103" fillId="0" borderId="0" xfId="1" applyFont="1" applyAlignment="1" applyProtection="1">
      <alignment horizontal="left" vertical="center"/>
      <protection hidden="1"/>
    </xf>
    <xf numFmtId="0" fontId="60" fillId="0" borderId="0" xfId="1" applyFont="1" applyAlignment="1" applyProtection="1">
      <alignment vertical="center"/>
      <protection hidden="1"/>
    </xf>
    <xf numFmtId="0" fontId="106" fillId="0" borderId="0" xfId="1" applyFont="1" applyProtection="1">
      <protection hidden="1"/>
    </xf>
    <xf numFmtId="0" fontId="41" fillId="0" borderId="0" xfId="1" applyFont="1" applyProtection="1">
      <protection hidden="1"/>
    </xf>
    <xf numFmtId="0" fontId="58" fillId="0" borderId="16" xfId="1" applyFont="1" applyBorder="1" applyAlignment="1" applyProtection="1">
      <alignment vertical="center"/>
      <protection hidden="1"/>
    </xf>
    <xf numFmtId="0" fontId="58" fillId="0" borderId="16" xfId="1" applyFont="1" applyBorder="1" applyAlignment="1" applyProtection="1">
      <alignment vertical="center" shrinkToFit="1"/>
      <protection hidden="1"/>
    </xf>
    <xf numFmtId="0" fontId="79" fillId="0" borderId="16" xfId="1" applyFont="1" applyBorder="1" applyAlignment="1" applyProtection="1">
      <alignment horizontal="right" vertical="center"/>
      <protection hidden="1"/>
    </xf>
    <xf numFmtId="0" fontId="107" fillId="0" borderId="0" xfId="1" applyFont="1" applyAlignment="1" applyProtection="1">
      <alignment horizontal="left" vertical="center"/>
      <protection hidden="1"/>
    </xf>
    <xf numFmtId="57" fontId="41" fillId="0" borderId="0" xfId="1" applyNumberFormat="1" applyFont="1" applyAlignment="1" applyProtection="1">
      <alignment vertical="center"/>
      <protection hidden="1"/>
    </xf>
    <xf numFmtId="0" fontId="41" fillId="0" borderId="0" xfId="1" applyFont="1" applyAlignment="1" applyProtection="1">
      <alignment vertical="center"/>
      <protection hidden="1"/>
    </xf>
    <xf numFmtId="0" fontId="34" fillId="0" borderId="0" xfId="1" applyFont="1" applyAlignment="1" applyProtection="1">
      <alignment horizontal="center" vertical="center"/>
      <protection hidden="1"/>
    </xf>
    <xf numFmtId="57" fontId="34" fillId="0" borderId="0" xfId="1" applyNumberFormat="1" applyFont="1" applyAlignment="1" applyProtection="1">
      <alignment horizontal="center" vertical="center" shrinkToFit="1"/>
      <protection hidden="1"/>
    </xf>
    <xf numFmtId="0" fontId="108" fillId="0" borderId="0" xfId="12" applyFont="1" applyAlignment="1" applyProtection="1">
      <alignment horizontal="right" vertical="center"/>
      <protection hidden="1"/>
    </xf>
    <xf numFmtId="0" fontId="79" fillId="0" borderId="0" xfId="12" applyFont="1" applyAlignment="1" applyProtection="1">
      <alignment horizontal="right" vertical="center"/>
      <protection hidden="1"/>
    </xf>
    <xf numFmtId="0" fontId="58" fillId="0" borderId="0" xfId="1" applyFont="1" applyAlignment="1" applyProtection="1">
      <alignment horizontal="right" vertical="center"/>
      <protection hidden="1"/>
    </xf>
    <xf numFmtId="49" fontId="33" fillId="0" borderId="0" xfId="1" applyNumberFormat="1" applyFont="1" applyAlignment="1" applyProtection="1">
      <alignment horizontal="left" vertical="center"/>
      <protection hidden="1"/>
    </xf>
    <xf numFmtId="0" fontId="33" fillId="0" borderId="0" xfId="1" applyFont="1" applyAlignment="1" applyProtection="1">
      <alignment horizontal="left" vertical="center"/>
      <protection hidden="1"/>
    </xf>
    <xf numFmtId="0" fontId="104" fillId="0" borderId="11" xfId="12" applyFont="1" applyBorder="1" applyAlignment="1" applyProtection="1">
      <alignment horizontal="right" vertical="center"/>
      <protection hidden="1"/>
    </xf>
    <xf numFmtId="0" fontId="106" fillId="0" borderId="0" xfId="1" applyFont="1" applyAlignment="1" applyProtection="1">
      <alignment vertical="center"/>
      <protection hidden="1"/>
    </xf>
    <xf numFmtId="0" fontId="110" fillId="15" borderId="0" xfId="12" applyFont="1" applyFill="1" applyAlignment="1" applyProtection="1">
      <alignment horizontal="right" vertical="center"/>
      <protection hidden="1"/>
    </xf>
    <xf numFmtId="0" fontId="111" fillId="0" borderId="0" xfId="12" applyFont="1" applyAlignment="1" applyProtection="1">
      <alignment horizontal="left" vertical="center"/>
      <protection hidden="1"/>
    </xf>
    <xf numFmtId="0" fontId="82" fillId="0" borderId="27" xfId="12" applyFont="1" applyBorder="1" applyAlignment="1" applyProtection="1">
      <alignment horizontal="left" vertical="center"/>
      <protection hidden="1"/>
    </xf>
    <xf numFmtId="0" fontId="16" fillId="0" borderId="25" xfId="12" applyFont="1" applyBorder="1" applyProtection="1">
      <protection hidden="1"/>
    </xf>
    <xf numFmtId="0" fontId="32" fillId="0" borderId="25" xfId="12" applyFont="1" applyBorder="1" applyAlignment="1" applyProtection="1">
      <alignment horizontal="center" vertical="center"/>
      <protection hidden="1"/>
    </xf>
    <xf numFmtId="0" fontId="9" fillId="0" borderId="25" xfId="12" applyFont="1" applyBorder="1" applyAlignment="1" applyProtection="1">
      <alignment vertical="center"/>
      <protection hidden="1"/>
    </xf>
    <xf numFmtId="0" fontId="17" fillId="0" borderId="25" xfId="12" applyFont="1" applyBorder="1" applyAlignment="1" applyProtection="1">
      <alignment horizontal="center" vertical="center"/>
      <protection hidden="1"/>
    </xf>
    <xf numFmtId="0" fontId="87" fillId="0" borderId="25" xfId="12" applyFont="1" applyBorder="1" applyAlignment="1" applyProtection="1">
      <alignment horizontal="right" vertical="center"/>
      <protection hidden="1"/>
    </xf>
    <xf numFmtId="0" fontId="32" fillId="0" borderId="25" xfId="12" applyFont="1" applyBorder="1" applyAlignment="1" applyProtection="1">
      <alignment vertical="center"/>
      <protection hidden="1"/>
    </xf>
    <xf numFmtId="0" fontId="17" fillId="0" borderId="28" xfId="12" applyFont="1" applyBorder="1" applyAlignment="1" applyProtection="1">
      <alignment horizontal="center" vertical="center"/>
      <protection hidden="1"/>
    </xf>
    <xf numFmtId="0" fontId="29" fillId="0" borderId="25" xfId="12" applyFont="1" applyBorder="1" applyAlignment="1" applyProtection="1">
      <alignment horizontal="center" vertical="center"/>
      <protection hidden="1"/>
    </xf>
    <xf numFmtId="0" fontId="29" fillId="0" borderId="25" xfId="12" applyFont="1" applyBorder="1" applyAlignment="1" applyProtection="1">
      <alignment vertical="center"/>
      <protection hidden="1"/>
    </xf>
    <xf numFmtId="0" fontId="38" fillId="0" borderId="28" xfId="12" applyFont="1" applyBorder="1" applyAlignment="1" applyProtection="1">
      <alignment vertical="center"/>
      <protection hidden="1"/>
    </xf>
    <xf numFmtId="0" fontId="17" fillId="0" borderId="25" xfId="12" applyFont="1" applyBorder="1" applyAlignment="1" applyProtection="1">
      <alignment horizontal="right" vertical="center"/>
      <protection hidden="1"/>
    </xf>
    <xf numFmtId="0" fontId="17" fillId="0" borderId="29" xfId="12" applyFont="1" applyBorder="1" applyAlignment="1" applyProtection="1">
      <alignment horizontal="center" vertical="center"/>
      <protection hidden="1"/>
    </xf>
    <xf numFmtId="0" fontId="17" fillId="0" borderId="30" xfId="12" applyFont="1" applyBorder="1" applyAlignment="1" applyProtection="1">
      <alignment horizontal="center" vertical="center"/>
      <protection hidden="1"/>
    </xf>
    <xf numFmtId="0" fontId="10" fillId="2" borderId="25" xfId="12" applyFont="1" applyFill="1" applyBorder="1" applyAlignment="1" applyProtection="1">
      <alignment vertical="center"/>
      <protection hidden="1"/>
    </xf>
    <xf numFmtId="0" fontId="50" fillId="0" borderId="33" xfId="12" applyFont="1" applyBorder="1" applyAlignment="1" applyProtection="1">
      <alignment horizontal="center" vertical="center" shrinkToFit="1"/>
      <protection hidden="1"/>
    </xf>
    <xf numFmtId="0" fontId="16" fillId="0" borderId="31" xfId="12" applyFont="1" applyBorder="1" applyProtection="1">
      <protection hidden="1"/>
    </xf>
    <xf numFmtId="0" fontId="26" fillId="2" borderId="31" xfId="12" applyFont="1" applyFill="1" applyBorder="1" applyAlignment="1" applyProtection="1">
      <alignment horizontal="center" vertical="center"/>
      <protection hidden="1"/>
    </xf>
    <xf numFmtId="0" fontId="7" fillId="0" borderId="31" xfId="12" applyFont="1" applyBorder="1" applyAlignment="1" applyProtection="1">
      <alignment horizontal="center" vertical="center"/>
      <protection hidden="1"/>
    </xf>
    <xf numFmtId="0" fontId="21" fillId="0" borderId="31" xfId="12" applyFont="1" applyBorder="1" applyAlignment="1" applyProtection="1">
      <alignment horizontal="right" vertical="center"/>
      <protection hidden="1"/>
    </xf>
    <xf numFmtId="0" fontId="7" fillId="0" borderId="34" xfId="12" applyFont="1" applyBorder="1" applyAlignment="1" applyProtection="1">
      <alignment horizontal="center" vertical="center"/>
      <protection hidden="1"/>
    </xf>
    <xf numFmtId="0" fontId="23" fillId="0" borderId="31" xfId="12" applyFont="1" applyBorder="1" applyAlignment="1" applyProtection="1">
      <alignment horizontal="center" vertical="center" wrapText="1"/>
      <protection hidden="1"/>
    </xf>
    <xf numFmtId="0" fontId="9" fillId="0" borderId="34" xfId="12" applyFont="1" applyBorder="1" applyAlignment="1" applyProtection="1">
      <alignment vertical="center"/>
      <protection hidden="1"/>
    </xf>
    <xf numFmtId="0" fontId="26" fillId="0" borderId="31" xfId="12" applyFont="1" applyBorder="1" applyAlignment="1" applyProtection="1">
      <alignment horizontal="center" vertical="center"/>
      <protection hidden="1"/>
    </xf>
    <xf numFmtId="0" fontId="7" fillId="0" borderId="35" xfId="12" applyFont="1" applyBorder="1" applyAlignment="1" applyProtection="1">
      <alignment horizontal="center" vertical="center"/>
      <protection hidden="1"/>
    </xf>
    <xf numFmtId="0" fontId="26" fillId="0" borderId="36" xfId="12" applyFont="1" applyBorder="1" applyAlignment="1" applyProtection="1">
      <alignment horizontal="center" vertical="center"/>
      <protection hidden="1"/>
    </xf>
    <xf numFmtId="0" fontId="26" fillId="0" borderId="34" xfId="12" applyFont="1" applyBorder="1" applyAlignment="1" applyProtection="1">
      <alignment horizontal="center" vertical="center"/>
      <protection hidden="1"/>
    </xf>
    <xf numFmtId="0" fontId="9" fillId="0" borderId="31" xfId="12" applyFont="1" applyBorder="1" applyAlignment="1" applyProtection="1">
      <alignment vertical="center"/>
      <protection hidden="1"/>
    </xf>
    <xf numFmtId="0" fontId="93" fillId="0" borderId="31" xfId="12" applyFont="1" applyBorder="1" applyAlignment="1" applyProtection="1">
      <alignment horizontal="right" vertical="center"/>
      <protection hidden="1"/>
    </xf>
    <xf numFmtId="0" fontId="9" fillId="0" borderId="28" xfId="12" applyFont="1" applyBorder="1" applyAlignment="1" applyProtection="1">
      <alignment vertical="center"/>
      <protection hidden="1"/>
    </xf>
    <xf numFmtId="0" fontId="9" fillId="2" borderId="11" xfId="12" applyFont="1" applyFill="1" applyBorder="1" applyAlignment="1" applyProtection="1">
      <alignment vertical="center"/>
      <protection hidden="1"/>
    </xf>
    <xf numFmtId="0" fontId="93" fillId="0" borderId="0" xfId="12" applyFont="1" applyAlignment="1" applyProtection="1">
      <alignment vertical="center"/>
      <protection hidden="1"/>
    </xf>
    <xf numFmtId="0" fontId="91" fillId="0" borderId="0" xfId="24" applyFont="1" applyAlignment="1">
      <alignment wrapText="1"/>
    </xf>
    <xf numFmtId="0" fontId="91" fillId="0" borderId="0" xfId="24" applyFont="1" applyAlignment="1">
      <alignment horizontal="right" wrapText="1"/>
    </xf>
    <xf numFmtId="49" fontId="17" fillId="0" borderId="25" xfId="12" applyNumberFormat="1" applyFont="1" applyBorder="1" applyAlignment="1" applyProtection="1">
      <alignment horizontal="left" vertical="center"/>
      <protection hidden="1"/>
    </xf>
    <xf numFmtId="0" fontId="112" fillId="0" borderId="0" xfId="12" applyFont="1" applyAlignment="1" applyProtection="1">
      <alignment horizontal="right" vertical="center"/>
      <protection hidden="1"/>
    </xf>
    <xf numFmtId="0" fontId="99" fillId="0" borderId="0" xfId="26" applyFont="1" applyFill="1" applyBorder="1" applyAlignment="1" applyProtection="1">
      <alignment horizontal="center" vertical="center"/>
      <protection hidden="1"/>
    </xf>
    <xf numFmtId="0" fontId="114" fillId="0" borderId="0" xfId="26" applyFont="1" applyFill="1" applyBorder="1" applyAlignment="1" applyProtection="1">
      <alignment horizontal="center" vertical="center"/>
      <protection hidden="1"/>
    </xf>
    <xf numFmtId="0" fontId="99" fillId="0" borderId="0" xfId="26" applyFont="1" applyFill="1" applyBorder="1" applyAlignment="1" applyProtection="1">
      <alignment horizontal="right" vertical="center"/>
      <protection hidden="1"/>
    </xf>
    <xf numFmtId="192" fontId="115" fillId="0" borderId="0" xfId="12" applyNumberFormat="1" applyFont="1" applyAlignment="1" applyProtection="1">
      <alignment horizontal="center" vertical="center"/>
      <protection hidden="1"/>
    </xf>
    <xf numFmtId="0" fontId="116" fillId="0" borderId="0" xfId="12" applyFont="1" applyAlignment="1" applyProtection="1">
      <alignment vertical="center"/>
      <protection hidden="1"/>
    </xf>
    <xf numFmtId="0" fontId="38" fillId="0" borderId="0" xfId="12" applyFont="1" applyAlignment="1" applyProtection="1">
      <alignment horizontal="center" vertical="center"/>
      <protection hidden="1"/>
    </xf>
    <xf numFmtId="57" fontId="20" fillId="0" borderId="0" xfId="12" applyNumberFormat="1" applyFont="1" applyAlignment="1" applyProtection="1">
      <alignment horizontal="center" vertical="center"/>
      <protection hidden="1"/>
    </xf>
    <xf numFmtId="0" fontId="9" fillId="0" borderId="32" xfId="11" applyBorder="1" applyAlignment="1">
      <alignment horizontal="center" vertical="center"/>
    </xf>
    <xf numFmtId="0" fontId="9" fillId="20" borderId="32" xfId="11" applyFill="1" applyBorder="1" applyAlignment="1">
      <alignment horizontal="center" vertical="center"/>
    </xf>
    <xf numFmtId="195" fontId="9" fillId="20" borderId="32" xfId="11" applyNumberFormat="1" applyFill="1" applyBorder="1" applyAlignment="1">
      <alignment horizontal="center" vertical="center"/>
    </xf>
    <xf numFmtId="0" fontId="9" fillId="20" borderId="32" xfId="11" applyFill="1" applyBorder="1">
      <alignment vertical="center"/>
    </xf>
    <xf numFmtId="0" fontId="68" fillId="0" borderId="0" xfId="1" applyFont="1" applyAlignment="1" applyProtection="1">
      <alignment horizontal="center" vertical="center" shrinkToFit="1"/>
      <protection hidden="1"/>
    </xf>
    <xf numFmtId="193" fontId="68" fillId="0" borderId="0" xfId="13" applyNumberFormat="1" applyFont="1" applyFill="1" applyBorder="1" applyAlignment="1" applyProtection="1">
      <alignment horizontal="center" vertical="center" shrinkToFit="1"/>
      <protection hidden="1"/>
    </xf>
    <xf numFmtId="0" fontId="0" fillId="0" borderId="0" xfId="0" applyAlignment="1">
      <alignment horizontal="center" vertical="center" shrinkToFit="1"/>
    </xf>
    <xf numFmtId="0" fontId="0" fillId="0" borderId="0" xfId="0" quotePrefix="1"/>
    <xf numFmtId="0" fontId="87" fillId="0" borderId="0" xfId="12" applyFont="1" applyAlignment="1" applyProtection="1">
      <alignment horizontal="left" vertical="center"/>
      <protection hidden="1"/>
    </xf>
    <xf numFmtId="0" fontId="9" fillId="0" borderId="2" xfId="1" applyFont="1" applyBorder="1" applyAlignment="1">
      <alignment horizontal="center"/>
    </xf>
    <xf numFmtId="0" fontId="9" fillId="0" borderId="32" xfId="11" applyBorder="1">
      <alignment vertical="center"/>
    </xf>
    <xf numFmtId="0" fontId="9" fillId="0" borderId="32" xfId="1" applyFont="1" applyBorder="1" applyAlignment="1">
      <alignment horizontal="center"/>
    </xf>
    <xf numFmtId="0" fontId="24" fillId="0" borderId="24" xfId="12" applyFont="1" applyBorder="1" applyAlignment="1" applyProtection="1">
      <alignment horizontal="center" vertical="center"/>
      <protection hidden="1"/>
    </xf>
    <xf numFmtId="0" fontId="23" fillId="0" borderId="24" xfId="12" applyFont="1" applyBorder="1" applyAlignment="1" applyProtection="1">
      <alignment horizontal="center" vertical="center" wrapText="1"/>
      <protection hidden="1"/>
    </xf>
    <xf numFmtId="0" fontId="0" fillId="0" borderId="0" xfId="16" applyFont="1" applyProtection="1">
      <protection hidden="1"/>
    </xf>
    <xf numFmtId="0" fontId="89" fillId="0" borderId="0" xfId="12" applyFont="1" applyAlignment="1" applyProtection="1">
      <alignment horizontal="left" vertical="center"/>
      <protection hidden="1"/>
    </xf>
    <xf numFmtId="0" fontId="85" fillId="0" borderId="0" xfId="12" applyFont="1" applyAlignment="1" applyProtection="1">
      <alignment horizontal="center" vertical="center"/>
      <protection hidden="1"/>
    </xf>
    <xf numFmtId="0" fontId="117" fillId="0" borderId="32" xfId="27" applyBorder="1">
      <alignment vertical="center"/>
    </xf>
    <xf numFmtId="179" fontId="117" fillId="0" borderId="4" xfId="27" applyNumberFormat="1" applyBorder="1">
      <alignment vertical="center"/>
    </xf>
    <xf numFmtId="0" fontId="117" fillId="0" borderId="0" xfId="27">
      <alignment vertical="center"/>
    </xf>
    <xf numFmtId="0" fontId="117" fillId="0" borderId="32" xfId="27" applyBorder="1" applyAlignment="1">
      <alignment horizontal="center" vertical="center"/>
    </xf>
    <xf numFmtId="10" fontId="117" fillId="26" borderId="7" xfId="27" applyNumberFormat="1" applyFill="1" applyBorder="1" applyAlignment="1">
      <alignment horizontal="right" vertical="center"/>
    </xf>
    <xf numFmtId="10" fontId="117" fillId="0" borderId="32" xfId="27" applyNumberFormat="1" applyBorder="1">
      <alignment vertical="center"/>
    </xf>
    <xf numFmtId="179" fontId="117" fillId="0" borderId="32" xfId="27" applyNumberFormat="1" applyBorder="1" applyAlignment="1">
      <alignment horizontal="right" vertical="center"/>
    </xf>
    <xf numFmtId="179" fontId="117" fillId="0" borderId="32" xfId="27" applyNumberFormat="1" applyBorder="1">
      <alignment vertical="center"/>
    </xf>
    <xf numFmtId="0" fontId="117" fillId="26" borderId="7" xfId="27" applyFill="1" applyBorder="1" applyAlignment="1">
      <alignment horizontal="right" vertical="center"/>
    </xf>
    <xf numFmtId="10" fontId="117" fillId="26" borderId="32" xfId="27" applyNumberFormat="1" applyFill="1" applyBorder="1" applyAlignment="1">
      <alignment horizontal="right" vertical="center"/>
    </xf>
    <xf numFmtId="0" fontId="117" fillId="26" borderId="32" xfId="27" applyFill="1" applyBorder="1" applyAlignment="1">
      <alignment horizontal="center" vertical="center"/>
    </xf>
    <xf numFmtId="0" fontId="117" fillId="0" borderId="0" xfId="27" applyAlignment="1">
      <alignment horizontal="center" vertical="center"/>
    </xf>
    <xf numFmtId="199" fontId="117" fillId="0" borderId="32" xfId="27" applyNumberFormat="1" applyBorder="1">
      <alignment vertical="center"/>
    </xf>
    <xf numFmtId="0" fontId="117" fillId="13" borderId="32" xfId="27" applyFill="1" applyBorder="1">
      <alignment vertical="center"/>
    </xf>
    <xf numFmtId="199" fontId="117" fillId="27" borderId="32" xfId="27" applyNumberFormat="1" applyFill="1" applyBorder="1" applyAlignment="1">
      <alignment horizontal="center" vertical="center"/>
    </xf>
    <xf numFmtId="200" fontId="117" fillId="26" borderId="32" xfId="27" applyNumberFormat="1" applyFill="1" applyBorder="1">
      <alignment vertical="center"/>
    </xf>
    <xf numFmtId="199" fontId="117" fillId="27" borderId="32" xfId="27" applyNumberFormat="1" applyFill="1" applyBorder="1">
      <alignment vertical="center"/>
    </xf>
    <xf numFmtId="179" fontId="117" fillId="26" borderId="32" xfId="27" applyNumberFormat="1" applyFill="1" applyBorder="1">
      <alignment vertical="center"/>
    </xf>
    <xf numFmtId="201" fontId="117" fillId="0" borderId="32" xfId="27" applyNumberFormat="1" applyBorder="1">
      <alignment vertical="center"/>
    </xf>
    <xf numFmtId="202" fontId="117" fillId="0" borderId="32" xfId="27" applyNumberFormat="1" applyBorder="1">
      <alignment vertical="center"/>
    </xf>
    <xf numFmtId="192" fontId="117" fillId="0" borderId="32" xfId="27" applyNumberFormat="1" applyBorder="1">
      <alignment vertical="center"/>
    </xf>
    <xf numFmtId="0" fontId="117" fillId="13" borderId="32" xfId="27" applyFill="1" applyBorder="1" applyAlignment="1">
      <alignment horizontal="center" vertical="center"/>
    </xf>
    <xf numFmtId="10" fontId="117" fillId="13" borderId="32" xfId="27" applyNumberFormat="1" applyFill="1" applyBorder="1" applyAlignment="1">
      <alignment horizontal="center" vertical="center"/>
    </xf>
    <xf numFmtId="10" fontId="117" fillId="0" borderId="32" xfId="27" applyNumberFormat="1" applyBorder="1" applyAlignment="1">
      <alignment horizontal="center" vertical="center"/>
    </xf>
    <xf numFmtId="196" fontId="117" fillId="13" borderId="32" xfId="27" applyNumberFormat="1" applyFill="1" applyBorder="1">
      <alignment vertical="center"/>
    </xf>
    <xf numFmtId="196" fontId="117" fillId="0" borderId="32" xfId="27" applyNumberFormat="1" applyBorder="1">
      <alignment vertical="center"/>
    </xf>
    <xf numFmtId="203" fontId="117" fillId="0" borderId="0" xfId="27" applyNumberFormat="1">
      <alignment vertical="center"/>
    </xf>
    <xf numFmtId="0" fontId="117" fillId="28" borderId="32" xfId="27" applyFill="1" applyBorder="1">
      <alignment vertical="center"/>
    </xf>
    <xf numFmtId="0" fontId="87" fillId="0" borderId="0" xfId="12" applyFont="1" applyAlignment="1" applyProtection="1">
      <alignment horizontal="center" vertical="center"/>
      <protection hidden="1"/>
    </xf>
    <xf numFmtId="0" fontId="56" fillId="0" borderId="0" xfId="1" applyFont="1" applyAlignment="1" applyProtection="1">
      <alignment horizontal="right" vertical="center" shrinkToFit="1"/>
      <protection hidden="1"/>
    </xf>
    <xf numFmtId="0" fontId="0" fillId="0" borderId="0" xfId="0" applyAlignment="1">
      <alignment horizontal="right" vertical="center" shrinkToFit="1"/>
    </xf>
    <xf numFmtId="184" fontId="58" fillId="0" borderId="0" xfId="1" applyNumberFormat="1" applyFont="1" applyAlignment="1" applyProtection="1">
      <alignment horizontal="left" vertical="center"/>
      <protection hidden="1"/>
    </xf>
    <xf numFmtId="0" fontId="118" fillId="0" borderId="0" xfId="1" applyFont="1" applyAlignment="1" applyProtection="1">
      <alignment horizontal="left" vertical="center"/>
      <protection hidden="1"/>
    </xf>
    <xf numFmtId="0" fontId="80" fillId="0" borderId="0" xfId="0" applyFont="1" applyAlignment="1">
      <alignment vertical="center"/>
    </xf>
    <xf numFmtId="0" fontId="0" fillId="0" borderId="0" xfId="0" applyAlignment="1">
      <alignment vertical="center" shrinkToFit="1"/>
    </xf>
    <xf numFmtId="0" fontId="9" fillId="13" borderId="32" xfId="11" applyFill="1" applyBorder="1">
      <alignment vertical="center"/>
    </xf>
    <xf numFmtId="57" fontId="83" fillId="0" borderId="0" xfId="1" applyNumberFormat="1" applyFont="1" applyAlignment="1" applyProtection="1">
      <alignment horizontal="right" vertical="center"/>
      <protection hidden="1"/>
    </xf>
    <xf numFmtId="0" fontId="58" fillId="0" borderId="24" xfId="1" applyFont="1" applyBorder="1" applyAlignment="1" applyProtection="1">
      <alignment vertical="center" shrinkToFit="1"/>
      <protection hidden="1"/>
    </xf>
    <xf numFmtId="0" fontId="0" fillId="0" borderId="24" xfId="1" applyFont="1" applyBorder="1" applyProtection="1">
      <protection hidden="1"/>
    </xf>
    <xf numFmtId="0" fontId="46" fillId="0" borderId="7" xfId="1" applyFont="1" applyBorder="1" applyAlignment="1" applyProtection="1">
      <alignment horizontal="center" vertical="center" shrinkToFit="1"/>
      <protection hidden="1"/>
    </xf>
    <xf numFmtId="0" fontId="46" fillId="0" borderId="2" xfId="1" applyFont="1" applyBorder="1" applyAlignment="1" applyProtection="1">
      <alignment horizontal="center" vertical="center" shrinkToFit="1"/>
      <protection hidden="1"/>
    </xf>
    <xf numFmtId="0" fontId="46" fillId="0" borderId="0" xfId="1" applyFont="1" applyAlignment="1" applyProtection="1">
      <alignment horizontal="center" vertical="center" shrinkToFit="1"/>
      <protection hidden="1"/>
    </xf>
    <xf numFmtId="193" fontId="46" fillId="0" borderId="0" xfId="13" applyNumberFormat="1" applyFont="1" applyFill="1" applyBorder="1" applyAlignment="1" applyProtection="1">
      <alignment horizontal="center" vertical="center" shrinkToFit="1"/>
      <protection hidden="1"/>
    </xf>
    <xf numFmtId="0" fontId="119" fillId="0" borderId="0" xfId="0" applyFont="1" applyAlignment="1">
      <alignment vertical="center" shrinkToFit="1"/>
    </xf>
    <xf numFmtId="0" fontId="0" fillId="0" borderId="0" xfId="0" applyAlignment="1">
      <alignment horizontal="right" vertical="center"/>
    </xf>
    <xf numFmtId="0" fontId="0" fillId="0" borderId="30" xfId="1" applyFont="1" applyBorder="1" applyProtection="1">
      <protection hidden="1"/>
    </xf>
    <xf numFmtId="0" fontId="0" fillId="0" borderId="36" xfId="1" applyFont="1" applyBorder="1" applyProtection="1">
      <protection hidden="1"/>
    </xf>
    <xf numFmtId="0" fontId="3" fillId="0" borderId="25" xfId="1" applyFont="1" applyBorder="1" applyProtection="1">
      <protection hidden="1"/>
    </xf>
    <xf numFmtId="0" fontId="3" fillId="0" borderId="31" xfId="1" applyFont="1" applyBorder="1" applyProtection="1">
      <protection hidden="1"/>
    </xf>
    <xf numFmtId="0" fontId="3" fillId="0" borderId="25" xfId="1" applyFont="1" applyBorder="1" applyAlignment="1" applyProtection="1">
      <alignment horizontal="left"/>
      <protection hidden="1"/>
    </xf>
    <xf numFmtId="0" fontId="3" fillId="0" borderId="28" xfId="1" applyFont="1" applyBorder="1" applyProtection="1">
      <protection hidden="1"/>
    </xf>
    <xf numFmtId="0" fontId="3" fillId="0" borderId="34" xfId="1" applyFont="1" applyBorder="1" applyProtection="1">
      <protection hidden="1"/>
    </xf>
    <xf numFmtId="0" fontId="0" fillId="0" borderId="31" xfId="1" applyFont="1" applyBorder="1" applyProtection="1">
      <protection hidden="1"/>
    </xf>
    <xf numFmtId="0" fontId="9" fillId="20" borderId="11" xfId="17" applyFill="1" applyBorder="1" applyAlignment="1">
      <alignment horizontal="center" vertical="center"/>
    </xf>
    <xf numFmtId="49" fontId="87" fillId="13" borderId="18" xfId="12" applyNumberFormat="1" applyFont="1" applyFill="1" applyBorder="1" applyAlignment="1" applyProtection="1">
      <alignment horizontal="left" vertical="center"/>
      <protection locked="0"/>
    </xf>
    <xf numFmtId="49" fontId="87" fillId="13" borderId="8" xfId="12" applyNumberFormat="1" applyFont="1" applyFill="1" applyBorder="1" applyAlignment="1" applyProtection="1">
      <alignment horizontal="left" vertical="center"/>
      <protection locked="0"/>
    </xf>
    <xf numFmtId="49" fontId="87" fillId="13" borderId="13" xfId="12" applyNumberFormat="1" applyFont="1" applyFill="1" applyBorder="1" applyAlignment="1" applyProtection="1">
      <alignment horizontal="left" vertical="center"/>
      <protection locked="0"/>
    </xf>
    <xf numFmtId="0" fontId="19" fillId="16" borderId="2" xfId="12" applyFont="1" applyFill="1" applyBorder="1" applyAlignment="1" applyProtection="1">
      <alignment horizontal="center" vertical="center" shrinkToFit="1"/>
      <protection locked="0" hidden="1"/>
    </xf>
    <xf numFmtId="0" fontId="98" fillId="16" borderId="27" xfId="12" applyFont="1" applyFill="1" applyBorder="1" applyAlignment="1" applyProtection="1">
      <alignment horizontal="center" vertical="center" shrinkToFit="1"/>
      <protection locked="0" hidden="1"/>
    </xf>
    <xf numFmtId="0" fontId="0" fillId="0" borderId="8" xfId="0" applyBorder="1" applyAlignment="1" applyProtection="1">
      <alignment horizontal="center" vertical="center" shrinkToFit="1"/>
      <protection locked="0" hidden="1"/>
    </xf>
    <xf numFmtId="0" fontId="0" fillId="0" borderId="33" xfId="0" applyBorder="1" applyAlignment="1" applyProtection="1">
      <alignment horizontal="center" vertical="center" shrinkToFit="1"/>
      <protection locked="0" hidden="1"/>
    </xf>
    <xf numFmtId="0" fontId="9" fillId="2" borderId="25" xfId="12" applyFont="1" applyFill="1" applyBorder="1" applyAlignment="1" applyProtection="1">
      <alignment vertical="center" wrapText="1"/>
      <protection hidden="1"/>
    </xf>
    <xf numFmtId="0" fontId="0" fillId="0" borderId="0" xfId="1" applyFont="1" applyAlignment="1">
      <alignment vertical="center" wrapText="1"/>
    </xf>
    <xf numFmtId="0" fontId="0" fillId="0" borderId="31" xfId="1" applyFont="1" applyBorder="1" applyAlignment="1">
      <alignment vertical="center" wrapText="1"/>
    </xf>
    <xf numFmtId="0" fontId="8" fillId="0" borderId="0" xfId="12" applyFont="1" applyAlignment="1" applyProtection="1">
      <alignment horizontal="right" vertical="center"/>
      <protection hidden="1"/>
    </xf>
    <xf numFmtId="57" fontId="20" fillId="0" borderId="11" xfId="12" applyNumberFormat="1" applyFont="1" applyBorder="1" applyAlignment="1" applyProtection="1">
      <alignment horizontal="center" vertical="center"/>
      <protection hidden="1"/>
    </xf>
    <xf numFmtId="0" fontId="87" fillId="0" borderId="0" xfId="12" applyFont="1" applyAlignment="1" applyProtection="1">
      <alignment horizontal="left" vertical="center"/>
      <protection hidden="1"/>
    </xf>
    <xf numFmtId="0" fontId="29" fillId="0" borderId="0" xfId="12" applyFont="1" applyAlignment="1" applyProtection="1">
      <alignment horizontal="right" vertical="center"/>
      <protection hidden="1"/>
    </xf>
    <xf numFmtId="0" fontId="30" fillId="0" borderId="25" xfId="12" applyFont="1" applyBorder="1" applyAlignment="1" applyProtection="1">
      <alignment horizontal="right" vertical="center"/>
      <protection hidden="1"/>
    </xf>
    <xf numFmtId="0" fontId="17" fillId="0" borderId="0" xfId="12" applyFont="1" applyAlignment="1" applyProtection="1">
      <alignment horizontal="right" vertical="center"/>
      <protection hidden="1"/>
    </xf>
    <xf numFmtId="0" fontId="17" fillId="0" borderId="0" xfId="12" applyFont="1" applyAlignment="1" applyProtection="1">
      <alignment horizontal="center" vertical="center"/>
      <protection hidden="1"/>
    </xf>
    <xf numFmtId="0" fontId="92" fillId="0" borderId="0" xfId="12" applyFont="1" applyAlignment="1" applyProtection="1">
      <alignment horizontal="center" vertical="center" shrinkToFit="1"/>
      <protection hidden="1"/>
    </xf>
    <xf numFmtId="0" fontId="109" fillId="0" borderId="25" xfId="12" applyFont="1" applyBorder="1" applyAlignment="1" applyProtection="1">
      <alignment horizontal="left" vertical="center" shrinkToFit="1"/>
      <protection hidden="1"/>
    </xf>
    <xf numFmtId="0" fontId="109" fillId="0" borderId="0" xfId="12" applyFont="1" applyAlignment="1" applyProtection="1">
      <alignment horizontal="left" vertical="center" shrinkToFit="1"/>
      <protection hidden="1"/>
    </xf>
    <xf numFmtId="188" fontId="17" fillId="0" borderId="28" xfId="12" applyNumberFormat="1" applyFont="1" applyBorder="1" applyAlignment="1" applyProtection="1">
      <alignment horizontal="left" vertical="center" shrinkToFit="1"/>
      <protection hidden="1"/>
    </xf>
    <xf numFmtId="188" fontId="17" fillId="0" borderId="11" xfId="12" applyNumberFormat="1" applyFont="1" applyBorder="1" applyAlignment="1" applyProtection="1">
      <alignment horizontal="left" vertical="center" shrinkToFit="1"/>
      <protection hidden="1"/>
    </xf>
    <xf numFmtId="0" fontId="93" fillId="0" borderId="0" xfId="12" applyFont="1" applyAlignment="1" applyProtection="1">
      <alignment horizontal="left" vertical="center" shrinkToFit="1"/>
      <protection hidden="1"/>
    </xf>
    <xf numFmtId="0" fontId="88" fillId="0" borderId="0" xfId="12" applyFont="1" applyAlignment="1" applyProtection="1">
      <alignment horizontal="left" vertical="center" shrinkToFit="1"/>
      <protection hidden="1"/>
    </xf>
    <xf numFmtId="0" fontId="49" fillId="11" borderId="26" xfId="12" applyFont="1" applyFill="1" applyBorder="1" applyAlignment="1" applyProtection="1">
      <alignment horizontal="center" vertical="center" shrinkToFit="1"/>
      <protection hidden="1"/>
    </xf>
    <xf numFmtId="0" fontId="50" fillId="11" borderId="2" xfId="12" applyFont="1" applyFill="1" applyBorder="1" applyAlignment="1" applyProtection="1">
      <alignment horizontal="center" vertical="center" shrinkToFit="1"/>
      <protection hidden="1"/>
    </xf>
    <xf numFmtId="0" fontId="50" fillId="11" borderId="32" xfId="12" applyFont="1" applyFill="1" applyBorder="1" applyAlignment="1" applyProtection="1">
      <alignment horizontal="center" vertical="center" shrinkToFit="1"/>
      <protection hidden="1"/>
    </xf>
    <xf numFmtId="184" fontId="17" fillId="0" borderId="23" xfId="12" applyNumberFormat="1" applyFont="1" applyBorder="1" applyAlignment="1" applyProtection="1">
      <alignment horizontal="center" vertical="center"/>
      <protection hidden="1"/>
    </xf>
    <xf numFmtId="184" fontId="17" fillId="0" borderId="0" xfId="12" applyNumberFormat="1" applyFont="1" applyAlignment="1" applyProtection="1">
      <alignment horizontal="center" vertical="center"/>
      <protection hidden="1"/>
    </xf>
    <xf numFmtId="0" fontId="39" fillId="16" borderId="2" xfId="12" applyFont="1" applyFill="1" applyBorder="1" applyAlignment="1" applyProtection="1">
      <alignment horizontal="center" vertical="center"/>
      <protection locked="0" hidden="1"/>
    </xf>
    <xf numFmtId="0" fontId="19" fillId="16" borderId="2" xfId="12" applyFont="1" applyFill="1" applyBorder="1" applyAlignment="1" applyProtection="1">
      <alignment horizontal="center" vertical="center"/>
      <protection locked="0" hidden="1"/>
    </xf>
    <xf numFmtId="0" fontId="31" fillId="0" borderId="25" xfId="12" applyFont="1" applyBorder="1" applyAlignment="1" applyProtection="1">
      <alignment horizontal="right" vertical="center"/>
      <protection hidden="1"/>
    </xf>
    <xf numFmtId="0" fontId="32" fillId="0" borderId="0" xfId="12" applyFont="1" applyAlignment="1" applyProtection="1">
      <alignment horizontal="right" vertical="center"/>
      <protection hidden="1"/>
    </xf>
    <xf numFmtId="0" fontId="32" fillId="0" borderId="25" xfId="12" applyFont="1" applyBorder="1" applyAlignment="1" applyProtection="1">
      <alignment horizontal="right" vertical="center"/>
      <protection hidden="1"/>
    </xf>
    <xf numFmtId="0" fontId="39" fillId="16" borderId="2" xfId="12" applyFont="1" applyFill="1" applyBorder="1" applyAlignment="1" applyProtection="1">
      <alignment horizontal="center" vertical="center" shrinkToFit="1"/>
      <protection locked="0" hidden="1"/>
    </xf>
    <xf numFmtId="0" fontId="20" fillId="0" borderId="0" xfId="12" applyFont="1" applyAlignment="1" applyProtection="1">
      <alignment horizontal="center" vertical="center"/>
      <protection hidden="1"/>
    </xf>
    <xf numFmtId="0" fontId="99" fillId="16" borderId="2" xfId="12" applyFont="1" applyFill="1" applyBorder="1" applyAlignment="1" applyProtection="1">
      <alignment horizontal="center" vertical="center" shrinkToFit="1"/>
      <protection locked="0" hidden="1"/>
    </xf>
    <xf numFmtId="0" fontId="99" fillId="16" borderId="2" xfId="12" applyFont="1" applyFill="1" applyBorder="1" applyAlignment="1" applyProtection="1">
      <alignment horizontal="center" vertical="center"/>
      <protection locked="0" hidden="1"/>
    </xf>
    <xf numFmtId="0" fontId="19" fillId="16" borderId="18" xfId="12" applyFont="1" applyFill="1" applyBorder="1" applyAlignment="1" applyProtection="1">
      <alignment horizontal="center" vertical="center" shrinkToFit="1"/>
      <protection locked="0"/>
    </xf>
    <xf numFmtId="0" fontId="19" fillId="16" borderId="8" xfId="12" applyFont="1" applyFill="1" applyBorder="1" applyAlignment="1" applyProtection="1">
      <alignment horizontal="center" vertical="center" shrinkToFit="1"/>
      <protection locked="0"/>
    </xf>
    <xf numFmtId="0" fontId="19" fillId="16" borderId="13" xfId="12" applyFont="1" applyFill="1" applyBorder="1" applyAlignment="1" applyProtection="1">
      <alignment horizontal="center" vertical="center" shrinkToFit="1"/>
      <protection locked="0"/>
    </xf>
    <xf numFmtId="0" fontId="17" fillId="0" borderId="0" xfId="12" applyFont="1" applyAlignment="1" applyProtection="1">
      <alignment horizontal="left" vertical="center" shrinkToFit="1"/>
      <protection hidden="1"/>
    </xf>
    <xf numFmtId="0" fontId="84" fillId="16" borderId="18" xfId="12" applyFont="1" applyFill="1" applyBorder="1" applyAlignment="1" applyProtection="1">
      <alignment horizontal="center" vertical="center" shrinkToFit="1"/>
      <protection locked="0" hidden="1"/>
    </xf>
    <xf numFmtId="0" fontId="84" fillId="16" borderId="13" xfId="12" applyFont="1" applyFill="1" applyBorder="1" applyAlignment="1" applyProtection="1">
      <alignment horizontal="center" vertical="center" shrinkToFit="1"/>
      <protection locked="0" hidden="1"/>
    </xf>
    <xf numFmtId="0" fontId="99" fillId="16" borderId="2" xfId="12" applyFont="1" applyFill="1" applyBorder="1" applyAlignment="1" applyProtection="1">
      <alignment horizontal="left" vertical="center"/>
      <protection locked="0" hidden="1"/>
    </xf>
    <xf numFmtId="0" fontId="105" fillId="16" borderId="2" xfId="0" applyFont="1" applyFill="1" applyBorder="1" applyAlignment="1" applyProtection="1">
      <alignment vertical="center"/>
      <protection locked="0" hidden="1"/>
    </xf>
    <xf numFmtId="0" fontId="104" fillId="0" borderId="0" xfId="12" applyFont="1" applyAlignment="1" applyProtection="1">
      <alignment horizontal="right" vertical="center" wrapText="1"/>
      <protection hidden="1"/>
    </xf>
    <xf numFmtId="0" fontId="20" fillId="0" borderId="0" xfId="12" applyFont="1" applyAlignment="1" applyProtection="1">
      <alignment horizontal="left" vertical="center" shrinkToFit="1"/>
      <protection hidden="1"/>
    </xf>
    <xf numFmtId="0" fontId="20" fillId="0" borderId="31" xfId="12" applyFont="1" applyBorder="1" applyAlignment="1" applyProtection="1">
      <alignment horizontal="left" vertical="center" shrinkToFit="1"/>
      <protection hidden="1"/>
    </xf>
    <xf numFmtId="9" fontId="84" fillId="16" borderId="32" xfId="12" applyNumberFormat="1" applyFont="1" applyFill="1" applyBorder="1" applyAlignment="1" applyProtection="1">
      <alignment horizontal="center" vertical="center"/>
      <protection locked="0" hidden="1"/>
    </xf>
    <xf numFmtId="10" fontId="17" fillId="0" borderId="0" xfId="12" applyNumberFormat="1" applyFont="1" applyAlignment="1" applyProtection="1">
      <alignment horizontal="center" vertical="center"/>
      <protection hidden="1"/>
    </xf>
    <xf numFmtId="204" fontId="84" fillId="16" borderId="32" xfId="12" applyNumberFormat="1" applyFont="1" applyFill="1" applyBorder="1" applyAlignment="1" applyProtection="1">
      <alignment horizontal="center" vertical="center"/>
      <protection locked="0" hidden="1"/>
    </xf>
    <xf numFmtId="179" fontId="89" fillId="25" borderId="27" xfId="12" applyNumberFormat="1" applyFont="1" applyFill="1" applyBorder="1" applyAlignment="1" applyProtection="1">
      <alignment horizontal="right" vertical="center"/>
      <protection locked="0" hidden="1"/>
    </xf>
    <xf numFmtId="179" fontId="89" fillId="25" borderId="8" xfId="12" applyNumberFormat="1" applyFont="1" applyFill="1" applyBorder="1" applyAlignment="1" applyProtection="1">
      <alignment horizontal="right" vertical="center"/>
      <protection locked="0" hidden="1"/>
    </xf>
    <xf numFmtId="179" fontId="89" fillId="25" borderId="33" xfId="12" applyNumberFormat="1" applyFont="1" applyFill="1" applyBorder="1" applyAlignment="1" applyProtection="1">
      <alignment horizontal="right" vertical="center"/>
      <protection locked="0" hidden="1"/>
    </xf>
    <xf numFmtId="0" fontId="53" fillId="0" borderId="0" xfId="12" applyFont="1" applyAlignment="1" applyProtection="1">
      <alignment horizontal="left" vertical="center"/>
      <protection hidden="1"/>
    </xf>
    <xf numFmtId="0" fontId="21" fillId="0" borderId="0" xfId="12" applyFont="1" applyAlignment="1" applyProtection="1">
      <alignment horizontal="right" vertical="center" wrapText="1"/>
      <protection hidden="1"/>
    </xf>
    <xf numFmtId="0" fontId="21" fillId="0" borderId="31" xfId="12" applyFont="1" applyBorder="1" applyAlignment="1" applyProtection="1">
      <alignment horizontal="right" vertical="center" wrapText="1"/>
      <protection hidden="1"/>
    </xf>
    <xf numFmtId="0" fontId="38" fillId="0" borderId="25" xfId="12" applyFont="1" applyBorder="1" applyAlignment="1" applyProtection="1">
      <alignment vertical="center"/>
      <protection hidden="1"/>
    </xf>
    <xf numFmtId="0" fontId="38" fillId="0" borderId="0" xfId="12" applyFont="1" applyAlignment="1" applyProtection="1">
      <alignment vertical="center"/>
      <protection hidden="1"/>
    </xf>
    <xf numFmtId="0" fontId="37" fillId="0" borderId="0" xfId="12" applyFont="1" applyAlignment="1" applyProtection="1">
      <alignment horizontal="right" vertical="center" wrapText="1"/>
      <protection hidden="1"/>
    </xf>
    <xf numFmtId="0" fontId="25" fillId="0" borderId="0" xfId="12" applyFont="1" applyAlignment="1" applyProtection="1">
      <alignment horizontal="right" vertical="center" wrapText="1"/>
      <protection hidden="1"/>
    </xf>
    <xf numFmtId="0" fontId="68" fillId="0" borderId="32" xfId="1" applyFont="1" applyBorder="1" applyAlignment="1" applyProtection="1">
      <alignment horizontal="center" vertical="center" shrinkToFit="1"/>
      <protection hidden="1"/>
    </xf>
    <xf numFmtId="0" fontId="0" fillId="0" borderId="32" xfId="0" applyBorder="1" applyAlignment="1">
      <alignment shrinkToFit="1"/>
    </xf>
    <xf numFmtId="0" fontId="56" fillId="0" borderId="0" xfId="1" applyFont="1" applyAlignment="1" applyProtection="1">
      <alignment horizontal="right" vertical="center" shrinkToFit="1"/>
      <protection hidden="1"/>
    </xf>
    <xf numFmtId="0" fontId="0" fillId="0" borderId="0" xfId="0" applyAlignment="1">
      <alignment horizontal="right" vertical="center" shrinkToFit="1"/>
    </xf>
    <xf numFmtId="0" fontId="101" fillId="21" borderId="2" xfId="1" applyFont="1" applyFill="1" applyBorder="1" applyAlignment="1" applyProtection="1">
      <alignment horizontal="center" vertical="center"/>
      <protection hidden="1"/>
    </xf>
    <xf numFmtId="0" fontId="101" fillId="21" borderId="32" xfId="1" applyFont="1" applyFill="1" applyBorder="1" applyAlignment="1" applyProtection="1">
      <alignment horizontal="center" vertical="center"/>
      <protection hidden="1"/>
    </xf>
    <xf numFmtId="0" fontId="40" fillId="0" borderId="0" xfId="1" applyFont="1" applyAlignment="1" applyProtection="1">
      <alignment horizontal="right" vertical="center" shrinkToFit="1"/>
      <protection hidden="1"/>
    </xf>
    <xf numFmtId="184" fontId="58" fillId="0" borderId="0" xfId="1" applyNumberFormat="1" applyFont="1" applyAlignment="1" applyProtection="1">
      <alignment horizontal="left" vertical="center" shrinkToFit="1"/>
      <protection hidden="1"/>
    </xf>
    <xf numFmtId="0" fontId="0" fillId="0" borderId="0" xfId="0" applyAlignment="1">
      <alignment horizontal="left" vertical="center" shrinkToFit="1"/>
    </xf>
    <xf numFmtId="193" fontId="46" fillId="0" borderId="32" xfId="13" applyNumberFormat="1" applyFont="1" applyFill="1" applyBorder="1" applyAlignment="1" applyProtection="1">
      <alignment horizontal="center" vertical="center" shrinkToFit="1"/>
      <protection hidden="1"/>
    </xf>
    <xf numFmtId="0" fontId="119" fillId="0" borderId="32" xfId="0" applyFont="1" applyBorder="1" applyAlignment="1">
      <alignment vertical="center" shrinkToFit="1"/>
    </xf>
    <xf numFmtId="0" fontId="119" fillId="0" borderId="32" xfId="0" applyFont="1" applyBorder="1" applyAlignment="1">
      <alignment horizontal="center" vertical="center" shrinkToFit="1"/>
    </xf>
    <xf numFmtId="0" fontId="58" fillId="2" borderId="0" xfId="1" applyFont="1" applyFill="1" applyAlignment="1" applyProtection="1">
      <alignment horizontal="right" vertical="center" shrinkToFit="1"/>
      <protection hidden="1"/>
    </xf>
    <xf numFmtId="0" fontId="58" fillId="0" borderId="0" xfId="1" applyFont="1" applyAlignment="1" applyProtection="1">
      <alignment horizontal="left" vertical="center" shrinkToFit="1"/>
      <protection hidden="1"/>
    </xf>
    <xf numFmtId="0" fontId="0" fillId="0" borderId="0" xfId="0" applyAlignment="1">
      <alignment vertical="center" shrinkToFit="1"/>
    </xf>
    <xf numFmtId="0" fontId="58" fillId="25" borderId="32" xfId="1" applyFont="1" applyFill="1" applyBorder="1" applyAlignment="1" applyProtection="1">
      <alignment horizontal="center" vertical="center" shrinkToFit="1"/>
      <protection hidden="1"/>
    </xf>
    <xf numFmtId="0" fontId="0" fillId="0" borderId="32" xfId="0" applyBorder="1" applyAlignment="1">
      <alignment horizontal="center" vertical="center" shrinkToFit="1"/>
    </xf>
    <xf numFmtId="0" fontId="0" fillId="0" borderId="32" xfId="0" applyBorder="1" applyAlignment="1">
      <alignment vertical="center" shrinkToFit="1"/>
    </xf>
    <xf numFmtId="185" fontId="58" fillId="0" borderId="32" xfId="1" applyNumberFormat="1" applyFont="1" applyBorder="1" applyAlignment="1" applyProtection="1">
      <alignment horizontal="left" vertical="center" shrinkToFit="1"/>
      <protection hidden="1"/>
    </xf>
    <xf numFmtId="186" fontId="34" fillId="0" borderId="32" xfId="1" applyNumberFormat="1" applyFont="1" applyBorder="1" applyAlignment="1" applyProtection="1">
      <alignment horizontal="center" vertical="center" shrinkToFit="1"/>
      <protection hidden="1"/>
    </xf>
    <xf numFmtId="0" fontId="34" fillId="0" borderId="32" xfId="1" applyFont="1" applyBorder="1" applyAlignment="1" applyProtection="1">
      <alignment horizontal="center" vertical="center" shrinkToFit="1"/>
      <protection hidden="1"/>
    </xf>
    <xf numFmtId="0" fontId="55" fillId="25" borderId="32" xfId="0" applyFont="1" applyFill="1" applyBorder="1" applyAlignment="1" applyProtection="1">
      <alignment horizontal="center" vertical="center" shrinkToFit="1"/>
      <protection hidden="1"/>
    </xf>
    <xf numFmtId="179" fontId="34" fillId="0" borderId="32" xfId="0" applyNumberFormat="1" applyFont="1" applyBorder="1" applyAlignment="1">
      <alignment horizontal="right" vertical="center" shrinkToFit="1"/>
    </xf>
    <xf numFmtId="9" fontId="100" fillId="0" borderId="32" xfId="0" applyNumberFormat="1" applyFont="1" applyBorder="1" applyAlignment="1" applyProtection="1">
      <alignment horizontal="center" vertical="center" shrinkToFit="1"/>
      <protection hidden="1"/>
    </xf>
    <xf numFmtId="0" fontId="41" fillId="0" borderId="32" xfId="0" applyFont="1" applyBorder="1" applyAlignment="1">
      <alignment horizontal="center" vertical="center" shrinkToFit="1"/>
    </xf>
    <xf numFmtId="0" fontId="0" fillId="0" borderId="32" xfId="0" applyBorder="1" applyAlignment="1">
      <alignment horizontal="center" shrinkToFit="1"/>
    </xf>
    <xf numFmtId="0" fontId="59" fillId="25" borderId="32" xfId="1" applyFont="1" applyFill="1" applyBorder="1" applyAlignment="1" applyProtection="1">
      <alignment horizontal="center" vertical="center" shrinkToFit="1"/>
      <protection hidden="1"/>
    </xf>
    <xf numFmtId="0" fontId="119" fillId="0" borderId="32" xfId="0" applyFont="1" applyBorder="1" applyAlignment="1">
      <alignment shrinkToFit="1"/>
    </xf>
    <xf numFmtId="0" fontId="59" fillId="25" borderId="32" xfId="1" applyFont="1" applyFill="1" applyBorder="1" applyAlignment="1" applyProtection="1">
      <alignment horizontal="center" vertical="center" wrapText="1"/>
      <protection hidden="1"/>
    </xf>
    <xf numFmtId="0" fontId="119" fillId="0" borderId="32" xfId="0" applyFont="1" applyBorder="1" applyAlignment="1">
      <alignment wrapText="1"/>
    </xf>
    <xf numFmtId="0" fontId="59" fillId="25" borderId="32" xfId="0" applyFont="1" applyFill="1" applyBorder="1" applyAlignment="1">
      <alignment horizontal="center" vertical="center" wrapText="1"/>
    </xf>
    <xf numFmtId="0" fontId="119" fillId="0" borderId="32" xfId="0" applyFont="1" applyBorder="1" applyAlignment="1">
      <alignment vertical="center" wrapText="1"/>
    </xf>
    <xf numFmtId="0" fontId="119" fillId="0" borderId="32" xfId="0" applyFont="1" applyBorder="1" applyAlignment="1">
      <alignment horizontal="center" vertical="center" wrapText="1"/>
    </xf>
    <xf numFmtId="193" fontId="46" fillId="0" borderId="27" xfId="13" applyNumberFormat="1" applyFont="1" applyFill="1" applyBorder="1" applyAlignment="1" applyProtection="1">
      <alignment horizontal="center" vertical="center" shrinkToFit="1"/>
      <protection hidden="1"/>
    </xf>
    <xf numFmtId="0" fontId="119" fillId="0" borderId="33" xfId="0" applyFont="1" applyBorder="1" applyAlignment="1">
      <alignment vertical="center" shrinkToFit="1"/>
    </xf>
    <xf numFmtId="193" fontId="46" fillId="0" borderId="28" xfId="13" applyNumberFormat="1" applyFont="1" applyFill="1" applyBorder="1" applyAlignment="1" applyProtection="1">
      <alignment horizontal="center" vertical="center" shrinkToFit="1"/>
      <protection hidden="1"/>
    </xf>
    <xf numFmtId="0" fontId="119" fillId="0" borderId="34" xfId="0" applyFont="1" applyBorder="1" applyAlignment="1">
      <alignment vertical="center" shrinkToFit="1"/>
    </xf>
    <xf numFmtId="0" fontId="119" fillId="25" borderId="32" xfId="0" applyFont="1" applyFill="1" applyBorder="1" applyAlignment="1">
      <alignment horizontal="center" vertical="center" wrapText="1"/>
    </xf>
    <xf numFmtId="0" fontId="119" fillId="0" borderId="32" xfId="0" applyFont="1" applyBorder="1" applyAlignment="1">
      <alignment horizontal="center" vertical="center"/>
    </xf>
    <xf numFmtId="0" fontId="120" fillId="25" borderId="32" xfId="0" applyFont="1" applyFill="1" applyBorder="1" applyAlignment="1">
      <alignment horizontal="center" vertical="center" wrapText="1"/>
    </xf>
    <xf numFmtId="0" fontId="119" fillId="0" borderId="32" xfId="0" applyFont="1" applyBorder="1" applyAlignment="1">
      <alignment horizontal="center" wrapText="1"/>
    </xf>
    <xf numFmtId="0" fontId="64" fillId="0" borderId="0" xfId="1" applyFont="1" applyAlignment="1" applyProtection="1">
      <alignment horizontal="center" vertical="center"/>
      <protection hidden="1"/>
    </xf>
    <xf numFmtId="0" fontId="72" fillId="0" borderId="0" xfId="0" applyFont="1" applyAlignment="1">
      <alignment horizontal="center" vertical="center"/>
    </xf>
    <xf numFmtId="0" fontId="12" fillId="21" borderId="2" xfId="12" applyFont="1" applyFill="1" applyBorder="1" applyAlignment="1" applyProtection="1">
      <alignment horizontal="center" vertical="center" shrinkToFit="1"/>
      <protection hidden="1"/>
    </xf>
    <xf numFmtId="0" fontId="12" fillId="21" borderId="32" xfId="12" applyFont="1" applyFill="1" applyBorder="1" applyAlignment="1" applyProtection="1">
      <alignment horizontal="center" vertical="center" shrinkToFit="1"/>
      <protection hidden="1"/>
    </xf>
    <xf numFmtId="0" fontId="59" fillId="0" borderId="32" xfId="0" applyFont="1" applyBorder="1" applyAlignment="1">
      <alignment wrapText="1"/>
    </xf>
    <xf numFmtId="0" fontId="59" fillId="0" borderId="32" xfId="0" applyFont="1" applyBorder="1" applyAlignment="1">
      <alignment horizontal="center" wrapText="1"/>
    </xf>
    <xf numFmtId="0" fontId="59" fillId="25" borderId="2" xfId="1" applyFont="1" applyFill="1" applyBorder="1" applyAlignment="1" applyProtection="1">
      <alignment horizontal="center" vertical="center" wrapText="1"/>
      <protection hidden="1"/>
    </xf>
    <xf numFmtId="0" fontId="59" fillId="0" borderId="2" xfId="0" applyFont="1" applyBorder="1" applyAlignment="1">
      <alignment wrapText="1"/>
    </xf>
    <xf numFmtId="0" fontId="59" fillId="0" borderId="2" xfId="0" applyFont="1" applyBorder="1" applyAlignment="1">
      <alignment horizontal="center" wrapText="1"/>
    </xf>
    <xf numFmtId="0" fontId="58" fillId="25" borderId="32" xfId="1" applyFont="1" applyFill="1" applyBorder="1" applyAlignment="1" applyProtection="1">
      <alignment horizontal="center" vertical="center" wrapText="1"/>
      <protection hidden="1"/>
    </xf>
    <xf numFmtId="0" fontId="51" fillId="0" borderId="0" xfId="1" applyFont="1" applyAlignment="1" applyProtection="1">
      <alignment horizontal="left" vertical="center"/>
      <protection hidden="1"/>
    </xf>
    <xf numFmtId="176" fontId="34" fillId="0" borderId="32" xfId="14" applyFont="1" applyBorder="1" applyAlignment="1" applyProtection="1">
      <alignment horizontal="center" vertical="center" shrinkToFit="1"/>
      <protection hidden="1"/>
    </xf>
    <xf numFmtId="0" fontId="58" fillId="25" borderId="2" xfId="1" applyFont="1" applyFill="1" applyBorder="1" applyAlignment="1" applyProtection="1">
      <alignment horizontal="center" vertical="center" wrapText="1"/>
      <protection hidden="1"/>
    </xf>
    <xf numFmtId="0" fontId="44" fillId="0" borderId="0" xfId="1" applyFont="1" applyAlignment="1" applyProtection="1">
      <alignment horizontal="left" vertical="center"/>
      <protection hidden="1"/>
    </xf>
    <xf numFmtId="0" fontId="45" fillId="0" borderId="0" xfId="1" applyFont="1" applyAlignment="1" applyProtection="1">
      <alignment horizontal="left" vertical="center"/>
      <protection hidden="1"/>
    </xf>
    <xf numFmtId="0" fontId="58" fillId="0" borderId="32" xfId="1" applyFont="1" applyBorder="1" applyAlignment="1" applyProtection="1">
      <alignment horizontal="left" vertical="center" wrapText="1"/>
      <protection hidden="1"/>
    </xf>
    <xf numFmtId="0" fontId="68" fillId="0" borderId="27" xfId="1" applyFont="1" applyBorder="1" applyAlignment="1" applyProtection="1">
      <alignment horizontal="center" vertical="center" wrapText="1"/>
      <protection hidden="1"/>
    </xf>
    <xf numFmtId="0" fontId="0" fillId="0" borderId="33" xfId="0" applyBorder="1" applyAlignment="1">
      <alignment horizontal="center" vertical="center" wrapText="1"/>
    </xf>
  </cellXfs>
  <cellStyles count="28">
    <cellStyle name="_x000e__x0008__x000a_" xfId="1" xr:uid="{00000000-0005-0000-0000-000000000000}"/>
    <cellStyle name="_x000e__x0008__x000a_ 2" xfId="2" xr:uid="{00000000-0005-0000-0000-000001000000}"/>
    <cellStyle name="_x000e__x0008__x000a_ 2 2" xfId="16" xr:uid="{00000000-0005-0000-0000-000002000000}"/>
    <cellStyle name="_x000a_386grabber=v" xfId="3" xr:uid="{00000000-0005-0000-0000-000003000000}"/>
    <cellStyle name="一般" xfId="0" builtinId="0"/>
    <cellStyle name="一般 2 2" xfId="27" xr:uid="{00000000-0005-0000-0000-000005000000}"/>
    <cellStyle name="一般 4" xfId="17" xr:uid="{00000000-0005-0000-0000-000006000000}"/>
    <cellStyle name="一般 4 3" xfId="23" xr:uid="{00000000-0005-0000-0000-000007000000}"/>
    <cellStyle name="一般 8 3 2 2 2" xfId="22" xr:uid="{00000000-0005-0000-0000-000008000000}"/>
    <cellStyle name="一般 8 3 2 2 2 3" xfId="25" xr:uid="{00000000-0005-0000-0000-000009000000}"/>
    <cellStyle name="一般_20XWS_factor for proposal" xfId="4" xr:uid="{00000000-0005-0000-0000-00000A000000}"/>
    <cellStyle name="一般_data" xfId="5" xr:uid="{00000000-0005-0000-0000-00000B000000}"/>
    <cellStyle name="一般_data_1" xfId="21" xr:uid="{00000000-0005-0000-0000-00000C000000}"/>
    <cellStyle name="一般_Factor_建議書_FB_XWA1_(所繳保險費)" xfId="6" xr:uid="{00000000-0005-0000-0000-00000D000000}"/>
    <cellStyle name="一般_OP" xfId="7" xr:uid="{00000000-0005-0000-0000-00000E000000}"/>
    <cellStyle name="一般_OP 2" xfId="20" xr:uid="{00000000-0005-0000-0000-00000F000000}"/>
    <cellStyle name="一般_OP_2" xfId="8" xr:uid="{00000000-0005-0000-0000-000010000000}"/>
    <cellStyle name="一般_P_DATA" xfId="24" xr:uid="{00000000-0005-0000-0000-000011000000}"/>
    <cellStyle name="一般_XWO0701" xfId="9" xr:uid="{00000000-0005-0000-0000-000012000000}"/>
    <cellStyle name="一般_分紅與不分紅揭露" xfId="10" xr:uid="{00000000-0005-0000-0000-000013000000}"/>
    <cellStyle name="一般_我用的-年齡計算函數e" xfId="11" xr:uid="{00000000-0005-0000-0000-000014000000}"/>
    <cellStyle name="一般_我用的-年齡計算函數e 2" xfId="15" xr:uid="{00000000-0005-0000-0000-000015000000}"/>
    <cellStyle name="一般_頁面" xfId="12" xr:uid="{00000000-0005-0000-0000-000016000000}"/>
    <cellStyle name="一般_揭露" xfId="18" xr:uid="{00000000-0005-0000-0000-000017000000}"/>
    <cellStyle name="一般_揭露_2" xfId="19" xr:uid="{00000000-0005-0000-0000-000018000000}"/>
    <cellStyle name="千分位" xfId="13" builtinId="3"/>
    <cellStyle name="千分位[0]" xfId="14" builtinId="6"/>
    <cellStyle name="超連結 2" xfId="26" xr:uid="{00000000-0005-0000-0000-00001B000000}"/>
  </cellStyles>
  <dxfs count="32">
    <dxf>
      <font>
        <color theme="0"/>
      </font>
      <fill>
        <patternFill>
          <bgColor theme="0"/>
        </patternFill>
      </fill>
      <border>
        <left/>
        <right/>
        <top/>
        <bottom/>
      </border>
    </dxf>
    <dxf>
      <fill>
        <patternFill>
          <bgColor theme="4" tint="0.79998168889431442"/>
        </patternFill>
      </fill>
    </dxf>
    <dxf>
      <font>
        <b/>
        <i val="0"/>
        <condense val="0"/>
        <extend val="0"/>
        <color indexed="12"/>
      </font>
    </dxf>
    <dxf>
      <font>
        <b/>
        <i val="0"/>
        <strike/>
        <condense val="0"/>
        <extend val="0"/>
        <color indexed="9"/>
      </font>
      <fill>
        <patternFill>
          <bgColor indexed="10"/>
        </patternFill>
      </fill>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ill>
        <patternFill>
          <bgColor indexed="10"/>
        </patternFill>
      </fill>
    </dxf>
    <dxf>
      <font>
        <color theme="0"/>
      </font>
      <fill>
        <patternFill>
          <fgColor indexed="64"/>
          <bgColor theme="0"/>
        </patternFill>
      </fill>
      <border>
        <left/>
        <right/>
        <top/>
        <bottom/>
      </border>
    </dxf>
    <dxf>
      <font>
        <strike val="0"/>
        <color theme="0"/>
      </font>
      <fill>
        <patternFill>
          <bgColor theme="0"/>
        </patternFill>
      </fill>
      <border>
        <left/>
        <right/>
        <top/>
        <bottom/>
        <vertical/>
        <horizontal/>
      </border>
    </dxf>
    <dxf>
      <fill>
        <patternFill>
          <bgColor indexed="10"/>
        </patternFill>
      </fill>
    </dxf>
    <dxf>
      <font>
        <b/>
        <i val="0"/>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patternType="solid">
          <bgColor theme="0"/>
        </patternFill>
      </fill>
      <border>
        <left/>
        <right/>
        <top/>
        <bottom/>
      </border>
    </dxf>
    <dxf>
      <font>
        <color theme="0"/>
      </font>
      <fill>
        <patternFill>
          <bgColor theme="0"/>
        </patternFill>
      </fill>
      <border>
        <left/>
        <right/>
        <top/>
        <bottom/>
        <vertical/>
        <horizontal/>
      </border>
    </dxf>
    <dxf>
      <font>
        <color theme="0"/>
      </font>
      <fill>
        <patternFill>
          <fgColor indexed="64"/>
          <bgColor theme="0"/>
        </patternFill>
      </fill>
      <border>
        <left/>
        <right/>
        <bottom/>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ont>
        <condense val="0"/>
        <extend val="0"/>
        <color auto="1"/>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b/>
        <i val="0"/>
        <strike/>
        <color theme="0"/>
      </font>
      <fill>
        <patternFill>
          <bgColor rgb="FFFF0000"/>
        </patternFill>
      </fill>
    </dxf>
    <dxf>
      <font>
        <b/>
        <i val="0"/>
        <strike/>
        <condense val="0"/>
        <extend val="0"/>
        <u val="none"/>
        <color indexed="9"/>
      </font>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C7D7D8"/>
      <rgbColor rgb="004DFFF9"/>
      <rgbColor rgb="0088A9D8"/>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W339"/>
  <sheetViews>
    <sheetView topLeftCell="XFD1048576" workbookViewId="0"/>
  </sheetViews>
  <sheetFormatPr defaultColWidth="0" defaultRowHeight="16.5" zeroHeight="1"/>
  <cols>
    <col min="1" max="3" width="9.33203125" style="315" hidden="1"/>
    <col min="4" max="4" width="13.5" style="315" hidden="1"/>
    <col min="5" max="9" width="9.33203125" style="315" hidden="1"/>
    <col min="10" max="10" width="2.1640625" style="315" hidden="1"/>
    <col min="11" max="11" width="18.5" style="315" hidden="1"/>
    <col min="12" max="12" width="24.6640625" style="315" hidden="1"/>
    <col min="13" max="13" width="9.33203125" style="315" hidden="1"/>
    <col min="14" max="14" width="13.1640625" style="315" hidden="1"/>
    <col min="15" max="15" width="9.33203125" style="315" hidden="1"/>
    <col min="16" max="16" width="10" style="315" hidden="1"/>
    <col min="17" max="16384" width="9.33203125" style="315" hidden="1"/>
  </cols>
  <sheetData>
    <row r="1" spans="1:23" hidden="1">
      <c r="A1" s="311"/>
      <c r="B1" s="312" t="str">
        <f>OP!$C$56</f>
        <v>SDJ20</v>
      </c>
      <c r="C1" s="313" t="s">
        <v>381</v>
      </c>
      <c r="D1" s="312" t="str">
        <f>IF(OP!$E$16=1,"足歲",IF(OP!$E$16=2,"保險年齡","錯誤"))</f>
        <v>保險年齡</v>
      </c>
      <c r="E1" s="313" t="s">
        <v>381</v>
      </c>
      <c r="F1" s="311"/>
      <c r="G1" s="311"/>
      <c r="H1" s="311"/>
      <c r="I1" s="311"/>
      <c r="J1" s="314"/>
      <c r="K1" s="314"/>
      <c r="Q1" s="315">
        <v>6</v>
      </c>
      <c r="R1" s="315">
        <v>7</v>
      </c>
      <c r="S1" s="315">
        <v>8</v>
      </c>
      <c r="T1" s="315">
        <v>9</v>
      </c>
      <c r="U1" s="315">
        <v>10</v>
      </c>
      <c r="V1" s="315">
        <v>11</v>
      </c>
      <c r="W1" s="315">
        <v>12</v>
      </c>
    </row>
    <row r="2" spans="1:23" hidden="1">
      <c r="A2" s="311"/>
      <c r="B2" s="311"/>
      <c r="C2" s="313"/>
      <c r="D2" s="311"/>
      <c r="E2" s="313"/>
      <c r="F2" s="311"/>
      <c r="G2" s="311"/>
      <c r="H2" s="311"/>
      <c r="I2" s="311"/>
      <c r="J2" s="314"/>
      <c r="K2" s="314"/>
      <c r="L2" s="494" t="s">
        <v>382</v>
      </c>
      <c r="M2" s="494"/>
      <c r="N2" s="494"/>
      <c r="O2" s="316" t="s">
        <v>383</v>
      </c>
      <c r="P2" s="316"/>
      <c r="Q2" s="316">
        <v>109</v>
      </c>
      <c r="R2" s="316"/>
      <c r="S2" s="316"/>
      <c r="T2" s="316"/>
      <c r="U2" s="316"/>
      <c r="V2" s="316"/>
      <c r="W2" s="316"/>
    </row>
    <row r="3" spans="1:23" hidden="1">
      <c r="A3" s="311"/>
      <c r="B3" s="311"/>
      <c r="C3" s="317" t="s">
        <v>384</v>
      </c>
      <c r="D3" s="318">
        <v>1</v>
      </c>
      <c r="E3" s="318">
        <v>2</v>
      </c>
      <c r="F3" s="318">
        <v>3</v>
      </c>
      <c r="G3" s="318">
        <v>1</v>
      </c>
      <c r="H3" s="318">
        <v>2</v>
      </c>
      <c r="I3" s="318">
        <v>3</v>
      </c>
      <c r="J3" s="311"/>
      <c r="K3" s="319" t="s">
        <v>385</v>
      </c>
      <c r="L3" s="320" t="s">
        <v>24</v>
      </c>
      <c r="M3" s="319" t="s">
        <v>284</v>
      </c>
      <c r="N3" s="319" t="s">
        <v>386</v>
      </c>
      <c r="O3" s="321" t="s">
        <v>387</v>
      </c>
      <c r="P3" s="321" t="s">
        <v>388</v>
      </c>
      <c r="Q3" s="321" t="s">
        <v>17</v>
      </c>
      <c r="R3" s="321" t="s">
        <v>16</v>
      </c>
      <c r="S3" s="321" t="s">
        <v>389</v>
      </c>
      <c r="T3" s="321" t="s">
        <v>390</v>
      </c>
      <c r="U3" s="321" t="s">
        <v>391</v>
      </c>
      <c r="V3" s="321" t="s">
        <v>392</v>
      </c>
      <c r="W3" s="321" t="s">
        <v>393</v>
      </c>
    </row>
    <row r="4" spans="1:23" hidden="1">
      <c r="A4" s="311"/>
      <c r="B4" s="314"/>
      <c r="C4" s="322" t="s">
        <v>394</v>
      </c>
      <c r="D4" s="323">
        <v>1</v>
      </c>
      <c r="E4" s="323">
        <v>1</v>
      </c>
      <c r="F4" s="323">
        <v>1</v>
      </c>
      <c r="G4" s="323">
        <v>2</v>
      </c>
      <c r="H4" s="323">
        <v>2</v>
      </c>
      <c r="I4" s="323">
        <v>2</v>
      </c>
      <c r="J4" s="311"/>
      <c r="K4" s="324" t="str">
        <f>IF($D$1="足歲","15足歲","")</f>
        <v/>
      </c>
      <c r="L4" s="325" t="str">
        <f t="shared" ref="L4:L67" si="0">IF(P4&lt;&gt;$B$1,"",P4&amp;Q4&amp;R4&amp;V4)</f>
        <v>SDJ20151</v>
      </c>
      <c r="M4" s="325">
        <f>IF(L4="","-",IF(ISERROR($R4*1),LEFT($R4,2)*1,$R4*1))</f>
        <v>5</v>
      </c>
      <c r="N4" s="326">
        <f>IF(L4="","",V4*1)</f>
        <v>1</v>
      </c>
      <c r="O4" s="327"/>
      <c r="P4" t="s">
        <v>1010</v>
      </c>
      <c r="Q4">
        <v>1</v>
      </c>
      <c r="R4" s="431">
        <v>5</v>
      </c>
      <c r="S4">
        <v>0</v>
      </c>
      <c r="T4">
        <v>0</v>
      </c>
      <c r="U4">
        <v>0</v>
      </c>
      <c r="V4">
        <v>1</v>
      </c>
      <c r="W4" t="s">
        <v>825</v>
      </c>
    </row>
    <row r="5" spans="1:23" hidden="1">
      <c r="A5" s="311"/>
      <c r="B5" s="328" t="s">
        <v>395</v>
      </c>
      <c r="C5" s="329">
        <v>12</v>
      </c>
      <c r="D5" s="325">
        <f t="shared" ref="D5:I5" si="1">IF(SMALL($M:$M,D$3)=15,$K$4,SMALL($M:$M,D$3))</f>
        <v>5</v>
      </c>
      <c r="E5" s="325">
        <f t="shared" si="1"/>
        <v>35</v>
      </c>
      <c r="F5" s="325">
        <f t="shared" si="1"/>
        <v>50</v>
      </c>
      <c r="G5" s="325">
        <f t="shared" si="1"/>
        <v>5</v>
      </c>
      <c r="H5" s="325">
        <f t="shared" si="1"/>
        <v>35</v>
      </c>
      <c r="I5" s="325">
        <f t="shared" si="1"/>
        <v>50</v>
      </c>
      <c r="J5" s="311"/>
      <c r="K5" s="325"/>
      <c r="L5" s="323" t="str">
        <f t="shared" si="0"/>
        <v>SDJ20152</v>
      </c>
      <c r="M5" s="323" t="str">
        <f>IF(OR(L5="",COUNTIF($M$4:M4,IF(ISERROR($R5*1),LEFT($R5,2)*1,$R5*1))&gt;=1),"-",IF(ISERROR($R5*1),LEFT($R5,2)*1,$R5*1))</f>
        <v>-</v>
      </c>
      <c r="N5" s="323">
        <f>IF(OR(L5="",COUNTIF($N$4:N4,V5*1)&gt;=1),"-",V5*1)</f>
        <v>2</v>
      </c>
      <c r="O5" s="327"/>
      <c r="P5" t="s">
        <v>1010</v>
      </c>
      <c r="Q5">
        <v>1</v>
      </c>
      <c r="R5" s="431">
        <v>5</v>
      </c>
      <c r="S5">
        <v>0</v>
      </c>
      <c r="T5">
        <v>0</v>
      </c>
      <c r="U5">
        <v>0</v>
      </c>
      <c r="V5">
        <v>2</v>
      </c>
      <c r="W5" t="s">
        <v>1048</v>
      </c>
    </row>
    <row r="6" spans="1:23" hidden="1">
      <c r="A6" s="311"/>
      <c r="B6" s="330" t="s">
        <v>396</v>
      </c>
      <c r="C6" s="331" t="s">
        <v>397</v>
      </c>
      <c r="D6" s="332" t="str">
        <f t="shared" ref="D6:I6" si="2">IF(OR(ISERROR($D5)),"",IF(N(D$5)=0,D$5&amp;IF(D$4=1,"男性",IF(D$4=2,"女性","")),D$5&amp;"歲"&amp;IF(D$4=1,"男性",IF(D$4=2,"女性",""))))</f>
        <v>5歲男性</v>
      </c>
      <c r="E6" s="332" t="str">
        <f t="shared" si="2"/>
        <v>35歲男性</v>
      </c>
      <c r="F6" s="332" t="str">
        <f t="shared" si="2"/>
        <v>50歲男性</v>
      </c>
      <c r="G6" s="332" t="str">
        <f t="shared" si="2"/>
        <v>5歲女性</v>
      </c>
      <c r="H6" s="332" t="str">
        <f t="shared" si="2"/>
        <v>35歲女性</v>
      </c>
      <c r="I6" s="332" t="str">
        <f t="shared" si="2"/>
        <v>50歲女性</v>
      </c>
      <c r="J6" s="311"/>
      <c r="K6" s="325"/>
      <c r="L6" s="323" t="str">
        <f t="shared" si="0"/>
        <v>SDJ20153</v>
      </c>
      <c r="M6" s="323" t="str">
        <f>IF(OR(L6="",COUNTIF($M$4:M5,IF(ISERROR($R6*1),LEFT($R6,2)*1,$R6*1))&gt;=1),"-",IF(ISERROR($R6*1),LEFT($R6,2)*1,$R6*1))</f>
        <v>-</v>
      </c>
      <c r="N6" s="323">
        <f>IF(OR(L6="",COUNTIF($N$4:N5,V6*1)&gt;=1),"-",V6*1)</f>
        <v>3</v>
      </c>
      <c r="O6" s="327"/>
      <c r="P6" t="s">
        <v>1010</v>
      </c>
      <c r="Q6">
        <v>1</v>
      </c>
      <c r="R6" s="431">
        <v>5</v>
      </c>
      <c r="S6">
        <v>0</v>
      </c>
      <c r="T6">
        <v>0</v>
      </c>
      <c r="U6">
        <v>0</v>
      </c>
      <c r="V6">
        <v>3</v>
      </c>
      <c r="W6" t="s">
        <v>1049</v>
      </c>
    </row>
    <row r="7" spans="1:23" hidden="1">
      <c r="A7" s="311"/>
      <c r="B7" s="323">
        <v>1</v>
      </c>
      <c r="C7" s="332">
        <f t="shared" ref="C7:C14" si="3">IF(ISERROR(SMALL($N:$N,$B7)),"",SMALL($N:$N,$B7))</f>
        <v>1</v>
      </c>
      <c r="D7" s="333" t="str">
        <f t="shared" ref="D7:I14" si="4">IF(ISERROR(VLOOKUP($B$1&amp;D$4&amp;D$5&amp;$C7,$L:$W,$C$5,0)),"",VLOOKUP($B$1&amp;D$4&amp;D$5&amp;$C7,$L:$W,$C$5,0))</f>
        <v>0.00%</v>
      </c>
      <c r="E7" s="333" t="str">
        <f t="shared" si="4"/>
        <v>0.00%</v>
      </c>
      <c r="F7" s="333" t="str">
        <f t="shared" si="4"/>
        <v>0.00%</v>
      </c>
      <c r="G7" s="333" t="str">
        <f t="shared" si="4"/>
        <v>0.00%</v>
      </c>
      <c r="H7" s="333" t="str">
        <f t="shared" si="4"/>
        <v>0.00%</v>
      </c>
      <c r="I7" s="333" t="str">
        <f t="shared" si="4"/>
        <v>0.00%</v>
      </c>
      <c r="J7" s="311"/>
      <c r="K7" s="311"/>
      <c r="L7" s="323" t="str">
        <f t="shared" si="0"/>
        <v>SDJ20154</v>
      </c>
      <c r="M7" s="323" t="str">
        <f>IF(OR(L7="",COUNTIF($M$4:M6,IF(ISERROR($R7*1),LEFT($R7,2)*1,$R7*1))&gt;=1),"-",IF(ISERROR($R7*1),LEFT($R7,2)*1,$R7*1))</f>
        <v>-</v>
      </c>
      <c r="N7" s="323">
        <f>IF(OR(L7="",COUNTIF($N$4:N6,V7*1)&gt;=1),"-",V7*1)</f>
        <v>4</v>
      </c>
      <c r="O7" s="327"/>
      <c r="P7" t="s">
        <v>1010</v>
      </c>
      <c r="Q7">
        <v>1</v>
      </c>
      <c r="R7" s="431">
        <v>5</v>
      </c>
      <c r="S7">
        <v>0</v>
      </c>
      <c r="T7">
        <v>0</v>
      </c>
      <c r="U7">
        <v>0</v>
      </c>
      <c r="V7">
        <v>4</v>
      </c>
      <c r="W7" t="s">
        <v>1019</v>
      </c>
    </row>
    <row r="8" spans="1:23" hidden="1">
      <c r="A8" s="311"/>
      <c r="B8" s="323">
        <v>2</v>
      </c>
      <c r="C8" s="332">
        <f t="shared" si="3"/>
        <v>2</v>
      </c>
      <c r="D8" s="333" t="str">
        <f t="shared" si="4"/>
        <v>3.57%</v>
      </c>
      <c r="E8" s="333" t="str">
        <f t="shared" si="4"/>
        <v>3.39%</v>
      </c>
      <c r="F8" s="333" t="str">
        <f t="shared" si="4"/>
        <v>4.76%</v>
      </c>
      <c r="G8" s="333" t="str">
        <f t="shared" si="4"/>
        <v>3.26%</v>
      </c>
      <c r="H8" s="333" t="str">
        <f t="shared" si="4"/>
        <v>3.89%</v>
      </c>
      <c r="I8" s="333" t="str">
        <f t="shared" si="4"/>
        <v>6.37%</v>
      </c>
      <c r="J8" s="311"/>
      <c r="K8" s="311"/>
      <c r="L8" s="323" t="str">
        <f t="shared" si="0"/>
        <v>SDJ20155</v>
      </c>
      <c r="M8" s="323" t="str">
        <f>IF(OR(L8="",COUNTIF($M$4:M7,IF(ISERROR($R8*1),LEFT($R8,2)*1,$R8*1))&gt;=1),"-",IF(ISERROR($R8*1),LEFT($R8,2)*1,$R8*1))</f>
        <v>-</v>
      </c>
      <c r="N8" s="323">
        <f>IF(OR(L8="",COUNTIF($N$4:N7,V8*1)&gt;=1),"-",V8*1)</f>
        <v>5</v>
      </c>
      <c r="O8" s="327"/>
      <c r="P8" t="s">
        <v>1010</v>
      </c>
      <c r="Q8">
        <v>1</v>
      </c>
      <c r="R8" s="431">
        <v>5</v>
      </c>
      <c r="S8">
        <v>0</v>
      </c>
      <c r="T8">
        <v>0</v>
      </c>
      <c r="U8">
        <v>0</v>
      </c>
      <c r="V8">
        <v>5</v>
      </c>
      <c r="W8" t="s">
        <v>1020</v>
      </c>
    </row>
    <row r="9" spans="1:23" hidden="1">
      <c r="A9" s="311"/>
      <c r="B9" s="323">
        <v>3</v>
      </c>
      <c r="C9" s="332">
        <f t="shared" si="3"/>
        <v>3</v>
      </c>
      <c r="D9" s="333" t="str">
        <f t="shared" si="4"/>
        <v>4.72%</v>
      </c>
      <c r="E9" s="333" t="str">
        <f t="shared" si="4"/>
        <v>4.49%</v>
      </c>
      <c r="F9" s="333" t="str">
        <f t="shared" si="4"/>
        <v>6.37%</v>
      </c>
      <c r="G9" s="333" t="str">
        <f t="shared" si="4"/>
        <v>4.44%</v>
      </c>
      <c r="H9" s="333" t="str">
        <f t="shared" si="4"/>
        <v>5.22%</v>
      </c>
      <c r="I9" s="333" t="str">
        <f t="shared" si="4"/>
        <v>8.52%</v>
      </c>
      <c r="J9" s="311"/>
      <c r="K9" s="311"/>
      <c r="L9" s="323" t="str">
        <f t="shared" si="0"/>
        <v>SDJ201510</v>
      </c>
      <c r="M9" s="323" t="str">
        <f>IF(OR(L9="",COUNTIF($M$4:M8,IF(ISERROR($R9*1),LEFT($R9,2)*1,$R9*1))&gt;=1),"-",IF(ISERROR($R9*1),LEFT($R9,2)*1,$R9*1))</f>
        <v>-</v>
      </c>
      <c r="N9" s="323">
        <f>IF(OR(L9="",COUNTIF($N$4:N8,V9*1)&gt;=1),"-",V9*1)</f>
        <v>10</v>
      </c>
      <c r="O9" s="327"/>
      <c r="P9" t="s">
        <v>1010</v>
      </c>
      <c r="Q9">
        <v>1</v>
      </c>
      <c r="R9" s="431">
        <v>5</v>
      </c>
      <c r="S9">
        <v>0</v>
      </c>
      <c r="T9">
        <v>0</v>
      </c>
      <c r="U9">
        <v>0</v>
      </c>
      <c r="V9">
        <v>10</v>
      </c>
      <c r="W9" t="s">
        <v>1050</v>
      </c>
    </row>
    <row r="10" spans="1:23" hidden="1">
      <c r="A10" s="334"/>
      <c r="B10" s="323">
        <v>4</v>
      </c>
      <c r="C10" s="332">
        <f t="shared" si="3"/>
        <v>4</v>
      </c>
      <c r="D10" s="333" t="str">
        <f t="shared" si="4"/>
        <v>5.27%</v>
      </c>
      <c r="E10" s="333" t="str">
        <f t="shared" si="4"/>
        <v>5.06%</v>
      </c>
      <c r="F10" s="333" t="str">
        <f t="shared" si="4"/>
        <v>7.21%</v>
      </c>
      <c r="G10" s="333" t="str">
        <f t="shared" si="4"/>
        <v>4.99%</v>
      </c>
      <c r="H10" s="333" t="str">
        <f t="shared" si="4"/>
        <v>5.90%</v>
      </c>
      <c r="I10" s="333" t="str">
        <f t="shared" si="4"/>
        <v>9.68%</v>
      </c>
      <c r="J10" s="311"/>
      <c r="K10" s="311"/>
      <c r="L10" s="323" t="str">
        <f t="shared" si="0"/>
        <v>SDJ201515</v>
      </c>
      <c r="M10" s="323" t="str">
        <f>IF(OR(L10="",COUNTIF($M$4:M9,IF(ISERROR($R10*1),LEFT($R10,2)*1,$R10*1))&gt;=1),"-",IF(ISERROR($R10*1),LEFT($R10,2)*1,$R10*1))</f>
        <v>-</v>
      </c>
      <c r="N10" s="323">
        <f>IF(OR(L10="",COUNTIF($N$4:N9,V10*1)&gt;=1),"-",V10*1)</f>
        <v>15</v>
      </c>
      <c r="O10" s="327"/>
      <c r="P10" t="s">
        <v>1010</v>
      </c>
      <c r="Q10">
        <v>1</v>
      </c>
      <c r="R10" s="431">
        <v>5</v>
      </c>
      <c r="S10">
        <v>0</v>
      </c>
      <c r="T10">
        <v>0</v>
      </c>
      <c r="U10">
        <v>0</v>
      </c>
      <c r="V10">
        <v>15</v>
      </c>
      <c r="W10" t="s">
        <v>1051</v>
      </c>
    </row>
    <row r="11" spans="1:23" hidden="1">
      <c r="A11" s="334"/>
      <c r="B11" s="323">
        <v>5</v>
      </c>
      <c r="C11" s="332">
        <f t="shared" si="3"/>
        <v>5</v>
      </c>
      <c r="D11" s="333" t="str">
        <f t="shared" si="4"/>
        <v>6.01%</v>
      </c>
      <c r="E11" s="333" t="str">
        <f t="shared" si="4"/>
        <v>5.72%</v>
      </c>
      <c r="F11" s="333" t="str">
        <f t="shared" si="4"/>
        <v>8.28%</v>
      </c>
      <c r="G11" s="333" t="str">
        <f t="shared" si="4"/>
        <v>5.75%</v>
      </c>
      <c r="H11" s="333" t="str">
        <f t="shared" si="4"/>
        <v>6.76%</v>
      </c>
      <c r="I11" s="333" t="str">
        <f t="shared" si="4"/>
        <v>11.13%</v>
      </c>
      <c r="J11" s="311"/>
      <c r="K11" s="311"/>
      <c r="L11" s="323" t="str">
        <f t="shared" si="0"/>
        <v>SDJ201520</v>
      </c>
      <c r="M11" s="323" t="str">
        <f>IF(OR(L11="",COUNTIF($M$4:M10,IF(ISERROR($R11*1),LEFT($R11,2)*1,$R11*1))&gt;=1),"-",IF(ISERROR($R11*1),LEFT($R11,2)*1,$R11*1))</f>
        <v>-</v>
      </c>
      <c r="N11" s="323">
        <f>IF(OR(L11="",COUNTIF($N$4:N10,V11*1)&gt;=1),"-",V11*1)</f>
        <v>20</v>
      </c>
      <c r="O11" s="327"/>
      <c r="P11" t="s">
        <v>1010</v>
      </c>
      <c r="Q11">
        <v>1</v>
      </c>
      <c r="R11" s="431">
        <v>5</v>
      </c>
      <c r="S11">
        <v>0</v>
      </c>
      <c r="T11">
        <v>0</v>
      </c>
      <c r="U11">
        <v>0</v>
      </c>
      <c r="V11">
        <v>20</v>
      </c>
      <c r="W11" t="s">
        <v>1052</v>
      </c>
    </row>
    <row r="12" spans="1:23" hidden="1">
      <c r="A12" s="334"/>
      <c r="B12" s="323">
        <v>6</v>
      </c>
      <c r="C12" s="332">
        <f t="shared" si="3"/>
        <v>10</v>
      </c>
      <c r="D12" s="333" t="str">
        <f t="shared" si="4"/>
        <v>8.48%</v>
      </c>
      <c r="E12" s="333" t="str">
        <f t="shared" si="4"/>
        <v>8.10%</v>
      </c>
      <c r="F12" s="333" t="str">
        <f t="shared" si="4"/>
        <v>12.67%</v>
      </c>
      <c r="G12" s="333" t="str">
        <f t="shared" si="4"/>
        <v>8.11%</v>
      </c>
      <c r="H12" s="333" t="str">
        <f t="shared" si="4"/>
        <v>9.85%</v>
      </c>
      <c r="I12" s="333" t="str">
        <f t="shared" si="4"/>
        <v>16.71%</v>
      </c>
      <c r="J12" s="311"/>
      <c r="K12" s="311"/>
      <c r="L12" s="323" t="str">
        <f t="shared" si="0"/>
        <v>SDJ201351</v>
      </c>
      <c r="M12" s="323">
        <f>IF(OR(L12="",COUNTIF($M$4:M11,IF(ISERROR($R12*1),LEFT($R12,2)*1,$R12*1))&gt;=1),"-",IF(ISERROR($R12*1),LEFT($R12,2)*1,$R12*1))</f>
        <v>35</v>
      </c>
      <c r="N12" s="323" t="str">
        <f>IF(OR(L12="",COUNTIF($N$4:N11,V12*1)&gt;=1),"-",V12*1)</f>
        <v>-</v>
      </c>
      <c r="O12" s="327"/>
      <c r="P12" t="s">
        <v>1010</v>
      </c>
      <c r="Q12">
        <v>1</v>
      </c>
      <c r="R12" s="431">
        <v>35</v>
      </c>
      <c r="S12">
        <v>0</v>
      </c>
      <c r="T12">
        <v>0</v>
      </c>
      <c r="U12">
        <v>0</v>
      </c>
      <c r="V12">
        <v>1</v>
      </c>
      <c r="W12" t="s">
        <v>825</v>
      </c>
    </row>
    <row r="13" spans="1:23" hidden="1">
      <c r="A13" s="334"/>
      <c r="B13" s="323">
        <v>7</v>
      </c>
      <c r="C13" s="332">
        <f t="shared" si="3"/>
        <v>15</v>
      </c>
      <c r="D13" s="333" t="str">
        <f t="shared" si="4"/>
        <v>8.76%</v>
      </c>
      <c r="E13" s="333" t="str">
        <f t="shared" si="4"/>
        <v>8.70%</v>
      </c>
      <c r="F13" s="333" t="str">
        <f t="shared" si="4"/>
        <v>14.94%</v>
      </c>
      <c r="G13" s="333" t="str">
        <f t="shared" si="4"/>
        <v>8.50%</v>
      </c>
      <c r="H13" s="333" t="str">
        <f t="shared" si="4"/>
        <v>10.89%</v>
      </c>
      <c r="I13" s="333" t="str">
        <f t="shared" si="4"/>
        <v>19.26%</v>
      </c>
      <c r="J13" s="311"/>
      <c r="K13" s="311"/>
      <c r="L13" s="323" t="str">
        <f t="shared" si="0"/>
        <v>SDJ201352</v>
      </c>
      <c r="M13" s="323" t="str">
        <f>IF(OR(L13="",COUNTIF($M$4:M12,IF(ISERROR($R13*1),LEFT($R13,2)*1,$R13*1))&gt;=1),"-",IF(ISERROR($R13*1),LEFT($R13,2)*1,$R13*1))</f>
        <v>-</v>
      </c>
      <c r="N13" s="323" t="str">
        <f>IF(OR(L13="",COUNTIF($N$4:N12,V13*1)&gt;=1),"-",V13*1)</f>
        <v>-</v>
      </c>
      <c r="O13" s="327"/>
      <c r="P13" t="s">
        <v>1010</v>
      </c>
      <c r="Q13">
        <v>1</v>
      </c>
      <c r="R13" s="431">
        <v>35</v>
      </c>
      <c r="S13">
        <v>0</v>
      </c>
      <c r="T13">
        <v>0</v>
      </c>
      <c r="U13">
        <v>0</v>
      </c>
      <c r="V13">
        <v>2</v>
      </c>
      <c r="W13" t="s">
        <v>1053</v>
      </c>
    </row>
    <row r="14" spans="1:23" hidden="1">
      <c r="A14" s="335"/>
      <c r="B14" s="323">
        <v>8</v>
      </c>
      <c r="C14" s="332">
        <f t="shared" si="3"/>
        <v>20</v>
      </c>
      <c r="D14" s="333" t="str">
        <f t="shared" si="4"/>
        <v>8.95%</v>
      </c>
      <c r="E14" s="333" t="str">
        <f t="shared" si="4"/>
        <v>9.50%</v>
      </c>
      <c r="F14" s="333" t="str">
        <f t="shared" si="4"/>
        <v>17.83%</v>
      </c>
      <c r="G14" s="333" t="str">
        <f t="shared" si="4"/>
        <v>8.75%</v>
      </c>
      <c r="H14" s="333" t="str">
        <f t="shared" si="4"/>
        <v>12.00%</v>
      </c>
      <c r="I14" s="333" t="str">
        <f t="shared" si="4"/>
        <v>22.47%</v>
      </c>
      <c r="J14" s="311"/>
      <c r="K14" s="311"/>
      <c r="L14" s="323" t="str">
        <f t="shared" si="0"/>
        <v>SDJ201353</v>
      </c>
      <c r="M14" s="323" t="str">
        <f>IF(OR(L14="",COUNTIF($M$4:M13,IF(ISERROR($R14*1),LEFT($R14,2)*1,$R14*1))&gt;=1),"-",IF(ISERROR($R14*1),LEFT($R14,2)*1,$R14*1))</f>
        <v>-</v>
      </c>
      <c r="N14" s="323" t="str">
        <f>IF(OR(L14="",COUNTIF($N$4:N13,V14*1)&gt;=1),"-",V14*1)</f>
        <v>-</v>
      </c>
      <c r="O14" s="327"/>
      <c r="P14" t="s">
        <v>1010</v>
      </c>
      <c r="Q14">
        <v>1</v>
      </c>
      <c r="R14" s="431">
        <v>35</v>
      </c>
      <c r="S14">
        <v>0</v>
      </c>
      <c r="T14">
        <v>0</v>
      </c>
      <c r="U14">
        <v>0</v>
      </c>
      <c r="V14">
        <v>3</v>
      </c>
      <c r="W14" t="s">
        <v>1022</v>
      </c>
    </row>
    <row r="15" spans="1:23" hidden="1">
      <c r="A15" s="336"/>
      <c r="B15" s="311"/>
      <c r="C15" s="313" t="s">
        <v>398</v>
      </c>
      <c r="D15" s="311"/>
      <c r="E15" s="311"/>
      <c r="F15" s="311"/>
      <c r="G15" s="334"/>
      <c r="H15" s="337"/>
      <c r="I15" s="337"/>
      <c r="J15" s="337"/>
      <c r="K15" s="337"/>
      <c r="L15" s="323" t="str">
        <f t="shared" si="0"/>
        <v>SDJ201354</v>
      </c>
      <c r="M15" s="323" t="str">
        <f>IF(OR(L15="",COUNTIF($M$4:M14,IF(ISERROR($R15*1),LEFT($R15,2)*1,$R15*1))&gt;=1),"-",IF(ISERROR($R15*1),LEFT($R15,2)*1,$R15*1))</f>
        <v>-</v>
      </c>
      <c r="N15" s="323" t="str">
        <f>IF(OR(L15="",COUNTIF($N$4:N14,V15*1)&gt;=1),"-",V15*1)</f>
        <v>-</v>
      </c>
      <c r="O15" s="327"/>
      <c r="P15" t="s">
        <v>1010</v>
      </c>
      <c r="Q15">
        <v>1</v>
      </c>
      <c r="R15" s="431">
        <v>35</v>
      </c>
      <c r="S15">
        <v>0</v>
      </c>
      <c r="T15">
        <v>0</v>
      </c>
      <c r="U15">
        <v>0</v>
      </c>
      <c r="V15">
        <v>4</v>
      </c>
      <c r="W15" t="s">
        <v>1023</v>
      </c>
    </row>
    <row r="16" spans="1:23" hidden="1">
      <c r="A16" s="336"/>
      <c r="B16" s="311"/>
      <c r="C16" s="311"/>
      <c r="D16" s="311"/>
      <c r="E16" s="311"/>
      <c r="F16" s="311"/>
      <c r="G16" s="334"/>
      <c r="H16" s="337"/>
      <c r="I16" s="337"/>
      <c r="J16" s="337"/>
      <c r="K16" s="337"/>
      <c r="L16" s="323" t="str">
        <f t="shared" si="0"/>
        <v>SDJ201355</v>
      </c>
      <c r="M16" s="323" t="str">
        <f>IF(OR(L16="",COUNTIF($M$4:M15,IF(ISERROR($R16*1),LEFT($R16,2)*1,$R16*1))&gt;=1),"-",IF(ISERROR($R16*1),LEFT($R16,2)*1,$R16*1))</f>
        <v>-</v>
      </c>
      <c r="N16" s="323" t="str">
        <f>IF(OR(L16="",COUNTIF($N$4:N15,V16*1)&gt;=1),"-",V16*1)</f>
        <v>-</v>
      </c>
      <c r="O16" s="327"/>
      <c r="P16" t="s">
        <v>1010</v>
      </c>
      <c r="Q16">
        <v>1</v>
      </c>
      <c r="R16" s="431">
        <v>35</v>
      </c>
      <c r="S16">
        <v>0</v>
      </c>
      <c r="T16">
        <v>0</v>
      </c>
      <c r="U16">
        <v>0</v>
      </c>
      <c r="V16">
        <v>5</v>
      </c>
      <c r="W16" t="s">
        <v>1024</v>
      </c>
    </row>
    <row r="17" spans="1:23" hidden="1">
      <c r="A17" s="336"/>
      <c r="B17" s="311"/>
      <c r="L17" s="323" t="str">
        <f t="shared" si="0"/>
        <v>SDJ2013510</v>
      </c>
      <c r="M17" s="323" t="str">
        <f>IF(OR(L17="",COUNTIF($M$4:M16,IF(ISERROR($R17*1),LEFT($R17,2)*1,$R17*1))&gt;=1),"-",IF(ISERROR($R17*1),LEFT($R17,2)*1,$R17*1))</f>
        <v>-</v>
      </c>
      <c r="N17" s="323" t="str">
        <f>IF(OR(L17="",COUNTIF($N$4:N16,V17*1)&gt;=1),"-",V17*1)</f>
        <v>-</v>
      </c>
      <c r="O17" s="327"/>
      <c r="P17" t="s">
        <v>1010</v>
      </c>
      <c r="Q17">
        <v>1</v>
      </c>
      <c r="R17" s="431">
        <v>35</v>
      </c>
      <c r="S17">
        <v>0</v>
      </c>
      <c r="T17">
        <v>0</v>
      </c>
      <c r="U17">
        <v>0</v>
      </c>
      <c r="V17">
        <v>10</v>
      </c>
      <c r="W17" t="s">
        <v>1054</v>
      </c>
    </row>
    <row r="18" spans="1:23" hidden="1">
      <c r="A18" s="336"/>
      <c r="B18" s="311"/>
      <c r="L18" s="323" t="str">
        <f t="shared" si="0"/>
        <v>SDJ2013515</v>
      </c>
      <c r="M18" s="323" t="str">
        <f>IF(OR(L18="",COUNTIF($M$4:M17,IF(ISERROR($R18*1),LEFT($R18,2)*1,$R18*1))&gt;=1),"-",IF(ISERROR($R18*1),LEFT($R18,2)*1,$R18*1))</f>
        <v>-</v>
      </c>
      <c r="N18" s="323" t="str">
        <f>IF(OR(L18="",COUNTIF($N$4:N17,V18*1)&gt;=1),"-",V18*1)</f>
        <v>-</v>
      </c>
      <c r="O18" s="327"/>
      <c r="P18" t="s">
        <v>1010</v>
      </c>
      <c r="Q18">
        <v>1</v>
      </c>
      <c r="R18" s="431">
        <v>35</v>
      </c>
      <c r="S18">
        <v>0</v>
      </c>
      <c r="T18">
        <v>0</v>
      </c>
      <c r="U18">
        <v>0</v>
      </c>
      <c r="V18">
        <v>15</v>
      </c>
      <c r="W18" t="s">
        <v>1055</v>
      </c>
    </row>
    <row r="19" spans="1:23" hidden="1">
      <c r="A19" s="336"/>
      <c r="B19" s="311"/>
      <c r="L19" s="323" t="str">
        <f t="shared" si="0"/>
        <v>SDJ2013520</v>
      </c>
      <c r="M19" s="323" t="str">
        <f>IF(OR(L19="",COUNTIF($M$4:M18,IF(ISERROR($R19*1),LEFT($R19,2)*1,$R19*1))&gt;=1),"-",IF(ISERROR($R19*1),LEFT($R19,2)*1,$R19*1))</f>
        <v>-</v>
      </c>
      <c r="N19" s="323" t="str">
        <f>IF(OR(L19="",COUNTIF($N$4:N18,V19*1)&gt;=1),"-",V19*1)</f>
        <v>-</v>
      </c>
      <c r="O19" s="327"/>
      <c r="P19" t="s">
        <v>1010</v>
      </c>
      <c r="Q19">
        <v>1</v>
      </c>
      <c r="R19" s="431">
        <v>35</v>
      </c>
      <c r="S19">
        <v>0</v>
      </c>
      <c r="T19">
        <v>0</v>
      </c>
      <c r="U19">
        <v>0</v>
      </c>
      <c r="V19">
        <v>20</v>
      </c>
      <c r="W19" t="s">
        <v>1056</v>
      </c>
    </row>
    <row r="20" spans="1:23" hidden="1">
      <c r="A20" s="336"/>
      <c r="B20" s="311"/>
      <c r="L20" s="323" t="str">
        <f t="shared" si="0"/>
        <v>SDJ201501</v>
      </c>
      <c r="M20" s="323">
        <f>IF(OR(L20="",COUNTIF($M$4:M19,IF(ISERROR($R20*1),LEFT($R20,2)*1,$R20*1))&gt;=1),"-",IF(ISERROR($R20*1),LEFT($R20,2)*1,$R20*1))</f>
        <v>50</v>
      </c>
      <c r="N20" s="323" t="str">
        <f>IF(OR(L20="",COUNTIF($N$4:N19,V20*1)&gt;=1),"-",V20*1)</f>
        <v>-</v>
      </c>
      <c r="O20" s="327"/>
      <c r="P20" t="s">
        <v>1010</v>
      </c>
      <c r="Q20">
        <v>1</v>
      </c>
      <c r="R20" s="431">
        <v>50</v>
      </c>
      <c r="S20">
        <v>0</v>
      </c>
      <c r="T20">
        <v>0</v>
      </c>
      <c r="U20">
        <v>0</v>
      </c>
      <c r="V20">
        <v>1</v>
      </c>
      <c r="W20" t="s">
        <v>825</v>
      </c>
    </row>
    <row r="21" spans="1:23" hidden="1">
      <c r="A21" s="311"/>
      <c r="B21" s="311"/>
      <c r="L21" s="323" t="str">
        <f t="shared" si="0"/>
        <v>SDJ201502</v>
      </c>
      <c r="M21" s="323" t="str">
        <f>IF(OR(L21="",COUNTIF($M$4:M20,IF(ISERROR($R21*1),LEFT($R21,2)*1,$R21*1))&gt;=1),"-",IF(ISERROR($R21*1),LEFT($R21,2)*1,$R21*1))</f>
        <v>-</v>
      </c>
      <c r="N21" s="323" t="str">
        <f>IF(OR(L21="",COUNTIF($N$4:N20,V21*1)&gt;=1),"-",V21*1)</f>
        <v>-</v>
      </c>
      <c r="O21" s="327"/>
      <c r="P21" t="s">
        <v>1010</v>
      </c>
      <c r="Q21">
        <v>1</v>
      </c>
      <c r="R21" s="431">
        <v>50</v>
      </c>
      <c r="S21">
        <v>0</v>
      </c>
      <c r="T21">
        <v>0</v>
      </c>
      <c r="U21">
        <v>0</v>
      </c>
      <c r="V21">
        <v>2</v>
      </c>
      <c r="W21" t="s">
        <v>1026</v>
      </c>
    </row>
    <row r="22" spans="1:23" hidden="1">
      <c r="A22" s="311"/>
      <c r="B22" s="311"/>
      <c r="L22" s="323" t="str">
        <f t="shared" si="0"/>
        <v>SDJ201503</v>
      </c>
      <c r="M22" s="323" t="str">
        <f>IF(OR(L22="",COUNTIF($M$4:M21,IF(ISERROR($R22*1),LEFT($R22,2)*1,$R22*1))&gt;=1),"-",IF(ISERROR($R22*1),LEFT($R22,2)*1,$R22*1))</f>
        <v>-</v>
      </c>
      <c r="N22" s="323" t="str">
        <f>IF(OR(L22="",COUNTIF($N$4:N21,V22*1)&gt;=1),"-",V22*1)</f>
        <v>-</v>
      </c>
      <c r="O22" s="327"/>
      <c r="P22" t="s">
        <v>1010</v>
      </c>
      <c r="Q22">
        <v>1</v>
      </c>
      <c r="R22" s="431">
        <v>50</v>
      </c>
      <c r="S22">
        <v>0</v>
      </c>
      <c r="T22">
        <v>0</v>
      </c>
      <c r="U22">
        <v>0</v>
      </c>
      <c r="V22">
        <v>3</v>
      </c>
      <c r="W22" t="s">
        <v>1027</v>
      </c>
    </row>
    <row r="23" spans="1:23" hidden="1">
      <c r="A23" s="311"/>
      <c r="B23" s="311"/>
      <c r="L23" s="323" t="str">
        <f t="shared" si="0"/>
        <v>SDJ201504</v>
      </c>
      <c r="M23" s="323" t="str">
        <f>IF(OR(L23="",COUNTIF($M$4:M22,IF(ISERROR($R23*1),LEFT($R23,2)*1,$R23*1))&gt;=1),"-",IF(ISERROR($R23*1),LEFT($R23,2)*1,$R23*1))</f>
        <v>-</v>
      </c>
      <c r="N23" s="323" t="str">
        <f>IF(OR(L23="",COUNTIF($N$4:N22,V23*1)&gt;=1),"-",V23*1)</f>
        <v>-</v>
      </c>
      <c r="O23" s="327"/>
      <c r="P23" t="s">
        <v>1010</v>
      </c>
      <c r="Q23">
        <v>1</v>
      </c>
      <c r="R23" s="431">
        <v>50</v>
      </c>
      <c r="S23">
        <v>0</v>
      </c>
      <c r="T23">
        <v>0</v>
      </c>
      <c r="U23">
        <v>0</v>
      </c>
      <c r="V23">
        <v>4</v>
      </c>
      <c r="W23" t="s">
        <v>1028</v>
      </c>
    </row>
    <row r="24" spans="1:23" hidden="1">
      <c r="A24" s="311"/>
      <c r="B24" s="311"/>
      <c r="L24" s="323" t="str">
        <f t="shared" si="0"/>
        <v>SDJ201505</v>
      </c>
      <c r="M24" s="323" t="str">
        <f>IF(OR(L24="",COUNTIF($M$4:M23,IF(ISERROR($R24*1),LEFT($R24,2)*1,$R24*1))&gt;=1),"-",IF(ISERROR($R24*1),LEFT($R24,2)*1,$R24*1))</f>
        <v>-</v>
      </c>
      <c r="N24" s="323" t="str">
        <f>IF(OR(L24="",COUNTIF($N$4:N23,V24*1)&gt;=1),"-",V24*1)</f>
        <v>-</v>
      </c>
      <c r="O24" s="327"/>
      <c r="P24" t="s">
        <v>1010</v>
      </c>
      <c r="Q24">
        <v>1</v>
      </c>
      <c r="R24" s="431">
        <v>50</v>
      </c>
      <c r="S24">
        <v>0</v>
      </c>
      <c r="T24">
        <v>0</v>
      </c>
      <c r="U24">
        <v>0</v>
      </c>
      <c r="V24">
        <v>5</v>
      </c>
      <c r="W24" t="s">
        <v>1057</v>
      </c>
    </row>
    <row r="25" spans="1:23" hidden="1">
      <c r="A25" s="311"/>
      <c r="B25" s="311"/>
      <c r="L25" s="323" t="str">
        <f t="shared" si="0"/>
        <v>SDJ2015010</v>
      </c>
      <c r="M25" s="323" t="str">
        <f>IF(OR(L25="",COUNTIF($M$4:M24,IF(ISERROR($R25*1),LEFT($R25,2)*1,$R25*1))&gt;=1),"-",IF(ISERROR($R25*1),LEFT($R25,2)*1,$R25*1))</f>
        <v>-</v>
      </c>
      <c r="N25" s="323" t="str">
        <f>IF(OR(L25="",COUNTIF($N$4:N24,V25*1)&gt;=1),"-",V25*1)</f>
        <v>-</v>
      </c>
      <c r="O25" s="327"/>
      <c r="P25" t="s">
        <v>1010</v>
      </c>
      <c r="Q25">
        <v>1</v>
      </c>
      <c r="R25" s="431">
        <v>50</v>
      </c>
      <c r="S25">
        <v>0</v>
      </c>
      <c r="T25">
        <v>0</v>
      </c>
      <c r="U25">
        <v>0</v>
      </c>
      <c r="V25">
        <v>10</v>
      </c>
      <c r="W25" t="s">
        <v>1058</v>
      </c>
    </row>
    <row r="26" spans="1:23" hidden="1">
      <c r="A26" s="311"/>
      <c r="B26" s="311"/>
      <c r="L26" s="323" t="str">
        <f t="shared" si="0"/>
        <v>SDJ2015015</v>
      </c>
      <c r="M26" s="323" t="str">
        <f>IF(OR(L26="",COUNTIF($M$4:M25,IF(ISERROR($R26*1),LEFT($R26,2)*1,$R26*1))&gt;=1),"-",IF(ISERROR($R26*1),LEFT($R26,2)*1,$R26*1))</f>
        <v>-</v>
      </c>
      <c r="N26" s="323" t="str">
        <f>IF(OR(L26="",COUNTIF($N$4:N25,V26*1)&gt;=1),"-",V26*1)</f>
        <v>-</v>
      </c>
      <c r="O26" s="327"/>
      <c r="P26" t="s">
        <v>1010</v>
      </c>
      <c r="Q26">
        <v>1</v>
      </c>
      <c r="R26" s="431">
        <v>50</v>
      </c>
      <c r="S26">
        <v>0</v>
      </c>
      <c r="T26">
        <v>0</v>
      </c>
      <c r="U26">
        <v>0</v>
      </c>
      <c r="V26">
        <v>15</v>
      </c>
      <c r="W26" t="s">
        <v>1059</v>
      </c>
    </row>
    <row r="27" spans="1:23" hidden="1">
      <c r="A27" s="311"/>
      <c r="B27" s="311"/>
      <c r="L27" s="323" t="str">
        <f t="shared" si="0"/>
        <v>SDJ2015020</v>
      </c>
      <c r="M27" s="323" t="str">
        <f>IF(OR(L27="",COUNTIF($M$4:M26,IF(ISERROR($R27*1),LEFT($R27,2)*1,$R27*1))&gt;=1),"-",IF(ISERROR($R27*1),LEFT($R27,2)*1,$R27*1))</f>
        <v>-</v>
      </c>
      <c r="N27" s="323" t="str">
        <f>IF(OR(L27="",COUNTIF($N$4:N26,V27*1)&gt;=1),"-",V27*1)</f>
        <v>-</v>
      </c>
      <c r="O27" s="327"/>
      <c r="P27" t="s">
        <v>1010</v>
      </c>
      <c r="Q27">
        <v>1</v>
      </c>
      <c r="R27" s="431">
        <v>50</v>
      </c>
      <c r="S27">
        <v>0</v>
      </c>
      <c r="T27">
        <v>0</v>
      </c>
      <c r="U27">
        <v>0</v>
      </c>
      <c r="V27">
        <v>20</v>
      </c>
      <c r="W27" t="s">
        <v>1060</v>
      </c>
    </row>
    <row r="28" spans="1:23" hidden="1">
      <c r="A28" s="311"/>
      <c r="B28" s="311"/>
      <c r="L28" s="323" t="str">
        <f t="shared" si="0"/>
        <v>SDJ20251</v>
      </c>
      <c r="M28" s="323" t="str">
        <f>IF(OR(L28="",COUNTIF($M$4:M27,IF(ISERROR($R28*1),LEFT($R28,2)*1,$R28*1))&gt;=1),"-",IF(ISERROR($R28*1),LEFT($R28,2)*1,$R28*1))</f>
        <v>-</v>
      </c>
      <c r="N28" s="323" t="str">
        <f>IF(OR(L28="",COUNTIF($N$4:N27,V28*1)&gt;=1),"-",V28*1)</f>
        <v>-</v>
      </c>
      <c r="O28" s="327"/>
      <c r="P28" t="s">
        <v>1010</v>
      </c>
      <c r="Q28">
        <v>2</v>
      </c>
      <c r="R28">
        <v>5</v>
      </c>
      <c r="S28">
        <v>0</v>
      </c>
      <c r="T28">
        <v>0</v>
      </c>
      <c r="U28">
        <v>0</v>
      </c>
      <c r="V28">
        <v>1</v>
      </c>
      <c r="W28" t="s">
        <v>825</v>
      </c>
    </row>
    <row r="29" spans="1:23" hidden="1">
      <c r="A29" s="311"/>
      <c r="B29" s="311"/>
      <c r="L29" s="323" t="str">
        <f t="shared" si="0"/>
        <v>SDJ20252</v>
      </c>
      <c r="M29" s="323" t="str">
        <f>IF(OR(L29="",COUNTIF($M$4:M28,IF(ISERROR($R29*1),LEFT($R29,2)*1,$R29*1))&gt;=1),"-",IF(ISERROR($R29*1),LEFT($R29,2)*1,$R29*1))</f>
        <v>-</v>
      </c>
      <c r="N29" s="323" t="str">
        <f>IF(OR(L29="",COUNTIF($N$4:N28,V29*1)&gt;=1),"-",V29*1)</f>
        <v>-</v>
      </c>
      <c r="O29" s="327"/>
      <c r="P29" t="s">
        <v>1010</v>
      </c>
      <c r="Q29">
        <v>2</v>
      </c>
      <c r="R29">
        <v>5</v>
      </c>
      <c r="S29">
        <v>0</v>
      </c>
      <c r="T29">
        <v>0</v>
      </c>
      <c r="U29">
        <v>0</v>
      </c>
      <c r="V29">
        <v>2</v>
      </c>
      <c r="W29" t="s">
        <v>1029</v>
      </c>
    </row>
    <row r="30" spans="1:23" hidden="1">
      <c r="A30" s="311"/>
      <c r="B30" s="311"/>
      <c r="L30" s="323" t="str">
        <f t="shared" si="0"/>
        <v>SDJ20253</v>
      </c>
      <c r="M30" s="323" t="str">
        <f>IF(OR(L30="",COUNTIF($M$4:M29,IF(ISERROR($R30*1),LEFT($R30,2)*1,$R30*1))&gt;=1),"-",IF(ISERROR($R30*1),LEFT($R30,2)*1,$R30*1))</f>
        <v>-</v>
      </c>
      <c r="N30" s="323" t="str">
        <f>IF(OR(L30="",COUNTIF($N$4:N29,V30*1)&gt;=1),"-",V30*1)</f>
        <v>-</v>
      </c>
      <c r="O30" s="327"/>
      <c r="P30" t="s">
        <v>1010</v>
      </c>
      <c r="Q30">
        <v>2</v>
      </c>
      <c r="R30">
        <v>5</v>
      </c>
      <c r="S30">
        <v>0</v>
      </c>
      <c r="T30">
        <v>0</v>
      </c>
      <c r="U30">
        <v>0</v>
      </c>
      <c r="V30">
        <v>3</v>
      </c>
      <c r="W30" t="s">
        <v>1030</v>
      </c>
    </row>
    <row r="31" spans="1:23" hidden="1">
      <c r="A31" s="311"/>
      <c r="B31" s="311"/>
      <c r="L31" s="323" t="str">
        <f t="shared" si="0"/>
        <v>SDJ20254</v>
      </c>
      <c r="M31" s="323" t="str">
        <f>IF(OR(L31="",COUNTIF($M$4:M30,IF(ISERROR($R31*1),LEFT($R31,2)*1,$R31*1))&gt;=1),"-",IF(ISERROR($R31*1),LEFT($R31,2)*1,$R31*1))</f>
        <v>-</v>
      </c>
      <c r="N31" s="323" t="str">
        <f>IF(OR(L31="",COUNTIF($N$4:N30,V31*1)&gt;=1),"-",V31*1)</f>
        <v>-</v>
      </c>
      <c r="O31" s="327"/>
      <c r="P31" t="s">
        <v>1010</v>
      </c>
      <c r="Q31">
        <v>2</v>
      </c>
      <c r="R31">
        <v>5</v>
      </c>
      <c r="S31">
        <v>0</v>
      </c>
      <c r="T31">
        <v>0</v>
      </c>
      <c r="U31">
        <v>0</v>
      </c>
      <c r="V31">
        <v>4</v>
      </c>
      <c r="W31" t="s">
        <v>1061</v>
      </c>
    </row>
    <row r="32" spans="1:23" hidden="1">
      <c r="A32" s="311"/>
      <c r="B32" s="311"/>
      <c r="L32" s="323" t="str">
        <f t="shared" si="0"/>
        <v>SDJ20255</v>
      </c>
      <c r="M32" s="323" t="str">
        <f>IF(OR(L32="",COUNTIF($M$4:M31,IF(ISERROR($R32*1),LEFT($R32,2)*1,$R32*1))&gt;=1),"-",IF(ISERROR($R32*1),LEFT($R32,2)*1,$R32*1))</f>
        <v>-</v>
      </c>
      <c r="N32" s="323" t="str">
        <f>IF(OR(L32="",COUNTIF($N$4:N31,V32*1)&gt;=1),"-",V32*1)</f>
        <v>-</v>
      </c>
      <c r="O32" s="327"/>
      <c r="P32" t="s">
        <v>1010</v>
      </c>
      <c r="Q32">
        <v>2</v>
      </c>
      <c r="R32">
        <v>5</v>
      </c>
      <c r="S32">
        <v>0</v>
      </c>
      <c r="T32">
        <v>0</v>
      </c>
      <c r="U32">
        <v>0</v>
      </c>
      <c r="V32">
        <v>5</v>
      </c>
      <c r="W32" t="s">
        <v>1062</v>
      </c>
    </row>
    <row r="33" spans="1:23" hidden="1">
      <c r="A33" s="311"/>
      <c r="B33" s="311"/>
      <c r="L33" s="323" t="str">
        <f t="shared" si="0"/>
        <v>SDJ202510</v>
      </c>
      <c r="M33" s="323" t="str">
        <f>IF(OR(L33="",COUNTIF($M$4:M32,IF(ISERROR($R33*1),LEFT($R33,2)*1,$R33*1))&gt;=1),"-",IF(ISERROR($R33*1),LEFT($R33,2)*1,$R33*1))</f>
        <v>-</v>
      </c>
      <c r="N33" s="323" t="str">
        <f>IF(OR(L33="",COUNTIF($N$4:N32,V33*1)&gt;=1),"-",V33*1)</f>
        <v>-</v>
      </c>
      <c r="O33" s="327"/>
      <c r="P33" t="s">
        <v>1010</v>
      </c>
      <c r="Q33">
        <v>2</v>
      </c>
      <c r="R33">
        <v>5</v>
      </c>
      <c r="S33">
        <v>0</v>
      </c>
      <c r="T33">
        <v>0</v>
      </c>
      <c r="U33">
        <v>0</v>
      </c>
      <c r="V33">
        <v>10</v>
      </c>
      <c r="W33" t="s">
        <v>1025</v>
      </c>
    </row>
    <row r="34" spans="1:23" hidden="1">
      <c r="A34" s="311"/>
      <c r="B34" s="311"/>
      <c r="L34" s="323" t="str">
        <f t="shared" si="0"/>
        <v>SDJ202515</v>
      </c>
      <c r="M34" s="323" t="str">
        <f>IF(OR(L34="",COUNTIF($M$4:M33,IF(ISERROR($R34*1),LEFT($R34,2)*1,$R34*1))&gt;=1),"-",IF(ISERROR($R34*1),LEFT($R34,2)*1,$R34*1))</f>
        <v>-</v>
      </c>
      <c r="N34" s="323" t="str">
        <f>IF(OR(L34="",COUNTIF($N$4:N33,V34*1)&gt;=1),"-",V34*1)</f>
        <v>-</v>
      </c>
      <c r="O34" s="327"/>
      <c r="P34" t="s">
        <v>1010</v>
      </c>
      <c r="Q34">
        <v>2</v>
      </c>
      <c r="R34">
        <v>5</v>
      </c>
      <c r="S34">
        <v>0</v>
      </c>
      <c r="T34">
        <v>0</v>
      </c>
      <c r="U34">
        <v>0</v>
      </c>
      <c r="V34">
        <v>15</v>
      </c>
      <c r="W34" t="s">
        <v>1021</v>
      </c>
    </row>
    <row r="35" spans="1:23" hidden="1">
      <c r="A35" s="311"/>
      <c r="B35" s="311"/>
      <c r="L35" s="323" t="str">
        <f t="shared" si="0"/>
        <v>SDJ202520</v>
      </c>
      <c r="M35" s="323" t="str">
        <f>IF(OR(L35="",COUNTIF($M$4:M34,IF(ISERROR($R35*1),LEFT($R35,2)*1,$R35*1))&gt;=1),"-",IF(ISERROR($R35*1),LEFT($R35,2)*1,$R35*1))</f>
        <v>-</v>
      </c>
      <c r="N35" s="323" t="str">
        <f>IF(OR(L35="",COUNTIF($N$4:N34,V35*1)&gt;=1),"-",V35*1)</f>
        <v>-</v>
      </c>
      <c r="O35" s="327"/>
      <c r="P35" t="s">
        <v>1010</v>
      </c>
      <c r="Q35">
        <v>2</v>
      </c>
      <c r="R35">
        <v>5</v>
      </c>
      <c r="S35">
        <v>0</v>
      </c>
      <c r="T35">
        <v>0</v>
      </c>
      <c r="U35">
        <v>0</v>
      </c>
      <c r="V35">
        <v>20</v>
      </c>
      <c r="W35" t="s">
        <v>1063</v>
      </c>
    </row>
    <row r="36" spans="1:23" hidden="1">
      <c r="A36" s="311"/>
      <c r="B36" s="311"/>
      <c r="L36" s="323" t="str">
        <f t="shared" si="0"/>
        <v>SDJ202351</v>
      </c>
      <c r="M36" s="323" t="str">
        <f>IF(OR(L36="",COUNTIF($M$4:M35,IF(ISERROR($R36*1),LEFT($R36,2)*1,$R36*1))&gt;=1),"-",IF(ISERROR($R36*1),LEFT($R36,2)*1,$R36*1))</f>
        <v>-</v>
      </c>
      <c r="N36" s="323" t="str">
        <f>IF(OR(L36="",COUNTIF($N$4:N35,V36*1)&gt;=1),"-",V36*1)</f>
        <v>-</v>
      </c>
      <c r="O36" s="327"/>
      <c r="P36" t="s">
        <v>1010</v>
      </c>
      <c r="Q36">
        <v>2</v>
      </c>
      <c r="R36">
        <v>35</v>
      </c>
      <c r="S36">
        <v>0</v>
      </c>
      <c r="T36">
        <v>0</v>
      </c>
      <c r="U36">
        <v>0</v>
      </c>
      <c r="V36">
        <v>1</v>
      </c>
      <c r="W36" t="s">
        <v>825</v>
      </c>
    </row>
    <row r="37" spans="1:23" hidden="1">
      <c r="A37" s="311"/>
      <c r="B37" s="311"/>
      <c r="L37" s="323" t="str">
        <f t="shared" si="0"/>
        <v>SDJ202352</v>
      </c>
      <c r="M37" s="323" t="str">
        <f>IF(OR(L37="",COUNTIF($M$4:M36,IF(ISERROR($R37*1),LEFT($R37,2)*1,$R37*1))&gt;=1),"-",IF(ISERROR($R37*1),LEFT($R37,2)*1,$R37*1))</f>
        <v>-</v>
      </c>
      <c r="N37" s="323" t="str">
        <f>IF(OR(L37="",COUNTIF($N$4:N36,V37*1)&gt;=1),"-",V37*1)</f>
        <v>-</v>
      </c>
      <c r="O37" s="327"/>
      <c r="P37" t="s">
        <v>1010</v>
      </c>
      <c r="Q37">
        <v>2</v>
      </c>
      <c r="R37">
        <v>35</v>
      </c>
      <c r="S37">
        <v>0</v>
      </c>
      <c r="T37">
        <v>0</v>
      </c>
      <c r="U37">
        <v>0</v>
      </c>
      <c r="V37">
        <v>2</v>
      </c>
      <c r="W37" t="s">
        <v>1032</v>
      </c>
    </row>
    <row r="38" spans="1:23" hidden="1">
      <c r="A38" s="311"/>
      <c r="B38" s="311"/>
      <c r="L38" s="323" t="str">
        <f t="shared" si="0"/>
        <v>SDJ202353</v>
      </c>
      <c r="M38" s="323" t="str">
        <f>IF(OR(L38="",COUNTIF($M$4:M37,IF(ISERROR($R38*1),LEFT($R38,2)*1,$R38*1))&gt;=1),"-",IF(ISERROR($R38*1),LEFT($R38,2)*1,$R38*1))</f>
        <v>-</v>
      </c>
      <c r="N38" s="323" t="str">
        <f>IF(OR(L38="",COUNTIF($N$4:N37,V38*1)&gt;=1),"-",V38*1)</f>
        <v>-</v>
      </c>
      <c r="O38" s="327"/>
      <c r="P38" t="s">
        <v>1010</v>
      </c>
      <c r="Q38">
        <v>2</v>
      </c>
      <c r="R38">
        <v>35</v>
      </c>
      <c r="S38">
        <v>0</v>
      </c>
      <c r="T38">
        <v>0</v>
      </c>
      <c r="U38">
        <v>0</v>
      </c>
      <c r="V38">
        <v>3</v>
      </c>
      <c r="W38" t="s">
        <v>1033</v>
      </c>
    </row>
    <row r="39" spans="1:23" hidden="1">
      <c r="A39" s="311"/>
      <c r="B39" s="311"/>
      <c r="L39" s="323" t="str">
        <f t="shared" si="0"/>
        <v>SDJ202354</v>
      </c>
      <c r="M39" s="323" t="str">
        <f>IF(OR(L39="",COUNTIF($M$4:M38,IF(ISERROR($R39*1),LEFT($R39,2)*1,$R39*1))&gt;=1),"-",IF(ISERROR($R39*1),LEFT($R39,2)*1,$R39*1))</f>
        <v>-</v>
      </c>
      <c r="N39" s="323" t="str">
        <f>IF(OR(L39="",COUNTIF($N$4:N38,V39*1)&gt;=1),"-",V39*1)</f>
        <v>-</v>
      </c>
      <c r="O39" s="327"/>
      <c r="P39" t="s">
        <v>1010</v>
      </c>
      <c r="Q39">
        <v>2</v>
      </c>
      <c r="R39">
        <v>35</v>
      </c>
      <c r="S39">
        <v>0</v>
      </c>
      <c r="T39">
        <v>0</v>
      </c>
      <c r="U39">
        <v>0</v>
      </c>
      <c r="V39">
        <v>4</v>
      </c>
      <c r="W39" t="s">
        <v>1064</v>
      </c>
    </row>
    <row r="40" spans="1:23" hidden="1">
      <c r="A40" s="311"/>
      <c r="B40" s="311"/>
      <c r="L40" s="323" t="str">
        <f t="shared" si="0"/>
        <v>SDJ202355</v>
      </c>
      <c r="M40" s="323" t="str">
        <f>IF(OR(L40="",COUNTIF($M$4:M39,IF(ISERROR($R40*1),LEFT($R40,2)*1,$R40*1))&gt;=1),"-",IF(ISERROR($R40*1),LEFT($R40,2)*1,$R40*1))</f>
        <v>-</v>
      </c>
      <c r="N40" s="323" t="str">
        <f>IF(OR(L40="",COUNTIF($N$4:N39,V40*1)&gt;=1),"-",V40*1)</f>
        <v>-</v>
      </c>
      <c r="O40" s="327"/>
      <c r="P40" t="s">
        <v>1010</v>
      </c>
      <c r="Q40">
        <v>2</v>
      </c>
      <c r="R40">
        <v>35</v>
      </c>
      <c r="S40">
        <v>0</v>
      </c>
      <c r="T40">
        <v>0</v>
      </c>
      <c r="U40">
        <v>0</v>
      </c>
      <c r="V40">
        <v>5</v>
      </c>
      <c r="W40" t="s">
        <v>1065</v>
      </c>
    </row>
    <row r="41" spans="1:23" hidden="1">
      <c r="A41" s="311"/>
      <c r="B41" s="311"/>
      <c r="L41" s="323" t="str">
        <f t="shared" si="0"/>
        <v>SDJ2023510</v>
      </c>
      <c r="M41" s="323" t="str">
        <f>IF(OR(L41="",COUNTIF($M$4:M40,IF(ISERROR($R41*1),LEFT($R41,2)*1,$R41*1))&gt;=1),"-",IF(ISERROR($R41*1),LEFT($R41,2)*1,$R41*1))</f>
        <v>-</v>
      </c>
      <c r="N41" s="323" t="str">
        <f>IF(OR(L41="",COUNTIF($N$4:N40,V41*1)&gt;=1),"-",V41*1)</f>
        <v>-</v>
      </c>
      <c r="O41" s="327"/>
      <c r="P41" t="s">
        <v>1010</v>
      </c>
      <c r="Q41">
        <v>2</v>
      </c>
      <c r="R41">
        <v>35</v>
      </c>
      <c r="S41">
        <v>0</v>
      </c>
      <c r="T41">
        <v>0</v>
      </c>
      <c r="U41">
        <v>0</v>
      </c>
      <c r="V41">
        <v>10</v>
      </c>
      <c r="W41" t="s">
        <v>1066</v>
      </c>
    </row>
    <row r="42" spans="1:23" hidden="1">
      <c r="A42" s="311"/>
      <c r="B42" s="311"/>
      <c r="L42" s="323" t="str">
        <f t="shared" si="0"/>
        <v>SDJ2023515</v>
      </c>
      <c r="M42" s="323" t="str">
        <f>IF(OR(L42="",COUNTIF($M$4:M41,IF(ISERROR($R42*1),LEFT($R42,2)*1,$R42*1))&gt;=1),"-",IF(ISERROR($R42*1),LEFT($R42,2)*1,$R42*1))</f>
        <v>-</v>
      </c>
      <c r="N42" s="323" t="str">
        <f>IF(OR(L42="",COUNTIF($N$4:N41,V42*1)&gt;=1),"-",V42*1)</f>
        <v>-</v>
      </c>
      <c r="O42" s="327"/>
      <c r="P42" t="s">
        <v>1010</v>
      </c>
      <c r="Q42">
        <v>2</v>
      </c>
      <c r="R42">
        <v>35</v>
      </c>
      <c r="S42">
        <v>0</v>
      </c>
      <c r="T42">
        <v>0</v>
      </c>
      <c r="U42">
        <v>0</v>
      </c>
      <c r="V42">
        <v>15</v>
      </c>
      <c r="W42" t="s">
        <v>1067</v>
      </c>
    </row>
    <row r="43" spans="1:23" hidden="1">
      <c r="L43" s="323" t="str">
        <f t="shared" si="0"/>
        <v>SDJ2023520</v>
      </c>
      <c r="M43" s="323" t="str">
        <f>IF(OR(L43="",COUNTIF($M$4:M42,IF(ISERROR($R43*1),LEFT($R43,2)*1,$R43*1))&gt;=1),"-",IF(ISERROR($R43*1),LEFT($R43,2)*1,$R43*1))</f>
        <v>-</v>
      </c>
      <c r="N43" s="323" t="str">
        <f>IF(OR(L43="",COUNTIF($N$4:N42,V43*1)&gt;=1),"-",V43*1)</f>
        <v>-</v>
      </c>
      <c r="O43" s="327"/>
      <c r="P43" t="s">
        <v>1010</v>
      </c>
      <c r="Q43">
        <v>2</v>
      </c>
      <c r="R43">
        <v>35</v>
      </c>
      <c r="S43">
        <v>0</v>
      </c>
      <c r="T43">
        <v>0</v>
      </c>
      <c r="U43">
        <v>0</v>
      </c>
      <c r="V43">
        <v>20</v>
      </c>
      <c r="W43" t="s">
        <v>1068</v>
      </c>
    </row>
    <row r="44" spans="1:23" hidden="1">
      <c r="L44" s="323" t="str">
        <f t="shared" si="0"/>
        <v>SDJ202501</v>
      </c>
      <c r="M44" s="323" t="str">
        <f>IF(OR(L44="",COUNTIF($M$4:M43,IF(ISERROR($R44*1),LEFT($R44,2)*1,$R44*1))&gt;=1),"-",IF(ISERROR($R44*1),LEFT($R44,2)*1,$R44*1))</f>
        <v>-</v>
      </c>
      <c r="N44" s="323" t="str">
        <f>IF(OR(L44="",COUNTIF($N$4:N43,V44*1)&gt;=1),"-",V44*1)</f>
        <v>-</v>
      </c>
      <c r="O44" s="327"/>
      <c r="P44" t="s">
        <v>1010</v>
      </c>
      <c r="Q44">
        <v>2</v>
      </c>
      <c r="R44">
        <v>50</v>
      </c>
      <c r="S44">
        <v>0</v>
      </c>
      <c r="T44">
        <v>0</v>
      </c>
      <c r="U44">
        <v>0</v>
      </c>
      <c r="V44">
        <v>1</v>
      </c>
      <c r="W44" t="s">
        <v>825</v>
      </c>
    </row>
    <row r="45" spans="1:23" hidden="1">
      <c r="L45" s="323" t="str">
        <f t="shared" si="0"/>
        <v>SDJ202502</v>
      </c>
      <c r="M45" s="323" t="str">
        <f>IF(OR(L45="",COUNTIF($M$4:M44,IF(ISERROR($R45*1),LEFT($R45,2)*1,$R45*1))&gt;=1),"-",IF(ISERROR($R45*1),LEFT($R45,2)*1,$R45*1))</f>
        <v>-</v>
      </c>
      <c r="N45" s="323" t="str">
        <f>IF(OR(L45="",COUNTIF($N$4:N44,V45*1)&gt;=1),"-",V45*1)</f>
        <v>-</v>
      </c>
      <c r="O45" s="327"/>
      <c r="P45" t="s">
        <v>1010</v>
      </c>
      <c r="Q45">
        <v>2</v>
      </c>
      <c r="R45">
        <v>50</v>
      </c>
      <c r="S45">
        <v>0</v>
      </c>
      <c r="T45">
        <v>0</v>
      </c>
      <c r="U45">
        <v>0</v>
      </c>
      <c r="V45">
        <v>2</v>
      </c>
      <c r="W45" t="s">
        <v>1027</v>
      </c>
    </row>
    <row r="46" spans="1:23" hidden="1">
      <c r="L46" s="323" t="str">
        <f t="shared" si="0"/>
        <v>SDJ202503</v>
      </c>
      <c r="M46" s="323" t="str">
        <f>IF(OR(L46="",COUNTIF($M$4:M45,IF(ISERROR($R46*1),LEFT($R46,2)*1,$R46*1))&gt;=1),"-",IF(ISERROR($R46*1),LEFT($R46,2)*1,$R46*1))</f>
        <v>-</v>
      </c>
      <c r="N46" s="323" t="str">
        <f>IF(OR(L46="",COUNTIF($N$4:N45,V46*1)&gt;=1),"-",V46*1)</f>
        <v>-</v>
      </c>
      <c r="O46" s="327"/>
      <c r="P46" t="s">
        <v>1010</v>
      </c>
      <c r="Q46">
        <v>2</v>
      </c>
      <c r="R46">
        <v>50</v>
      </c>
      <c r="S46">
        <v>0</v>
      </c>
      <c r="T46">
        <v>0</v>
      </c>
      <c r="U46">
        <v>0</v>
      </c>
      <c r="V46">
        <v>3</v>
      </c>
      <c r="W46" t="s">
        <v>1031</v>
      </c>
    </row>
    <row r="47" spans="1:23" hidden="1">
      <c r="L47" s="323" t="str">
        <f t="shared" si="0"/>
        <v>SDJ202504</v>
      </c>
      <c r="M47" s="323" t="str">
        <f>IF(OR(L47="",COUNTIF($M$4:M46,IF(ISERROR($R47*1),LEFT($R47,2)*1,$R47*1))&gt;=1),"-",IF(ISERROR($R47*1),LEFT($R47,2)*1,$R47*1))</f>
        <v>-</v>
      </c>
      <c r="N47" s="323" t="str">
        <f>IF(OR(L47="",COUNTIF($N$4:N46,V47*1)&gt;=1),"-",V47*1)</f>
        <v>-</v>
      </c>
      <c r="O47" s="327"/>
      <c r="P47" t="s">
        <v>1010</v>
      </c>
      <c r="Q47">
        <v>2</v>
      </c>
      <c r="R47">
        <v>50</v>
      </c>
      <c r="S47">
        <v>0</v>
      </c>
      <c r="T47">
        <v>0</v>
      </c>
      <c r="U47">
        <v>0</v>
      </c>
      <c r="V47">
        <v>4</v>
      </c>
      <c r="W47" t="s">
        <v>1069</v>
      </c>
    </row>
    <row r="48" spans="1:23" hidden="1">
      <c r="L48" s="323" t="str">
        <f t="shared" si="0"/>
        <v>SDJ202505</v>
      </c>
      <c r="M48" s="323" t="str">
        <f>IF(OR(L48="",COUNTIF($M$4:M47,IF(ISERROR($R48*1),LEFT($R48,2)*1,$R48*1))&gt;=1),"-",IF(ISERROR($R48*1),LEFT($R48,2)*1,$R48*1))</f>
        <v>-</v>
      </c>
      <c r="N48" s="323" t="str">
        <f>IF(OR(L48="",COUNTIF($N$4:N47,V48*1)&gt;=1),"-",V48*1)</f>
        <v>-</v>
      </c>
      <c r="O48" s="327"/>
      <c r="P48" t="s">
        <v>1010</v>
      </c>
      <c r="Q48">
        <v>2</v>
      </c>
      <c r="R48">
        <v>50</v>
      </c>
      <c r="S48">
        <v>0</v>
      </c>
      <c r="T48">
        <v>0</v>
      </c>
      <c r="U48">
        <v>0</v>
      </c>
      <c r="V48">
        <v>5</v>
      </c>
      <c r="W48" t="s">
        <v>1070</v>
      </c>
    </row>
    <row r="49" spans="12:23" hidden="1">
      <c r="L49" s="323" t="str">
        <f t="shared" si="0"/>
        <v>SDJ2025010</v>
      </c>
      <c r="M49" s="323" t="str">
        <f>IF(OR(L49="",COUNTIF($M$4:M48,IF(ISERROR($R49*1),LEFT($R49,2)*1,$R49*1))&gt;=1),"-",IF(ISERROR($R49*1),LEFT($R49,2)*1,$R49*1))</f>
        <v>-</v>
      </c>
      <c r="N49" s="323" t="str">
        <f>IF(OR(L49="",COUNTIF($N$4:N48,V49*1)&gt;=1),"-",V49*1)</f>
        <v>-</v>
      </c>
      <c r="O49" s="327"/>
      <c r="P49" t="s">
        <v>1010</v>
      </c>
      <c r="Q49">
        <v>2</v>
      </c>
      <c r="R49">
        <v>50</v>
      </c>
      <c r="S49">
        <v>0</v>
      </c>
      <c r="T49">
        <v>0</v>
      </c>
      <c r="U49">
        <v>0</v>
      </c>
      <c r="V49">
        <v>10</v>
      </c>
      <c r="W49" t="s">
        <v>1071</v>
      </c>
    </row>
    <row r="50" spans="12:23" hidden="1">
      <c r="L50" s="323" t="str">
        <f t="shared" si="0"/>
        <v>SDJ2025015</v>
      </c>
      <c r="M50" s="323" t="str">
        <f>IF(OR(L50="",COUNTIF($M$4:M49,IF(ISERROR($R50*1),LEFT($R50,2)*1,$R50*1))&gt;=1),"-",IF(ISERROR($R50*1),LEFT($R50,2)*1,$R50*1))</f>
        <v>-</v>
      </c>
      <c r="N50" s="323" t="str">
        <f>IF(OR(L50="",COUNTIF($N$4:N49,V50*1)&gt;=1),"-",V50*1)</f>
        <v>-</v>
      </c>
      <c r="O50" s="327"/>
      <c r="P50" t="s">
        <v>1010</v>
      </c>
      <c r="Q50">
        <v>2</v>
      </c>
      <c r="R50">
        <v>50</v>
      </c>
      <c r="S50">
        <v>0</v>
      </c>
      <c r="T50">
        <v>0</v>
      </c>
      <c r="U50">
        <v>0</v>
      </c>
      <c r="V50">
        <v>15</v>
      </c>
      <c r="W50" t="s">
        <v>1072</v>
      </c>
    </row>
    <row r="51" spans="12:23" hidden="1">
      <c r="L51" s="323" t="str">
        <f t="shared" si="0"/>
        <v>SDJ2025020</v>
      </c>
      <c r="M51" s="323" t="str">
        <f>IF(OR(L51="",COUNTIF($M$4:M50,IF(ISERROR($R51*1),LEFT($R51,2)*1,$R51*1))&gt;=1),"-",IF(ISERROR($R51*1),LEFT($R51,2)*1,$R51*1))</f>
        <v>-</v>
      </c>
      <c r="N51" s="323" t="str">
        <f>IF(OR(L51="",COUNTIF($N$4:N50,V51*1)&gt;=1),"-",V51*1)</f>
        <v>-</v>
      </c>
      <c r="O51" s="327"/>
      <c r="P51" t="s">
        <v>1010</v>
      </c>
      <c r="Q51">
        <v>2</v>
      </c>
      <c r="R51">
        <v>50</v>
      </c>
      <c r="S51">
        <v>0</v>
      </c>
      <c r="T51">
        <v>0</v>
      </c>
      <c r="U51">
        <v>0</v>
      </c>
      <c r="V51">
        <v>20</v>
      </c>
      <c r="W51" t="s">
        <v>1073</v>
      </c>
    </row>
    <row r="52" spans="12:23" hidden="1">
      <c r="L52" s="323" t="str">
        <f t="shared" si="0"/>
        <v/>
      </c>
      <c r="M52" s="323" t="str">
        <f>IF(OR(L52="",COUNTIF($M$4:M51,IF(ISERROR($R52*1),LEFT($R52,2)*1,$R52*1))&gt;=1),"-",IF(ISERROR($R52*1),LEFT($R52,2)*1,$R52*1))</f>
        <v>-</v>
      </c>
      <c r="N52" s="323" t="str">
        <f>IF(OR(L52="",COUNTIF($N$4:N51,V52*1)&gt;=1),"-",V52*1)</f>
        <v>-</v>
      </c>
      <c r="O52" s="327"/>
      <c r="P52"/>
      <c r="Q52"/>
      <c r="R52"/>
      <c r="S52"/>
      <c r="T52"/>
      <c r="U52"/>
      <c r="V52"/>
      <c r="W52"/>
    </row>
    <row r="53" spans="12:23" hidden="1">
      <c r="L53" s="323" t="str">
        <f t="shared" si="0"/>
        <v/>
      </c>
      <c r="M53" s="323" t="str">
        <f>IF(OR(L53="",COUNTIF($M$4:M52,IF(ISERROR($R53*1),LEFT($R53,2)*1,$R53*1))&gt;=1),"-",IF(ISERROR($R53*1),LEFT($R53,2)*1,$R53*1))</f>
        <v>-</v>
      </c>
      <c r="N53" s="323" t="str">
        <f>IF(OR(L53="",COUNTIF($N$4:N52,V53*1)&gt;=1),"-",V53*1)</f>
        <v>-</v>
      </c>
      <c r="O53" s="327"/>
      <c r="P53"/>
      <c r="Q53"/>
      <c r="R53"/>
      <c r="S53"/>
      <c r="T53"/>
      <c r="U53"/>
      <c r="V53"/>
      <c r="W53"/>
    </row>
    <row r="54" spans="12:23" hidden="1">
      <c r="L54" s="323" t="str">
        <f t="shared" si="0"/>
        <v/>
      </c>
      <c r="M54" s="323" t="str">
        <f>IF(OR(L54="",COUNTIF($M$4:M53,IF(ISERROR($R54*1),LEFT($R54,2)*1,$R54*1))&gt;=1),"-",IF(ISERROR($R54*1),LEFT($R54,2)*1,$R54*1))</f>
        <v>-</v>
      </c>
      <c r="N54" s="323" t="str">
        <f>IF(OR(L54="",COUNTIF($N$4:N53,V54*1)&gt;=1),"-",V54*1)</f>
        <v>-</v>
      </c>
      <c r="O54" s="327"/>
      <c r="P54"/>
      <c r="Q54"/>
      <c r="R54"/>
      <c r="S54"/>
      <c r="T54"/>
      <c r="U54"/>
      <c r="V54"/>
      <c r="W54"/>
    </row>
    <row r="55" spans="12:23" hidden="1">
      <c r="L55" s="323" t="str">
        <f t="shared" si="0"/>
        <v/>
      </c>
      <c r="M55" s="323" t="str">
        <f>IF(OR(L55="",COUNTIF($M$4:M54,IF(ISERROR($R55*1),LEFT($R55,2)*1,$R55*1))&gt;=1),"-",IF(ISERROR($R55*1),LEFT($R55,2)*1,$R55*1))</f>
        <v>-</v>
      </c>
      <c r="N55" s="323" t="str">
        <f>IF(OR(L55="",COUNTIF($N$4:N54,V55*1)&gt;=1),"-",V55*1)</f>
        <v>-</v>
      </c>
      <c r="O55" s="327"/>
      <c r="P55"/>
      <c r="Q55"/>
      <c r="R55"/>
      <c r="S55"/>
      <c r="T55"/>
      <c r="U55"/>
      <c r="V55"/>
      <c r="W55"/>
    </row>
    <row r="56" spans="12:23" hidden="1">
      <c r="L56" s="323" t="str">
        <f t="shared" si="0"/>
        <v/>
      </c>
      <c r="M56" s="323" t="str">
        <f>IF(OR(L56="",COUNTIF($M$4:M55,IF(ISERROR($R56*1),LEFT($R56,2)*1,$R56*1))&gt;=1),"-",IF(ISERROR($R56*1),LEFT($R56,2)*1,$R56*1))</f>
        <v>-</v>
      </c>
      <c r="N56" s="323" t="str">
        <f>IF(OR(L56="",COUNTIF($N$4:N55,V56*1)&gt;=1),"-",V56*1)</f>
        <v>-</v>
      </c>
      <c r="O56" s="327"/>
      <c r="P56"/>
      <c r="Q56"/>
      <c r="R56"/>
      <c r="S56"/>
      <c r="T56"/>
      <c r="U56"/>
      <c r="V56"/>
      <c r="W56"/>
    </row>
    <row r="57" spans="12:23" hidden="1">
      <c r="L57" s="323" t="str">
        <f t="shared" si="0"/>
        <v/>
      </c>
      <c r="M57" s="323" t="str">
        <f>IF(OR(L57="",COUNTIF($M$4:M56,IF(ISERROR($R57*1),LEFT($R57,2)*1,$R57*1))&gt;=1),"-",IF(ISERROR($R57*1),LEFT($R57,2)*1,$R57*1))</f>
        <v>-</v>
      </c>
      <c r="N57" s="323" t="str">
        <f>IF(OR(L57="",COUNTIF($N$4:N56,V57*1)&gt;=1),"-",V57*1)</f>
        <v>-</v>
      </c>
      <c r="O57" s="327"/>
      <c r="P57"/>
      <c r="Q57"/>
      <c r="R57"/>
      <c r="S57"/>
      <c r="T57"/>
      <c r="U57"/>
      <c r="V57"/>
      <c r="W57"/>
    </row>
    <row r="58" spans="12:23" hidden="1">
      <c r="L58" s="323" t="str">
        <f t="shared" si="0"/>
        <v/>
      </c>
      <c r="M58" s="323" t="str">
        <f>IF(OR(L58="",COUNTIF($M$4:M57,IF(ISERROR($R58*1),LEFT($R58,2)*1,$R58*1))&gt;=1),"-",IF(ISERROR($R58*1),LEFT($R58,2)*1,$R58*1))</f>
        <v>-</v>
      </c>
      <c r="N58" s="323" t="str">
        <f>IF(OR(L58="",COUNTIF($N$4:N57,V58*1)&gt;=1),"-",V58*1)</f>
        <v>-</v>
      </c>
      <c r="O58" s="327"/>
      <c r="P58"/>
      <c r="Q58"/>
      <c r="R58"/>
      <c r="S58"/>
      <c r="T58"/>
      <c r="U58"/>
      <c r="V58"/>
      <c r="W58"/>
    </row>
    <row r="59" spans="12:23" hidden="1">
      <c r="L59" s="323" t="str">
        <f t="shared" si="0"/>
        <v/>
      </c>
      <c r="M59" s="323" t="str">
        <f>IF(OR(L59="",COUNTIF($M$4:M58,IF(ISERROR($R59*1),LEFT($R59,2)*1,$R59*1))&gt;=1),"-",IF(ISERROR($R59*1),LEFT($R59,2)*1,$R59*1))</f>
        <v>-</v>
      </c>
      <c r="N59" s="323" t="str">
        <f>IF(OR(L59="",COUNTIF($N$4:N58,V59*1)&gt;=1),"-",V59*1)</f>
        <v>-</v>
      </c>
      <c r="O59" s="327"/>
      <c r="P59"/>
      <c r="Q59"/>
      <c r="R59"/>
      <c r="S59"/>
      <c r="T59"/>
      <c r="U59"/>
      <c r="V59"/>
      <c r="W59"/>
    </row>
    <row r="60" spans="12:23" hidden="1">
      <c r="L60" s="323" t="str">
        <f t="shared" si="0"/>
        <v/>
      </c>
      <c r="M60" s="323" t="str">
        <f>IF(OR(L60="",COUNTIF($M$4:M59,IF(ISERROR($R60*1),LEFT($R60,2)*1,$R60*1))&gt;=1),"-",IF(ISERROR($R60*1),LEFT($R60,2)*1,$R60*1))</f>
        <v>-</v>
      </c>
      <c r="N60" s="323" t="str">
        <f>IF(OR(L60="",COUNTIF($N$4:N59,V60*1)&gt;=1),"-",V60*1)</f>
        <v>-</v>
      </c>
      <c r="O60" s="327"/>
      <c r="P60"/>
      <c r="Q60"/>
      <c r="R60"/>
      <c r="S60"/>
      <c r="T60"/>
      <c r="U60"/>
      <c r="V60"/>
      <c r="W60"/>
    </row>
    <row r="61" spans="12:23" hidden="1">
      <c r="L61" s="323" t="str">
        <f t="shared" si="0"/>
        <v/>
      </c>
      <c r="M61" s="323" t="str">
        <f>IF(OR(L61="",COUNTIF($M$4:M60,IF(ISERROR($R61*1),LEFT($R61,2)*1,$R61*1))&gt;=1),"-",IF(ISERROR($R61*1),LEFT($R61,2)*1,$R61*1))</f>
        <v>-</v>
      </c>
      <c r="N61" s="323" t="str">
        <f>IF(OR(L61="",COUNTIF($N$4:N60,V61*1)&gt;=1),"-",V61*1)</f>
        <v>-</v>
      </c>
      <c r="O61" s="327"/>
      <c r="P61"/>
      <c r="Q61"/>
      <c r="R61"/>
      <c r="S61"/>
      <c r="T61"/>
      <c r="U61"/>
      <c r="V61"/>
      <c r="W61"/>
    </row>
    <row r="62" spans="12:23" hidden="1">
      <c r="L62" s="323" t="str">
        <f t="shared" si="0"/>
        <v/>
      </c>
      <c r="M62" s="323" t="str">
        <f>IF(OR(L62="",COUNTIF($M$4:M61,IF(ISERROR($R62*1),LEFT($R62,2)*1,$R62*1))&gt;=1),"-",IF(ISERROR($R62*1),LEFT($R62,2)*1,$R62*1))</f>
        <v>-</v>
      </c>
      <c r="N62" s="323" t="str">
        <f>IF(OR(L62="",COUNTIF($N$4:N61,V62*1)&gt;=1),"-",V62*1)</f>
        <v>-</v>
      </c>
      <c r="O62" s="327"/>
      <c r="P62"/>
      <c r="Q62"/>
      <c r="R62"/>
      <c r="S62"/>
      <c r="T62"/>
      <c r="U62"/>
      <c r="V62"/>
      <c r="W62"/>
    </row>
    <row r="63" spans="12:23" hidden="1">
      <c r="L63" s="323" t="str">
        <f t="shared" si="0"/>
        <v/>
      </c>
      <c r="M63" s="323" t="str">
        <f>IF(OR(L63="",COUNTIF($M$4:M62,IF(ISERROR($R63*1),LEFT($R63,2)*1,$R63*1))&gt;=1),"-",IF(ISERROR($R63*1),LEFT($R63,2)*1,$R63*1))</f>
        <v>-</v>
      </c>
      <c r="N63" s="323" t="str">
        <f>IF(OR(L63="",COUNTIF($N$4:N62,V63*1)&gt;=1),"-",V63*1)</f>
        <v>-</v>
      </c>
      <c r="O63" s="327"/>
      <c r="P63"/>
      <c r="Q63"/>
      <c r="R63"/>
      <c r="S63"/>
      <c r="T63"/>
      <c r="U63"/>
      <c r="V63"/>
      <c r="W63"/>
    </row>
    <row r="64" spans="12:23" hidden="1">
      <c r="L64" s="323" t="str">
        <f t="shared" si="0"/>
        <v/>
      </c>
      <c r="M64" s="323" t="str">
        <f>IF(OR(L64="",COUNTIF($M$4:M63,IF(ISERROR($R64*1),LEFT($R64,2)*1,$R64*1))&gt;=1),"-",IF(ISERROR($R64*1),LEFT($R64,2)*1,$R64*1))</f>
        <v>-</v>
      </c>
      <c r="N64" s="323" t="str">
        <f>IF(OR(L64="",COUNTIF($N$4:N63,V64*1)&gt;=1),"-",V64*1)</f>
        <v>-</v>
      </c>
      <c r="O64" s="327"/>
      <c r="P64"/>
      <c r="Q64"/>
      <c r="R64"/>
      <c r="S64"/>
      <c r="T64"/>
      <c r="U64"/>
      <c r="V64"/>
      <c r="W64"/>
    </row>
    <row r="65" spans="12:23" hidden="1">
      <c r="L65" s="323" t="str">
        <f t="shared" si="0"/>
        <v/>
      </c>
      <c r="M65" s="323" t="str">
        <f>IF(OR(L65="",COUNTIF($M$4:M64,IF(ISERROR($R65*1),LEFT($R65,2)*1,$R65*1))&gt;=1),"-",IF(ISERROR($R65*1),LEFT($R65,2)*1,$R65*1))</f>
        <v>-</v>
      </c>
      <c r="N65" s="323" t="str">
        <f>IF(OR(L65="",COUNTIF($N$4:N64,V65*1)&gt;=1),"-",V65*1)</f>
        <v>-</v>
      </c>
      <c r="O65" s="327"/>
      <c r="P65"/>
      <c r="Q65"/>
      <c r="R65"/>
      <c r="S65"/>
      <c r="T65"/>
      <c r="U65"/>
      <c r="V65"/>
      <c r="W65"/>
    </row>
    <row r="66" spans="12:23" hidden="1">
      <c r="L66" s="323" t="str">
        <f t="shared" si="0"/>
        <v/>
      </c>
      <c r="M66" s="323" t="str">
        <f>IF(OR(L66="",COUNTIF($M$4:M65,IF(ISERROR($R66*1),LEFT($R66,2)*1,$R66*1))&gt;=1),"-",IF(ISERROR($R66*1),LEFT($R66,2)*1,$R66*1))</f>
        <v>-</v>
      </c>
      <c r="N66" s="323" t="str">
        <f>IF(OR(L66="",COUNTIF($N$4:N65,V66*1)&gt;=1),"-",V66*1)</f>
        <v>-</v>
      </c>
      <c r="O66" s="327"/>
      <c r="P66"/>
      <c r="Q66"/>
      <c r="R66"/>
      <c r="S66"/>
      <c r="T66"/>
      <c r="U66"/>
      <c r="V66"/>
      <c r="W66"/>
    </row>
    <row r="67" spans="12:23" hidden="1">
      <c r="L67" s="323" t="str">
        <f t="shared" si="0"/>
        <v/>
      </c>
      <c r="M67" s="323" t="str">
        <f>IF(OR(L67="",COUNTIF($M$4:M66,IF(ISERROR($R67*1),LEFT($R67,2)*1,$R67*1))&gt;=1),"-",IF(ISERROR($R67*1),LEFT($R67,2)*1,$R67*1))</f>
        <v>-</v>
      </c>
      <c r="N67" s="323" t="str">
        <f>IF(OR(L67="",COUNTIF($N$4:N66,V67*1)&gt;=1),"-",V67*1)</f>
        <v>-</v>
      </c>
      <c r="O67" s="327"/>
      <c r="P67"/>
      <c r="Q67"/>
      <c r="R67"/>
      <c r="S67"/>
      <c r="T67"/>
      <c r="U67"/>
      <c r="V67"/>
      <c r="W67"/>
    </row>
    <row r="68" spans="12:23" hidden="1">
      <c r="L68" s="323" t="str">
        <f t="shared" ref="L68:L131" si="5">IF(P68&lt;&gt;$B$1,"",P68&amp;Q68&amp;R68&amp;V68)</f>
        <v/>
      </c>
      <c r="M68" s="323" t="str">
        <f>IF(OR(L68="",COUNTIF($M$4:M67,IF(ISERROR($R68*1),LEFT($R68,2)*1,$R68*1))&gt;=1),"-",IF(ISERROR($R68*1),LEFT($R68,2)*1,$R68*1))</f>
        <v>-</v>
      </c>
      <c r="N68" s="323" t="str">
        <f>IF(OR(L68="",COUNTIF($N$4:N67,V68*1)&gt;=1),"-",V68*1)</f>
        <v>-</v>
      </c>
      <c r="O68" s="327"/>
      <c r="P68"/>
      <c r="Q68"/>
      <c r="R68"/>
      <c r="S68"/>
      <c r="T68"/>
      <c r="U68"/>
      <c r="V68"/>
      <c r="W68"/>
    </row>
    <row r="69" spans="12:23" hidden="1">
      <c r="L69" s="323" t="str">
        <f t="shared" si="5"/>
        <v/>
      </c>
      <c r="M69" s="323" t="str">
        <f>IF(OR(L69="",COUNTIF($M$4:M68,IF(ISERROR($R69*1),LEFT($R69,2)*1,$R69*1))&gt;=1),"-",IF(ISERROR($R69*1),LEFT($R69,2)*1,$R69*1))</f>
        <v>-</v>
      </c>
      <c r="N69" s="323" t="str">
        <f>IF(OR(L69="",COUNTIF($N$4:N68,V69*1)&gt;=1),"-",V69*1)</f>
        <v>-</v>
      </c>
      <c r="O69" s="327"/>
      <c r="P69"/>
      <c r="Q69"/>
      <c r="R69"/>
      <c r="S69"/>
      <c r="T69"/>
      <c r="U69"/>
      <c r="V69"/>
      <c r="W69"/>
    </row>
    <row r="70" spans="12:23" hidden="1">
      <c r="L70" s="323" t="str">
        <f t="shared" si="5"/>
        <v/>
      </c>
      <c r="M70" s="323" t="str">
        <f>IF(OR(L70="",COUNTIF($M$4:M69,IF(ISERROR($R70*1),LEFT($R70,2)*1,$R70*1))&gt;=1),"-",IF(ISERROR($R70*1),LEFT($R70,2)*1,$R70*1))</f>
        <v>-</v>
      </c>
      <c r="N70" s="323" t="str">
        <f>IF(OR(L70="",COUNTIF($N$4:N69,V70*1)&gt;=1),"-",V70*1)</f>
        <v>-</v>
      </c>
      <c r="O70" s="327"/>
      <c r="P70"/>
      <c r="Q70"/>
      <c r="R70"/>
      <c r="S70"/>
      <c r="T70"/>
      <c r="U70"/>
      <c r="V70"/>
      <c r="W70"/>
    </row>
    <row r="71" spans="12:23" hidden="1">
      <c r="L71" s="323" t="str">
        <f t="shared" si="5"/>
        <v/>
      </c>
      <c r="M71" s="323" t="str">
        <f>IF(OR(L71="",COUNTIF($M$4:M70,IF(ISERROR($R71*1),LEFT($R71,2)*1,$R71*1))&gt;=1),"-",IF(ISERROR($R71*1),LEFT($R71,2)*1,$R71*1))</f>
        <v>-</v>
      </c>
      <c r="N71" s="323" t="str">
        <f>IF(OR(L71="",COUNTIF($N$4:N70,V71*1)&gt;=1),"-",V71*1)</f>
        <v>-</v>
      </c>
      <c r="O71" s="327"/>
      <c r="P71"/>
      <c r="Q71"/>
      <c r="R71"/>
      <c r="S71"/>
      <c r="T71"/>
      <c r="U71"/>
      <c r="V71"/>
      <c r="W71"/>
    </row>
    <row r="72" spans="12:23" hidden="1">
      <c r="L72" s="323" t="str">
        <f t="shared" si="5"/>
        <v/>
      </c>
      <c r="M72" s="323" t="str">
        <f>IF(OR(L72="",COUNTIF($M$4:M71,IF(ISERROR($R72*1),LEFT($R72,2)*1,$R72*1))&gt;=1),"-",IF(ISERROR($R72*1),LEFT($R72,2)*1,$R72*1))</f>
        <v>-</v>
      </c>
      <c r="N72" s="323" t="str">
        <f>IF(OR(L72="",COUNTIF($N$4:N71,V72*1)&gt;=1),"-",V72*1)</f>
        <v>-</v>
      </c>
      <c r="O72" s="327"/>
      <c r="P72"/>
      <c r="Q72"/>
      <c r="R72"/>
      <c r="S72"/>
      <c r="T72"/>
      <c r="U72"/>
      <c r="V72"/>
      <c r="W72"/>
    </row>
    <row r="73" spans="12:23" hidden="1">
      <c r="L73" s="323" t="str">
        <f t="shared" si="5"/>
        <v/>
      </c>
      <c r="M73" s="323" t="str">
        <f>IF(OR(L73="",COUNTIF($M$4:M72,IF(ISERROR($R73*1),LEFT($R73,2)*1,$R73*1))&gt;=1),"-",IF(ISERROR($R73*1),LEFT($R73,2)*1,$R73*1))</f>
        <v>-</v>
      </c>
      <c r="N73" s="323" t="str">
        <f>IF(OR(L73="",COUNTIF($N$4:N72,V73*1)&gt;=1),"-",V73*1)</f>
        <v>-</v>
      </c>
      <c r="O73" s="327"/>
      <c r="P73"/>
      <c r="Q73"/>
      <c r="R73"/>
      <c r="S73"/>
      <c r="T73"/>
      <c r="U73"/>
      <c r="V73"/>
      <c r="W73"/>
    </row>
    <row r="74" spans="12:23" hidden="1">
      <c r="L74" s="323" t="str">
        <f t="shared" si="5"/>
        <v/>
      </c>
      <c r="M74" s="323" t="str">
        <f>IF(OR(L74="",COUNTIF($M$4:M73,IF(ISERROR($R74*1),LEFT($R74,2)*1,$R74*1))&gt;=1),"-",IF(ISERROR($R74*1),LEFT($R74,2)*1,$R74*1))</f>
        <v>-</v>
      </c>
      <c r="N74" s="323" t="str">
        <f>IF(OR(L74="",COUNTIF($N$4:N73,V74*1)&gt;=1),"-",V74*1)</f>
        <v>-</v>
      </c>
      <c r="O74" s="327"/>
      <c r="P74"/>
      <c r="Q74"/>
      <c r="R74"/>
      <c r="S74"/>
      <c r="T74"/>
      <c r="U74"/>
      <c r="V74"/>
      <c r="W74"/>
    </row>
    <row r="75" spans="12:23" hidden="1">
      <c r="L75" s="323" t="str">
        <f t="shared" si="5"/>
        <v/>
      </c>
      <c r="M75" s="323" t="str">
        <f>IF(OR(L75="",COUNTIF($M$4:M74,IF(ISERROR($R75*1),LEFT($R75,2)*1,$R75*1))&gt;=1),"-",IF(ISERROR($R75*1),LEFT($R75,2)*1,$R75*1))</f>
        <v>-</v>
      </c>
      <c r="N75" s="323" t="str">
        <f>IF(OR(L75="",COUNTIF($N$4:N74,V75*1)&gt;=1),"-",V75*1)</f>
        <v>-</v>
      </c>
      <c r="O75" s="327"/>
      <c r="P75"/>
      <c r="Q75"/>
      <c r="R75"/>
      <c r="S75"/>
      <c r="T75"/>
      <c r="U75"/>
      <c r="V75"/>
      <c r="W75"/>
    </row>
    <row r="76" spans="12:23" hidden="1">
      <c r="L76" s="323" t="str">
        <f t="shared" si="5"/>
        <v/>
      </c>
      <c r="M76" s="323" t="str">
        <f>IF(OR(L76="",COUNTIF($M$4:M75,IF(ISERROR($R76*1),LEFT($R76,2)*1,$R76*1))&gt;=1),"-",IF(ISERROR($R76*1),LEFT($R76,2)*1,$R76*1))</f>
        <v>-</v>
      </c>
      <c r="N76" s="323" t="str">
        <f>IF(OR(L76="",COUNTIF($N$4:N75,V76*1)&gt;=1),"-",V76*1)</f>
        <v>-</v>
      </c>
      <c r="O76" s="327"/>
      <c r="P76"/>
      <c r="Q76"/>
      <c r="R76"/>
      <c r="S76"/>
      <c r="T76"/>
      <c r="U76"/>
      <c r="V76"/>
      <c r="W76"/>
    </row>
    <row r="77" spans="12:23" hidden="1">
      <c r="L77" s="323" t="str">
        <f t="shared" si="5"/>
        <v/>
      </c>
      <c r="M77" s="323" t="str">
        <f>IF(OR(L77="",COUNTIF($M$4:M76,IF(ISERROR($R77*1),LEFT($R77,2)*1,$R77*1))&gt;=1),"-",IF(ISERROR($R77*1),LEFT($R77,2)*1,$R77*1))</f>
        <v>-</v>
      </c>
      <c r="N77" s="323" t="str">
        <f>IF(OR(L77="",COUNTIF($N$4:N76,V77*1)&gt;=1),"-",V77*1)</f>
        <v>-</v>
      </c>
      <c r="O77" s="327"/>
      <c r="P77"/>
      <c r="Q77"/>
      <c r="R77"/>
      <c r="S77"/>
      <c r="T77"/>
      <c r="U77"/>
      <c r="V77"/>
      <c r="W77"/>
    </row>
    <row r="78" spans="12:23" hidden="1">
      <c r="L78" s="323" t="str">
        <f t="shared" si="5"/>
        <v/>
      </c>
      <c r="M78" s="323" t="str">
        <f>IF(OR(L78="",COUNTIF($M$4:M77,IF(ISERROR($R78*1),LEFT($R78,2)*1,$R78*1))&gt;=1),"-",IF(ISERROR($R78*1),LEFT($R78,2)*1,$R78*1))</f>
        <v>-</v>
      </c>
      <c r="N78" s="323" t="str">
        <f>IF(OR(L78="",COUNTIF($N$4:N77,V78*1)&gt;=1),"-",V78*1)</f>
        <v>-</v>
      </c>
      <c r="O78" s="327"/>
      <c r="P78"/>
      <c r="Q78"/>
      <c r="R78"/>
      <c r="S78"/>
      <c r="T78"/>
      <c r="U78"/>
      <c r="V78"/>
      <c r="W78"/>
    </row>
    <row r="79" spans="12:23" hidden="1">
      <c r="L79" s="323" t="str">
        <f t="shared" si="5"/>
        <v/>
      </c>
      <c r="M79" s="323" t="str">
        <f>IF(OR(L79="",COUNTIF($M$4:M78,IF(ISERROR($R79*1),LEFT($R79,2)*1,$R79*1))&gt;=1),"-",IF(ISERROR($R79*1),LEFT($R79,2)*1,$R79*1))</f>
        <v>-</v>
      </c>
      <c r="N79" s="323" t="str">
        <f>IF(OR(L79="",COUNTIF($N$4:N78,V79*1)&gt;=1),"-",V79*1)</f>
        <v>-</v>
      </c>
      <c r="O79" s="327"/>
      <c r="P79"/>
      <c r="Q79"/>
      <c r="R79"/>
      <c r="S79"/>
      <c r="T79"/>
      <c r="U79"/>
      <c r="V79"/>
      <c r="W79"/>
    </row>
    <row r="80" spans="12:23" hidden="1">
      <c r="L80" s="323" t="str">
        <f t="shared" si="5"/>
        <v/>
      </c>
      <c r="M80" s="323" t="str">
        <f>IF(OR(L80="",COUNTIF($M$4:M79,IF(ISERROR($R80*1),LEFT($R80,2)*1,$R80*1))&gt;=1),"-",IF(ISERROR($R80*1),LEFT($R80,2)*1,$R80*1))</f>
        <v>-</v>
      </c>
      <c r="N80" s="323" t="str">
        <f>IF(OR(L80="",COUNTIF($N$4:N79,V80*1)&gt;=1),"-",V80*1)</f>
        <v>-</v>
      </c>
      <c r="O80" s="327"/>
      <c r="P80"/>
      <c r="Q80"/>
      <c r="R80"/>
      <c r="S80"/>
      <c r="T80"/>
      <c r="U80"/>
      <c r="V80"/>
      <c r="W80"/>
    </row>
    <row r="81" spans="12:23" hidden="1">
      <c r="L81" s="323" t="str">
        <f t="shared" si="5"/>
        <v/>
      </c>
      <c r="M81" s="323" t="str">
        <f>IF(OR(L81="",COUNTIF($M$4:M80,IF(ISERROR($R81*1),LEFT($R81,2)*1,$R81*1))&gt;=1),"-",IF(ISERROR($R81*1),LEFT($R81,2)*1,$R81*1))</f>
        <v>-</v>
      </c>
      <c r="N81" s="323" t="str">
        <f>IF(OR(L81="",COUNTIF($N$4:N80,V81*1)&gt;=1),"-",V81*1)</f>
        <v>-</v>
      </c>
      <c r="O81" s="327"/>
      <c r="P81"/>
      <c r="Q81"/>
      <c r="R81"/>
      <c r="S81"/>
      <c r="T81"/>
      <c r="U81"/>
      <c r="V81"/>
      <c r="W81"/>
    </row>
    <row r="82" spans="12:23" hidden="1">
      <c r="L82" s="323" t="str">
        <f t="shared" si="5"/>
        <v/>
      </c>
      <c r="M82" s="323" t="str">
        <f>IF(OR(L82="",COUNTIF($M$4:M81,IF(ISERROR($R82*1),LEFT($R82,2)*1,$R82*1))&gt;=1),"-",IF(ISERROR($R82*1),LEFT($R82,2)*1,$R82*1))</f>
        <v>-</v>
      </c>
      <c r="N82" s="323" t="str">
        <f>IF(OR(L82="",COUNTIF($N$4:N81,V82*1)&gt;=1),"-",V82*1)</f>
        <v>-</v>
      </c>
      <c r="O82" s="327"/>
      <c r="P82"/>
      <c r="Q82"/>
      <c r="R82"/>
      <c r="S82"/>
      <c r="T82"/>
      <c r="U82"/>
      <c r="V82"/>
      <c r="W82"/>
    </row>
    <row r="83" spans="12:23" hidden="1">
      <c r="L83" s="323" t="str">
        <f t="shared" si="5"/>
        <v/>
      </c>
      <c r="M83" s="323" t="str">
        <f>IF(OR(L83="",COUNTIF($M$4:M82,IF(ISERROR($R83*1),LEFT($R83,2)*1,$R83*1))&gt;=1),"-",IF(ISERROR($R83*1),LEFT($R83,2)*1,$R83*1))</f>
        <v>-</v>
      </c>
      <c r="N83" s="323" t="str">
        <f>IF(OR(L83="",COUNTIF($N$4:N82,V83*1)&gt;=1),"-",V83*1)</f>
        <v>-</v>
      </c>
      <c r="O83" s="327"/>
      <c r="P83"/>
      <c r="Q83"/>
      <c r="R83"/>
      <c r="S83"/>
      <c r="T83"/>
      <c r="U83"/>
      <c r="V83"/>
      <c r="W83"/>
    </row>
    <row r="84" spans="12:23" hidden="1">
      <c r="L84" s="323" t="str">
        <f t="shared" si="5"/>
        <v/>
      </c>
      <c r="M84" s="323" t="str">
        <f>IF(OR(L84="",COUNTIF($M$4:M83,IF(ISERROR($R84*1),LEFT($R84,2)*1,$R84*1))&gt;=1),"-",IF(ISERROR($R84*1),LEFT($R84,2)*1,$R84*1))</f>
        <v>-</v>
      </c>
      <c r="N84" s="323" t="str">
        <f>IF(OR(L84="",COUNTIF($N$4:N83,V84*1)&gt;=1),"-",V84*1)</f>
        <v>-</v>
      </c>
      <c r="O84" s="327"/>
      <c r="P84"/>
      <c r="Q84"/>
      <c r="R84"/>
      <c r="S84"/>
      <c r="T84"/>
      <c r="U84"/>
      <c r="V84"/>
      <c r="W84"/>
    </row>
    <row r="85" spans="12:23" hidden="1">
      <c r="L85" s="323" t="str">
        <f t="shared" si="5"/>
        <v/>
      </c>
      <c r="M85" s="323" t="str">
        <f>IF(OR(L85="",COUNTIF($M$4:M84,IF(ISERROR($R85*1),LEFT($R85,2)*1,$R85*1))&gt;=1),"-",IF(ISERROR($R85*1),LEFT($R85,2)*1,$R85*1))</f>
        <v>-</v>
      </c>
      <c r="N85" s="323" t="str">
        <f>IF(OR(L85="",COUNTIF($N$4:N84,V85*1)&gt;=1),"-",V85*1)</f>
        <v>-</v>
      </c>
      <c r="O85" s="327"/>
      <c r="P85"/>
      <c r="Q85"/>
      <c r="R85"/>
      <c r="S85"/>
      <c r="T85"/>
      <c r="U85"/>
      <c r="V85"/>
      <c r="W85"/>
    </row>
    <row r="86" spans="12:23" hidden="1">
      <c r="L86" s="323" t="str">
        <f t="shared" si="5"/>
        <v/>
      </c>
      <c r="M86" s="323" t="str">
        <f>IF(OR(L86="",COUNTIF($M$4:M85,IF(ISERROR($R86*1),LEFT($R86,2)*1,$R86*1))&gt;=1),"-",IF(ISERROR($R86*1),LEFT($R86,2)*1,$R86*1))</f>
        <v>-</v>
      </c>
      <c r="N86" s="323" t="str">
        <f>IF(OR(L86="",COUNTIF($N$4:N85,V86*1)&gt;=1),"-",V86*1)</f>
        <v>-</v>
      </c>
      <c r="O86" s="327"/>
      <c r="P86"/>
      <c r="Q86"/>
      <c r="R86"/>
      <c r="S86"/>
      <c r="T86"/>
      <c r="U86"/>
      <c r="V86"/>
      <c r="W86"/>
    </row>
    <row r="87" spans="12:23" hidden="1">
      <c r="L87" s="323" t="str">
        <f t="shared" si="5"/>
        <v/>
      </c>
      <c r="M87" s="323" t="str">
        <f>IF(OR(L87="",COUNTIF($M$4:M86,IF(ISERROR($R87*1),LEFT($R87,2)*1,$R87*1))&gt;=1),"-",IF(ISERROR($R87*1),LEFT($R87,2)*1,$R87*1))</f>
        <v>-</v>
      </c>
      <c r="N87" s="323" t="str">
        <f>IF(OR(L87="",COUNTIF($N$4:N86,V87*1)&gt;=1),"-",V87*1)</f>
        <v>-</v>
      </c>
      <c r="O87" s="327"/>
      <c r="P87"/>
      <c r="Q87"/>
      <c r="R87"/>
      <c r="S87"/>
      <c r="T87"/>
      <c r="U87"/>
      <c r="V87"/>
      <c r="W87"/>
    </row>
    <row r="88" spans="12:23" hidden="1">
      <c r="L88" s="323" t="str">
        <f t="shared" si="5"/>
        <v/>
      </c>
      <c r="M88" s="323" t="str">
        <f>IF(OR(L88="",COUNTIF($M$4:M87,IF(ISERROR($R88*1),LEFT($R88,2)*1,$R88*1))&gt;=1),"-",IF(ISERROR($R88*1),LEFT($R88,2)*1,$R88*1))</f>
        <v>-</v>
      </c>
      <c r="N88" s="323" t="str">
        <f>IF(OR(L88="",COUNTIF($N$4:N87,V88*1)&gt;=1),"-",V88*1)</f>
        <v>-</v>
      </c>
      <c r="O88" s="327"/>
      <c r="P88"/>
      <c r="Q88"/>
      <c r="R88"/>
      <c r="S88"/>
      <c r="T88"/>
      <c r="U88"/>
      <c r="V88"/>
      <c r="W88"/>
    </row>
    <row r="89" spans="12:23" hidden="1">
      <c r="L89" s="323" t="str">
        <f t="shared" si="5"/>
        <v/>
      </c>
      <c r="M89" s="323" t="str">
        <f>IF(OR(L89="",COUNTIF($M$4:M88,IF(ISERROR($R89*1),LEFT($R89,2)*1,$R89*1))&gt;=1),"-",IF(ISERROR($R89*1),LEFT($R89,2)*1,$R89*1))</f>
        <v>-</v>
      </c>
      <c r="N89" s="323" t="str">
        <f>IF(OR(L89="",COUNTIF($N$4:N88,V89*1)&gt;=1),"-",V89*1)</f>
        <v>-</v>
      </c>
      <c r="O89" s="327"/>
      <c r="P89"/>
      <c r="Q89"/>
      <c r="R89"/>
      <c r="S89"/>
      <c r="T89"/>
      <c r="U89"/>
      <c r="V89"/>
      <c r="W89"/>
    </row>
    <row r="90" spans="12:23" hidden="1">
      <c r="L90" s="323" t="str">
        <f t="shared" si="5"/>
        <v/>
      </c>
      <c r="M90" s="323" t="str">
        <f>IF(OR(L90="",COUNTIF($M$4:M89,IF(ISERROR($R90*1),LEFT($R90,2)*1,$R90*1))&gt;=1),"-",IF(ISERROR($R90*1),LEFT($R90,2)*1,$R90*1))</f>
        <v>-</v>
      </c>
      <c r="N90" s="323" t="str">
        <f>IF(OR(L90="",COUNTIF($N$4:N89,V90*1)&gt;=1),"-",V90*1)</f>
        <v>-</v>
      </c>
      <c r="O90" s="327"/>
      <c r="P90"/>
      <c r="Q90"/>
      <c r="R90"/>
      <c r="S90"/>
      <c r="T90"/>
      <c r="U90"/>
      <c r="V90"/>
      <c r="W90"/>
    </row>
    <row r="91" spans="12:23" hidden="1">
      <c r="L91" s="323" t="str">
        <f t="shared" si="5"/>
        <v/>
      </c>
      <c r="M91" s="323" t="str">
        <f>IF(OR(L91="",COUNTIF($M$4:M90,IF(ISERROR($R91*1),LEFT($R91,2)*1,$R91*1))&gt;=1),"-",IF(ISERROR($R91*1),LEFT($R91,2)*1,$R91*1))</f>
        <v>-</v>
      </c>
      <c r="N91" s="323" t="str">
        <f>IF(OR(L91="",COUNTIF($N$4:N90,V91*1)&gt;=1),"-",V91*1)</f>
        <v>-</v>
      </c>
      <c r="O91" s="327"/>
      <c r="P91"/>
      <c r="Q91"/>
      <c r="R91"/>
      <c r="S91"/>
      <c r="T91"/>
      <c r="U91"/>
      <c r="V91"/>
      <c r="W91"/>
    </row>
    <row r="92" spans="12:23" hidden="1">
      <c r="L92" s="323" t="str">
        <f t="shared" si="5"/>
        <v/>
      </c>
      <c r="M92" s="323" t="str">
        <f>IF(OR(L92="",COUNTIF($M$4:M91,IF(ISERROR($R92*1),LEFT($R92,2)*1,$R92*1))&gt;=1),"-",IF(ISERROR($R92*1),LEFT($R92,2)*1,$R92*1))</f>
        <v>-</v>
      </c>
      <c r="N92" s="323" t="str">
        <f>IF(OR(L92="",COUNTIF($N$4:N91,V92*1)&gt;=1),"-",V92*1)</f>
        <v>-</v>
      </c>
      <c r="O92" s="327"/>
      <c r="P92"/>
      <c r="Q92"/>
      <c r="R92"/>
      <c r="S92"/>
      <c r="T92"/>
      <c r="U92"/>
      <c r="V92"/>
      <c r="W92"/>
    </row>
    <row r="93" spans="12:23" hidden="1">
      <c r="L93" s="323" t="str">
        <f t="shared" si="5"/>
        <v/>
      </c>
      <c r="M93" s="323" t="str">
        <f>IF(OR(L93="",COUNTIF($M$4:M92,IF(ISERROR($R93*1),LEFT($R93,2)*1,$R93*1))&gt;=1),"-",IF(ISERROR($R93*1),LEFT($R93,2)*1,$R93*1))</f>
        <v>-</v>
      </c>
      <c r="N93" s="323" t="str">
        <f>IF(OR(L93="",COUNTIF($N$4:N92,V93*1)&gt;=1),"-",V93*1)</f>
        <v>-</v>
      </c>
      <c r="O93" s="327"/>
      <c r="P93"/>
      <c r="Q93"/>
      <c r="R93"/>
      <c r="S93"/>
      <c r="T93"/>
      <c r="U93"/>
      <c r="V93"/>
      <c r="W93"/>
    </row>
    <row r="94" spans="12:23" hidden="1">
      <c r="L94" s="323" t="str">
        <f t="shared" si="5"/>
        <v/>
      </c>
      <c r="M94" s="323" t="str">
        <f>IF(OR(L94="",COUNTIF($M$4:M93,IF(ISERROR($R94*1),LEFT($R94,2)*1,$R94*1))&gt;=1),"-",IF(ISERROR($R94*1),LEFT($R94,2)*1,$R94*1))</f>
        <v>-</v>
      </c>
      <c r="N94" s="323" t="str">
        <f>IF(OR(L94="",COUNTIF($N$4:N93,V94*1)&gt;=1),"-",V94*1)</f>
        <v>-</v>
      </c>
      <c r="O94" s="327"/>
      <c r="P94"/>
      <c r="Q94"/>
      <c r="R94"/>
      <c r="S94"/>
      <c r="T94"/>
      <c r="U94"/>
      <c r="V94"/>
      <c r="W94"/>
    </row>
    <row r="95" spans="12:23" hidden="1">
      <c r="L95" s="323" t="str">
        <f t="shared" si="5"/>
        <v/>
      </c>
      <c r="M95" s="323" t="str">
        <f>IF(OR(L95="",COUNTIF($M$4:M94,IF(ISERROR($R95*1),LEFT($R95,2)*1,$R95*1))&gt;=1),"-",IF(ISERROR($R95*1),LEFT($R95,2)*1,$R95*1))</f>
        <v>-</v>
      </c>
      <c r="N95" s="323" t="str">
        <f>IF(OR(L95="",COUNTIF($N$4:N94,V95*1)&gt;=1),"-",V95*1)</f>
        <v>-</v>
      </c>
      <c r="O95" s="327"/>
      <c r="P95"/>
      <c r="Q95"/>
      <c r="R95"/>
      <c r="S95"/>
      <c r="T95"/>
      <c r="U95"/>
      <c r="V95"/>
      <c r="W95"/>
    </row>
    <row r="96" spans="12:23" hidden="1">
      <c r="L96" s="323" t="str">
        <f t="shared" si="5"/>
        <v/>
      </c>
      <c r="M96" s="323" t="str">
        <f>IF(OR(L96="",COUNTIF($M$4:M95,IF(ISERROR($R96*1),LEFT($R96,2)*1,$R96*1))&gt;=1),"-",IF(ISERROR($R96*1),LEFT($R96,2)*1,$R96*1))</f>
        <v>-</v>
      </c>
      <c r="N96" s="323" t="str">
        <f>IF(OR(L96="",COUNTIF($N$4:N95,V96*1)&gt;=1),"-",V96*1)</f>
        <v>-</v>
      </c>
      <c r="O96" s="327"/>
      <c r="P96"/>
      <c r="Q96"/>
      <c r="R96"/>
      <c r="S96"/>
      <c r="T96"/>
      <c r="U96"/>
      <c r="V96"/>
      <c r="W96"/>
    </row>
    <row r="97" spans="12:23" hidden="1">
      <c r="L97" s="323" t="str">
        <f t="shared" si="5"/>
        <v/>
      </c>
      <c r="M97" s="323" t="str">
        <f>IF(OR(L97="",COUNTIF($M$4:M96,IF(ISERROR($R97*1),LEFT($R97,2)*1,$R97*1))&gt;=1),"-",IF(ISERROR($R97*1),LEFT($R97,2)*1,$R97*1))</f>
        <v>-</v>
      </c>
      <c r="N97" s="323" t="str">
        <f>IF(OR(L97="",COUNTIF($N$4:N96,V97*1)&gt;=1),"-",V97*1)</f>
        <v>-</v>
      </c>
      <c r="O97" s="327"/>
      <c r="P97"/>
      <c r="Q97"/>
      <c r="R97"/>
      <c r="S97"/>
      <c r="T97"/>
      <c r="U97"/>
      <c r="V97"/>
      <c r="W97"/>
    </row>
    <row r="98" spans="12:23" hidden="1">
      <c r="L98" s="323" t="str">
        <f t="shared" si="5"/>
        <v/>
      </c>
      <c r="M98" s="323" t="str">
        <f>IF(OR(L98="",COUNTIF($M$4:M97,IF(ISERROR($R98*1),LEFT($R98,2)*1,$R98*1))&gt;=1),"-",IF(ISERROR($R98*1),LEFT($R98,2)*1,$R98*1))</f>
        <v>-</v>
      </c>
      <c r="N98" s="323" t="str">
        <f>IF(OR(L98="",COUNTIF($N$4:N97,V98*1)&gt;=1),"-",V98*1)</f>
        <v>-</v>
      </c>
      <c r="O98" s="327"/>
      <c r="P98"/>
      <c r="Q98"/>
      <c r="R98"/>
      <c r="S98"/>
      <c r="T98"/>
      <c r="U98"/>
      <c r="V98"/>
      <c r="W98"/>
    </row>
    <row r="99" spans="12:23" hidden="1">
      <c r="L99" s="323" t="str">
        <f t="shared" si="5"/>
        <v/>
      </c>
      <c r="M99" s="323" t="str">
        <f>IF(OR(L99="",COUNTIF($M$4:M98,IF(ISERROR($R99*1),LEFT($R99,2)*1,$R99*1))&gt;=1),"-",IF(ISERROR($R99*1),LEFT($R99,2)*1,$R99*1))</f>
        <v>-</v>
      </c>
      <c r="N99" s="323" t="str">
        <f>IF(OR(L99="",COUNTIF($N$4:N98,V99*1)&gt;=1),"-",V99*1)</f>
        <v>-</v>
      </c>
      <c r="O99" s="327"/>
      <c r="P99"/>
      <c r="Q99"/>
      <c r="R99"/>
      <c r="S99"/>
      <c r="T99"/>
      <c r="U99"/>
      <c r="V99"/>
      <c r="W99"/>
    </row>
    <row r="100" spans="12:23" hidden="1">
      <c r="L100" s="323" t="str">
        <f t="shared" si="5"/>
        <v/>
      </c>
      <c r="M100" s="323" t="str">
        <f>IF(OR(L100="",COUNTIF($M$4:M99,IF(ISERROR($R100*1),LEFT($R100,2)*1,$R100*1))&gt;=1),"-",IF(ISERROR($R100*1),LEFT($R100,2)*1,$R100*1))</f>
        <v>-</v>
      </c>
      <c r="N100" s="323" t="str">
        <f>IF(OR(L100="",COUNTIF($N$4:N99,V100*1)&gt;=1),"-",V100*1)</f>
        <v>-</v>
      </c>
      <c r="O100" s="327"/>
      <c r="P100"/>
      <c r="Q100"/>
      <c r="R100"/>
      <c r="S100"/>
      <c r="T100"/>
      <c r="U100"/>
      <c r="V100"/>
      <c r="W100"/>
    </row>
    <row r="101" spans="12:23" hidden="1">
      <c r="L101" s="323" t="str">
        <f t="shared" si="5"/>
        <v/>
      </c>
      <c r="M101" s="323" t="str">
        <f>IF(OR(L101="",COUNTIF($M$4:M100,IF(ISERROR($R101*1),LEFT($R101,2)*1,$R101*1))&gt;=1),"-",IF(ISERROR($R101*1),LEFT($R101,2)*1,$R101*1))</f>
        <v>-</v>
      </c>
      <c r="N101" s="323" t="str">
        <f>IF(OR(L101="",COUNTIF($N$4:N100,V101*1)&gt;=1),"-",V101*1)</f>
        <v>-</v>
      </c>
      <c r="O101" s="327"/>
      <c r="P101"/>
      <c r="Q101"/>
      <c r="R101"/>
      <c r="S101"/>
      <c r="T101"/>
      <c r="U101"/>
      <c r="V101"/>
      <c r="W101"/>
    </row>
    <row r="102" spans="12:23" hidden="1">
      <c r="L102" s="323" t="str">
        <f t="shared" si="5"/>
        <v/>
      </c>
      <c r="M102" s="323" t="str">
        <f>IF(OR(L102="",COUNTIF($M$4:M101,IF(ISERROR($R102*1),LEFT($R102,2)*1,$R102*1))&gt;=1),"-",IF(ISERROR($R102*1),LEFT($R102,2)*1,$R102*1))</f>
        <v>-</v>
      </c>
      <c r="N102" s="323" t="str">
        <f>IF(OR(L102="",COUNTIF($N$4:N101,V102*1)&gt;=1),"-",V102*1)</f>
        <v>-</v>
      </c>
      <c r="O102" s="327"/>
      <c r="P102"/>
      <c r="Q102"/>
      <c r="R102"/>
      <c r="S102"/>
      <c r="T102"/>
      <c r="U102"/>
      <c r="V102"/>
      <c r="W102"/>
    </row>
    <row r="103" spans="12:23" hidden="1">
      <c r="L103" s="323" t="str">
        <f t="shared" si="5"/>
        <v/>
      </c>
      <c r="M103" s="323" t="str">
        <f>IF(OR(L103="",COUNTIF($M$4:M102,IF(ISERROR($R103*1),LEFT($R103,2)*1,$R103*1))&gt;=1),"-",IF(ISERROR($R103*1),LEFT($R103,2)*1,$R103*1))</f>
        <v>-</v>
      </c>
      <c r="N103" s="323" t="str">
        <f>IF(OR(L103="",COUNTIF($N$4:N102,V103*1)&gt;=1),"-",V103*1)</f>
        <v>-</v>
      </c>
      <c r="O103" s="327"/>
      <c r="P103"/>
      <c r="Q103"/>
      <c r="R103"/>
      <c r="S103"/>
      <c r="T103"/>
      <c r="U103"/>
      <c r="V103"/>
      <c r="W103"/>
    </row>
    <row r="104" spans="12:23" hidden="1">
      <c r="L104" s="323" t="str">
        <f t="shared" si="5"/>
        <v/>
      </c>
      <c r="M104" s="323" t="str">
        <f>IF(OR(L104="",COUNTIF($M$4:M103,IF(ISERROR($R104*1),LEFT($R104,2)*1,$R104*1))&gt;=1),"-",IF(ISERROR($R104*1),LEFT($R104,2)*1,$R104*1))</f>
        <v>-</v>
      </c>
      <c r="N104" s="323" t="str">
        <f>IF(OR(L104="",COUNTIF($N$4:N103,V104*1)&gt;=1),"-",V104*1)</f>
        <v>-</v>
      </c>
      <c r="O104" s="327"/>
      <c r="P104"/>
      <c r="Q104"/>
      <c r="R104"/>
      <c r="S104"/>
      <c r="T104"/>
      <c r="U104"/>
      <c r="V104"/>
      <c r="W104"/>
    </row>
    <row r="105" spans="12:23" hidden="1">
      <c r="L105" s="323" t="str">
        <f t="shared" si="5"/>
        <v/>
      </c>
      <c r="M105" s="323" t="str">
        <f>IF(OR(L105="",COUNTIF($M$4:M104,IF(ISERROR($R105*1),LEFT($R105,2)*1,$R105*1))&gt;=1),"-",IF(ISERROR($R105*1),LEFT($R105,2)*1,$R105*1))</f>
        <v>-</v>
      </c>
      <c r="N105" s="323" t="str">
        <f>IF(OR(L105="",COUNTIF($N$4:N104,V105*1)&gt;=1),"-",V105*1)</f>
        <v>-</v>
      </c>
      <c r="O105" s="327"/>
      <c r="P105"/>
      <c r="Q105"/>
      <c r="R105"/>
      <c r="S105"/>
      <c r="T105"/>
      <c r="U105"/>
      <c r="V105"/>
      <c r="W105"/>
    </row>
    <row r="106" spans="12:23" hidden="1">
      <c r="L106" s="323" t="str">
        <f t="shared" si="5"/>
        <v/>
      </c>
      <c r="M106" s="323" t="str">
        <f>IF(OR(L106="",COUNTIF($M$4:M105,IF(ISERROR($R106*1),LEFT($R106,2)*1,$R106*1))&gt;=1),"-",IF(ISERROR($R106*1),LEFT($R106,2)*1,$R106*1))</f>
        <v>-</v>
      </c>
      <c r="N106" s="323" t="str">
        <f>IF(OR(L106="",COUNTIF($N$4:N105,V106*1)&gt;=1),"-",V106*1)</f>
        <v>-</v>
      </c>
      <c r="O106" s="327"/>
      <c r="P106"/>
      <c r="Q106"/>
      <c r="R106"/>
      <c r="S106"/>
      <c r="T106"/>
      <c r="U106"/>
      <c r="V106"/>
      <c r="W106"/>
    </row>
    <row r="107" spans="12:23" hidden="1">
      <c r="L107" s="323" t="str">
        <f t="shared" si="5"/>
        <v/>
      </c>
      <c r="M107" s="323" t="str">
        <f>IF(OR(L107="",COUNTIF($M$4:M106,IF(ISERROR($R107*1),LEFT($R107,2)*1,$R107*1))&gt;=1),"-",IF(ISERROR($R107*1),LEFT($R107,2)*1,$R107*1))</f>
        <v>-</v>
      </c>
      <c r="N107" s="323" t="str">
        <f>IF(OR(L107="",COUNTIF($N$4:N106,V107*1)&gt;=1),"-",V107*1)</f>
        <v>-</v>
      </c>
      <c r="O107" s="327"/>
      <c r="P107"/>
      <c r="Q107"/>
      <c r="R107"/>
      <c r="S107"/>
      <c r="T107"/>
      <c r="U107"/>
      <c r="V107"/>
      <c r="W107"/>
    </row>
    <row r="108" spans="12:23" hidden="1">
      <c r="L108" s="323" t="str">
        <f t="shared" si="5"/>
        <v/>
      </c>
      <c r="M108" s="323" t="str">
        <f>IF(OR(L108="",COUNTIF($M$4:M107,IF(ISERROR($R108*1),LEFT($R108,2)*1,$R108*1))&gt;=1),"-",IF(ISERROR($R108*1),LEFT($R108,2)*1,$R108*1))</f>
        <v>-</v>
      </c>
      <c r="N108" s="323" t="str">
        <f>IF(OR(L108="",COUNTIF($N$4:N107,V108*1)&gt;=1),"-",V108*1)</f>
        <v>-</v>
      </c>
      <c r="O108" s="327"/>
      <c r="P108"/>
      <c r="Q108"/>
      <c r="R108"/>
      <c r="S108"/>
      <c r="T108"/>
      <c r="U108"/>
      <c r="V108"/>
      <c r="W108"/>
    </row>
    <row r="109" spans="12:23" hidden="1">
      <c r="L109" s="323" t="str">
        <f t="shared" si="5"/>
        <v/>
      </c>
      <c r="M109" s="323" t="str">
        <f>IF(OR(L109="",COUNTIF($M$4:M108,IF(ISERROR($R109*1),LEFT($R109,2)*1,$R109*1))&gt;=1),"-",IF(ISERROR($R109*1),LEFT($R109,2)*1,$R109*1))</f>
        <v>-</v>
      </c>
      <c r="N109" s="323" t="str">
        <f>IF(OR(L109="",COUNTIF($N$4:N108,V109*1)&gt;=1),"-",V109*1)</f>
        <v>-</v>
      </c>
      <c r="O109" s="327"/>
      <c r="P109"/>
      <c r="Q109"/>
      <c r="R109"/>
      <c r="S109"/>
      <c r="T109"/>
      <c r="U109"/>
      <c r="V109"/>
      <c r="W109"/>
    </row>
    <row r="110" spans="12:23" hidden="1">
      <c r="L110" s="323" t="str">
        <f t="shared" si="5"/>
        <v/>
      </c>
      <c r="M110" s="323" t="str">
        <f>IF(OR(L110="",COUNTIF($M$4:M109,IF(ISERROR($R110*1),LEFT($R110,2)*1,$R110*1))&gt;=1),"-",IF(ISERROR($R110*1),LEFT($R110,2)*1,$R110*1))</f>
        <v>-</v>
      </c>
      <c r="N110" s="323" t="str">
        <f>IF(OR(L110="",COUNTIF($N$4:N109,V110*1)&gt;=1),"-",V110*1)</f>
        <v>-</v>
      </c>
      <c r="O110" s="327"/>
      <c r="P110"/>
      <c r="Q110"/>
      <c r="R110"/>
      <c r="S110"/>
      <c r="T110"/>
      <c r="U110"/>
      <c r="V110"/>
      <c r="W110"/>
    </row>
    <row r="111" spans="12:23" hidden="1">
      <c r="L111" s="323" t="str">
        <f t="shared" si="5"/>
        <v/>
      </c>
      <c r="M111" s="323" t="str">
        <f>IF(OR(L111="",COUNTIF($M$4:M110,IF(ISERROR($R111*1),LEFT($R111,2)*1,$R111*1))&gt;=1),"-",IF(ISERROR($R111*1),LEFT($R111,2)*1,$R111*1))</f>
        <v>-</v>
      </c>
      <c r="N111" s="323" t="str">
        <f>IF(OR(L111="",COUNTIF($N$4:N110,V111*1)&gt;=1),"-",V111*1)</f>
        <v>-</v>
      </c>
      <c r="O111" s="327"/>
      <c r="P111"/>
      <c r="Q111"/>
      <c r="R111"/>
      <c r="S111"/>
      <c r="T111"/>
      <c r="U111"/>
      <c r="V111"/>
      <c r="W111"/>
    </row>
    <row r="112" spans="12:23" hidden="1">
      <c r="L112" s="323" t="str">
        <f t="shared" si="5"/>
        <v/>
      </c>
      <c r="M112" s="323" t="str">
        <f>IF(OR(L112="",COUNTIF($M$4:M111,IF(ISERROR($R112*1),LEFT($R112,2)*1,$R112*1))&gt;=1),"-",IF(ISERROR($R112*1),LEFT($R112,2)*1,$R112*1))</f>
        <v>-</v>
      </c>
      <c r="N112" s="323" t="str">
        <f>IF(OR(L112="",COUNTIF($N$4:N111,V112*1)&gt;=1),"-",V112*1)</f>
        <v>-</v>
      </c>
      <c r="O112" s="327"/>
      <c r="P112"/>
      <c r="Q112"/>
      <c r="R112"/>
      <c r="S112"/>
      <c r="T112"/>
      <c r="U112"/>
      <c r="V112"/>
      <c r="W112"/>
    </row>
    <row r="113" spans="12:23" hidden="1">
      <c r="L113" s="323" t="str">
        <f t="shared" si="5"/>
        <v/>
      </c>
      <c r="M113" s="323" t="str">
        <f>IF(OR(L113="",COUNTIF($M$4:M112,IF(ISERROR($R113*1),LEFT($R113,2)*1,$R113*1))&gt;=1),"-",IF(ISERROR($R113*1),LEFT($R113,2)*1,$R113*1))</f>
        <v>-</v>
      </c>
      <c r="N113" s="323" t="str">
        <f>IF(OR(L113="",COUNTIF($N$4:N112,V113*1)&gt;=1),"-",V113*1)</f>
        <v>-</v>
      </c>
      <c r="O113" s="327"/>
      <c r="P113"/>
      <c r="Q113"/>
      <c r="R113"/>
      <c r="S113"/>
      <c r="T113"/>
      <c r="U113"/>
      <c r="V113"/>
      <c r="W113"/>
    </row>
    <row r="114" spans="12:23" hidden="1">
      <c r="L114" s="323" t="str">
        <f t="shared" si="5"/>
        <v/>
      </c>
      <c r="M114" s="323" t="str">
        <f>IF(OR(L114="",COUNTIF($M$4:M113,IF(ISERROR($R114*1),LEFT($R114,2)*1,$R114*1))&gt;=1),"-",IF(ISERROR($R114*1),LEFT($R114,2)*1,$R114*1))</f>
        <v>-</v>
      </c>
      <c r="N114" s="323" t="str">
        <f>IF(OR(L114="",COUNTIF($N$4:N113,V114*1)&gt;=1),"-",V114*1)</f>
        <v>-</v>
      </c>
      <c r="O114" s="327"/>
      <c r="P114"/>
      <c r="Q114"/>
      <c r="R114"/>
      <c r="S114"/>
      <c r="T114"/>
      <c r="U114"/>
      <c r="V114"/>
      <c r="W114"/>
    </row>
    <row r="115" spans="12:23" hidden="1">
      <c r="L115" s="323" t="str">
        <f t="shared" si="5"/>
        <v/>
      </c>
      <c r="M115" s="323" t="str">
        <f>IF(OR(L115="",COUNTIF($M$4:M114,IF(ISERROR($R115*1),LEFT($R115,2)*1,$R115*1))&gt;=1),"-",IF(ISERROR($R115*1),LEFT($R115,2)*1,$R115*1))</f>
        <v>-</v>
      </c>
      <c r="N115" s="323" t="str">
        <f>IF(OR(L115="",COUNTIF($N$4:N114,V115*1)&gt;=1),"-",V115*1)</f>
        <v>-</v>
      </c>
      <c r="O115" s="327"/>
      <c r="P115"/>
      <c r="Q115"/>
      <c r="R115"/>
      <c r="S115"/>
      <c r="T115"/>
      <c r="U115"/>
      <c r="V115"/>
      <c r="W115"/>
    </row>
    <row r="116" spans="12:23" hidden="1">
      <c r="L116" s="323" t="str">
        <f t="shared" si="5"/>
        <v/>
      </c>
      <c r="M116" s="323" t="str">
        <f>IF(OR(L116="",COUNTIF($M$4:M115,IF(ISERROR($R116*1),LEFT($R116,2)*1,$R116*1))&gt;=1),"-",IF(ISERROR($R116*1),LEFT($R116,2)*1,$R116*1))</f>
        <v>-</v>
      </c>
      <c r="N116" s="323" t="str">
        <f>IF(OR(L116="",COUNTIF($N$4:N115,V116*1)&gt;=1),"-",V116*1)</f>
        <v>-</v>
      </c>
      <c r="O116" s="327"/>
      <c r="P116"/>
      <c r="Q116"/>
      <c r="R116"/>
      <c r="S116"/>
      <c r="T116"/>
      <c r="U116"/>
      <c r="V116"/>
      <c r="W116"/>
    </row>
    <row r="117" spans="12:23" hidden="1">
      <c r="L117" s="323" t="str">
        <f t="shared" si="5"/>
        <v/>
      </c>
      <c r="M117" s="323" t="str">
        <f>IF(OR(L117="",COUNTIF($M$4:M116,IF(ISERROR($R117*1),LEFT($R117,2)*1,$R117*1))&gt;=1),"-",IF(ISERROR($R117*1),LEFT($R117,2)*1,$R117*1))</f>
        <v>-</v>
      </c>
      <c r="N117" s="323" t="str">
        <f>IF(OR(L117="",COUNTIF($N$4:N116,V117*1)&gt;=1),"-",V117*1)</f>
        <v>-</v>
      </c>
      <c r="O117" s="327"/>
      <c r="P117"/>
      <c r="Q117"/>
      <c r="R117"/>
      <c r="S117"/>
      <c r="T117"/>
      <c r="U117"/>
      <c r="V117"/>
      <c r="W117"/>
    </row>
    <row r="118" spans="12:23" hidden="1">
      <c r="L118" s="323" t="str">
        <f t="shared" si="5"/>
        <v/>
      </c>
      <c r="M118" s="323" t="str">
        <f>IF(OR(L118="",COUNTIF($M$4:M117,IF(ISERROR($R118*1),LEFT($R118,2)*1,$R118*1))&gt;=1),"-",IF(ISERROR($R118*1),LEFT($R118,2)*1,$R118*1))</f>
        <v>-</v>
      </c>
      <c r="N118" s="323" t="str">
        <f>IF(OR(L118="",COUNTIF($N$4:N117,V118*1)&gt;=1),"-",V118*1)</f>
        <v>-</v>
      </c>
      <c r="O118" s="327"/>
      <c r="P118"/>
      <c r="Q118"/>
      <c r="R118"/>
      <c r="S118"/>
      <c r="T118"/>
      <c r="U118"/>
      <c r="V118"/>
      <c r="W118"/>
    </row>
    <row r="119" spans="12:23" hidden="1">
      <c r="L119" s="323" t="str">
        <f t="shared" si="5"/>
        <v/>
      </c>
      <c r="M119" s="323" t="str">
        <f>IF(OR(L119="",COUNTIF($M$4:M118,IF(ISERROR($R119*1),LEFT($R119,2)*1,$R119*1))&gt;=1),"-",IF(ISERROR($R119*1),LEFT($R119,2)*1,$R119*1))</f>
        <v>-</v>
      </c>
      <c r="N119" s="323" t="str">
        <f>IF(OR(L119="",COUNTIF($N$4:N118,V119*1)&gt;=1),"-",V119*1)</f>
        <v>-</v>
      </c>
      <c r="O119" s="327"/>
      <c r="P119"/>
      <c r="Q119"/>
      <c r="R119"/>
      <c r="S119"/>
      <c r="T119"/>
      <c r="U119"/>
      <c r="V119"/>
      <c r="W119"/>
    </row>
    <row r="120" spans="12:23" hidden="1">
      <c r="L120" s="323" t="str">
        <f t="shared" si="5"/>
        <v/>
      </c>
      <c r="M120" s="323" t="str">
        <f>IF(OR(L120="",COUNTIF($M$4:M119,IF(ISERROR($R120*1),LEFT($R120,2)*1,$R120*1))&gt;=1),"-",IF(ISERROR($R120*1),LEFT($R120,2)*1,$R120*1))</f>
        <v>-</v>
      </c>
      <c r="N120" s="323" t="str">
        <f>IF(OR(L120="",COUNTIF($N$4:N119,V120*1)&gt;=1),"-",V120*1)</f>
        <v>-</v>
      </c>
      <c r="O120" s="327"/>
      <c r="P120"/>
      <c r="Q120"/>
      <c r="R120"/>
      <c r="S120"/>
      <c r="T120"/>
      <c r="U120"/>
      <c r="V120"/>
      <c r="W120"/>
    </row>
    <row r="121" spans="12:23" hidden="1">
      <c r="L121" s="323" t="str">
        <f t="shared" si="5"/>
        <v/>
      </c>
      <c r="M121" s="323" t="str">
        <f>IF(OR(L121="",COUNTIF($M$4:M120,IF(ISERROR($R121*1),LEFT($R121,2)*1,$R121*1))&gt;=1),"-",IF(ISERROR($R121*1),LEFT($R121,2)*1,$R121*1))</f>
        <v>-</v>
      </c>
      <c r="N121" s="323" t="str">
        <f>IF(OR(L121="",COUNTIF($N$4:N120,V121*1)&gt;=1),"-",V121*1)</f>
        <v>-</v>
      </c>
      <c r="O121" s="327"/>
      <c r="P121"/>
      <c r="Q121"/>
      <c r="R121"/>
      <c r="S121"/>
      <c r="T121"/>
      <c r="U121"/>
      <c r="V121"/>
      <c r="W121"/>
    </row>
    <row r="122" spans="12:23" hidden="1">
      <c r="L122" s="323" t="str">
        <f t="shared" si="5"/>
        <v/>
      </c>
      <c r="M122" s="323" t="str">
        <f>IF(OR(L122="",COUNTIF($M$4:M121,IF(ISERROR($R122*1),LEFT($R122,2)*1,$R122*1))&gt;=1),"-",IF(ISERROR($R122*1),LEFT($R122,2)*1,$R122*1))</f>
        <v>-</v>
      </c>
      <c r="N122" s="323" t="str">
        <f>IF(OR(L122="",COUNTIF($N$4:N121,V122*1)&gt;=1),"-",V122*1)</f>
        <v>-</v>
      </c>
      <c r="O122" s="327"/>
      <c r="P122"/>
      <c r="Q122"/>
      <c r="R122"/>
      <c r="S122"/>
      <c r="T122"/>
      <c r="U122"/>
      <c r="V122"/>
      <c r="W122"/>
    </row>
    <row r="123" spans="12:23" hidden="1">
      <c r="L123" s="323" t="str">
        <f t="shared" si="5"/>
        <v/>
      </c>
      <c r="M123" s="323" t="str">
        <f>IF(OR(L123="",COUNTIF($M$4:M122,IF(ISERROR($R123*1),LEFT($R123,2)*1,$R123*1))&gt;=1),"-",IF(ISERROR($R123*1),LEFT($R123,2)*1,$R123*1))</f>
        <v>-</v>
      </c>
      <c r="N123" s="323" t="str">
        <f>IF(OR(L123="",COUNTIF($N$4:N122,V123*1)&gt;=1),"-",V123*1)</f>
        <v>-</v>
      </c>
      <c r="O123" s="327"/>
      <c r="P123"/>
      <c r="Q123"/>
      <c r="R123"/>
      <c r="S123"/>
      <c r="T123"/>
      <c r="U123"/>
      <c r="V123"/>
      <c r="W123"/>
    </row>
    <row r="124" spans="12:23" hidden="1">
      <c r="L124" s="323" t="str">
        <f t="shared" si="5"/>
        <v/>
      </c>
      <c r="M124" s="323" t="str">
        <f>IF(OR(L124="",COUNTIF($M$4:M123,IF(ISERROR($R124*1),LEFT($R124,2)*1,$R124*1))&gt;=1),"-",IF(ISERROR($R124*1),LEFT($R124,2)*1,$R124*1))</f>
        <v>-</v>
      </c>
      <c r="N124" s="323" t="str">
        <f>IF(OR(L124="",COUNTIF($N$4:N123,V124*1)&gt;=1),"-",V124*1)</f>
        <v>-</v>
      </c>
      <c r="O124" s="338"/>
      <c r="P124"/>
      <c r="Q124"/>
      <c r="R124"/>
      <c r="S124"/>
      <c r="T124"/>
      <c r="U124"/>
      <c r="V124"/>
      <c r="W124"/>
    </row>
    <row r="125" spans="12:23" hidden="1">
      <c r="L125" s="323" t="str">
        <f t="shared" si="5"/>
        <v/>
      </c>
      <c r="M125" s="323" t="str">
        <f>IF(OR(L125="",COUNTIF($M$4:M124,IF(ISERROR($R125*1),LEFT($R125,2)*1,$R125*1))&gt;=1),"-",IF(ISERROR($R125*1),LEFT($R125,2)*1,$R125*1))</f>
        <v>-</v>
      </c>
      <c r="N125" s="323" t="str">
        <f>IF(OR(L125="",COUNTIF($N$4:N124,V125*1)&gt;=1),"-",V125*1)</f>
        <v>-</v>
      </c>
      <c r="O125" s="338"/>
      <c r="P125"/>
      <c r="Q125"/>
      <c r="R125"/>
      <c r="S125"/>
      <c r="T125"/>
      <c r="U125"/>
      <c r="V125"/>
      <c r="W125"/>
    </row>
    <row r="126" spans="12:23" hidden="1">
      <c r="L126" s="323" t="str">
        <f t="shared" si="5"/>
        <v/>
      </c>
      <c r="M126" s="323" t="str">
        <f>IF(OR(L126="",COUNTIF($M$4:M125,IF(ISERROR($R126*1),LEFT($R126,2)*1,$R126*1))&gt;=1),"-",IF(ISERROR($R126*1),LEFT($R126,2)*1,$R126*1))</f>
        <v>-</v>
      </c>
      <c r="N126" s="323" t="str">
        <f>IF(OR(L126="",COUNTIF($N$4:N125,V126*1)&gt;=1),"-",V126*1)</f>
        <v>-</v>
      </c>
      <c r="O126" s="338"/>
      <c r="P126"/>
      <c r="Q126"/>
      <c r="R126"/>
      <c r="S126"/>
      <c r="T126"/>
      <c r="U126"/>
      <c r="V126"/>
      <c r="W126"/>
    </row>
    <row r="127" spans="12:23" hidden="1">
      <c r="L127" s="323" t="str">
        <f t="shared" si="5"/>
        <v/>
      </c>
      <c r="M127" s="323" t="str">
        <f>IF(OR(L127="",COUNTIF($M$4:M126,IF(ISERROR($R127*1),LEFT($R127,2)*1,$R127*1))&gt;=1),"-",IF(ISERROR($R127*1),LEFT($R127,2)*1,$R127*1))</f>
        <v>-</v>
      </c>
      <c r="N127" s="323" t="str">
        <f>IF(OR(L127="",COUNTIF($N$4:N126,V127*1)&gt;=1),"-",V127*1)</f>
        <v>-</v>
      </c>
      <c r="O127" s="338"/>
      <c r="P127"/>
      <c r="Q127"/>
      <c r="R127"/>
      <c r="S127"/>
      <c r="T127"/>
      <c r="U127"/>
      <c r="V127"/>
      <c r="W127"/>
    </row>
    <row r="128" spans="12:23" hidden="1">
      <c r="L128" s="323" t="str">
        <f t="shared" si="5"/>
        <v/>
      </c>
      <c r="M128" s="323" t="str">
        <f>IF(OR(L128="",COUNTIF($M$4:M127,IF(ISERROR($R128*1),LEFT($R128,2)*1,$R128*1))&gt;=1),"-",IF(ISERROR($R128*1),LEFT($R128,2)*1,$R128*1))</f>
        <v>-</v>
      </c>
      <c r="N128" s="323" t="str">
        <f>IF(OR(L128="",COUNTIF($N$4:N127,V128*1)&gt;=1),"-",V128*1)</f>
        <v>-</v>
      </c>
      <c r="O128" s="338"/>
      <c r="P128"/>
      <c r="Q128"/>
      <c r="R128"/>
      <c r="S128"/>
      <c r="T128"/>
      <c r="U128"/>
      <c r="V128"/>
      <c r="W128"/>
    </row>
    <row r="129" spans="12:23" hidden="1">
      <c r="L129" s="323" t="str">
        <f t="shared" si="5"/>
        <v/>
      </c>
      <c r="M129" s="323" t="str">
        <f>IF(OR(L129="",COUNTIF($M$4:M128,IF(ISERROR($R129*1),LEFT($R129,2)*1,$R129*1))&gt;=1),"-",IF(ISERROR($R129*1),LEFT($R129,2)*1,$R129*1))</f>
        <v>-</v>
      </c>
      <c r="N129" s="323" t="str">
        <f>IF(OR(L129="",COUNTIF($N$4:N128,V129*1)&gt;=1),"-",V129*1)</f>
        <v>-</v>
      </c>
      <c r="O129" s="338"/>
      <c r="P129"/>
      <c r="Q129"/>
      <c r="R129"/>
      <c r="S129"/>
      <c r="T129"/>
      <c r="U129"/>
      <c r="V129"/>
      <c r="W129"/>
    </row>
    <row r="130" spans="12:23" hidden="1">
      <c r="L130" s="323" t="str">
        <f t="shared" si="5"/>
        <v/>
      </c>
      <c r="M130" s="323" t="str">
        <f>IF(OR(L130="",COUNTIF($M$4:M129,IF(ISERROR($R130*1),LEFT($R130,2)*1,$R130*1))&gt;=1),"-",IF(ISERROR($R130*1),LEFT($R130,2)*1,$R130*1))</f>
        <v>-</v>
      </c>
      <c r="N130" s="323" t="str">
        <f>IF(OR(L130="",COUNTIF($N$4:N129,V130*1)&gt;=1),"-",V130*1)</f>
        <v>-</v>
      </c>
      <c r="O130" s="338"/>
      <c r="P130"/>
      <c r="Q130"/>
      <c r="R130"/>
      <c r="S130"/>
      <c r="T130"/>
      <c r="U130"/>
      <c r="V130"/>
      <c r="W130"/>
    </row>
    <row r="131" spans="12:23" hidden="1">
      <c r="L131" s="323" t="str">
        <f t="shared" si="5"/>
        <v/>
      </c>
      <c r="M131" s="323" t="str">
        <f>IF(OR(L131="",COUNTIF($M$4:M130,IF(ISERROR($R131*1),LEFT($R131,2)*1,$R131*1))&gt;=1),"-",IF(ISERROR($R131*1),LEFT($R131,2)*1,$R131*1))</f>
        <v>-</v>
      </c>
      <c r="N131" s="323" t="str">
        <f>IF(OR(L131="",COUNTIF($N$4:N130,V131*1)&gt;=1),"-",V131*1)</f>
        <v>-</v>
      </c>
      <c r="O131" s="338"/>
      <c r="P131"/>
      <c r="Q131"/>
      <c r="R131"/>
      <c r="S131"/>
      <c r="T131"/>
      <c r="U131"/>
      <c r="V131"/>
      <c r="W131"/>
    </row>
    <row r="132" spans="12:23" hidden="1">
      <c r="L132" s="323" t="str">
        <f t="shared" ref="L132:L195" si="6">IF(P132&lt;&gt;$B$1,"",P132&amp;Q132&amp;R132&amp;V132)</f>
        <v/>
      </c>
      <c r="M132" s="323" t="str">
        <f>IF(OR(L132="",COUNTIF($M$4:M131,IF(ISERROR($R132*1),LEFT($R132,2)*1,$R132*1))&gt;=1),"-",IF(ISERROR($R132*1),LEFT($R132,2)*1,$R132*1))</f>
        <v>-</v>
      </c>
      <c r="N132" s="323" t="str">
        <f>IF(OR(L132="",COUNTIF($N$4:N131,V132*1)&gt;=1),"-",V132*1)</f>
        <v>-</v>
      </c>
      <c r="O132" s="338"/>
      <c r="P132"/>
      <c r="Q132"/>
      <c r="R132"/>
      <c r="S132"/>
      <c r="T132"/>
      <c r="U132"/>
      <c r="V132"/>
      <c r="W132"/>
    </row>
    <row r="133" spans="12:23" hidden="1">
      <c r="L133" s="323" t="str">
        <f t="shared" si="6"/>
        <v/>
      </c>
      <c r="M133" s="323" t="str">
        <f>IF(OR(L133="",COUNTIF($M$4:M132,IF(ISERROR($R133*1),LEFT($R133,2)*1,$R133*1))&gt;=1),"-",IF(ISERROR($R133*1),LEFT($R133,2)*1,$R133*1))</f>
        <v>-</v>
      </c>
      <c r="N133" s="323" t="str">
        <f>IF(OR(L133="",COUNTIF($N$4:N132,V133*1)&gt;=1),"-",V133*1)</f>
        <v>-</v>
      </c>
      <c r="O133" s="338"/>
      <c r="P133"/>
      <c r="Q133"/>
      <c r="R133"/>
      <c r="S133"/>
      <c r="T133"/>
      <c r="U133"/>
      <c r="V133"/>
      <c r="W133"/>
    </row>
    <row r="134" spans="12:23" hidden="1">
      <c r="L134" s="323" t="str">
        <f t="shared" si="6"/>
        <v/>
      </c>
      <c r="M134" s="323" t="str">
        <f>IF(OR(L134="",COUNTIF($M$4:M133,IF(ISERROR($R134*1),LEFT($R134,2)*1,$R134*1))&gt;=1),"-",IF(ISERROR($R134*1),LEFT($R134,2)*1,$R134*1))</f>
        <v>-</v>
      </c>
      <c r="N134" s="323" t="str">
        <f>IF(OR(L134="",COUNTIF($N$4:N133,V134*1)&gt;=1),"-",V134*1)</f>
        <v>-</v>
      </c>
      <c r="O134" s="338"/>
      <c r="P134"/>
      <c r="Q134"/>
      <c r="R134"/>
      <c r="S134"/>
      <c r="T134"/>
      <c r="U134"/>
      <c r="V134"/>
      <c r="W134"/>
    </row>
    <row r="135" spans="12:23" hidden="1">
      <c r="L135" s="323" t="str">
        <f t="shared" si="6"/>
        <v/>
      </c>
      <c r="M135" s="323" t="str">
        <f>IF(OR(L135="",COUNTIF($M$4:M134,IF(ISERROR($R135*1),LEFT($R135,2)*1,$R135*1))&gt;=1),"-",IF(ISERROR($R135*1),LEFT($R135,2)*1,$R135*1))</f>
        <v>-</v>
      </c>
      <c r="N135" s="323" t="str">
        <f>IF(OR(L135="",COUNTIF($N$4:N134,V135*1)&gt;=1),"-",V135*1)</f>
        <v>-</v>
      </c>
      <c r="O135" s="338"/>
      <c r="P135"/>
      <c r="Q135"/>
      <c r="R135"/>
      <c r="S135"/>
      <c r="T135"/>
      <c r="U135"/>
      <c r="V135"/>
      <c r="W135"/>
    </row>
    <row r="136" spans="12:23" hidden="1">
      <c r="L136" s="323" t="str">
        <f t="shared" si="6"/>
        <v/>
      </c>
      <c r="M136" s="323" t="str">
        <f>IF(OR(L136="",COUNTIF($M$4:M135,IF(ISERROR($R136*1),LEFT($R136,2)*1,$R136*1))&gt;=1),"-",IF(ISERROR($R136*1),LEFT($R136,2)*1,$R136*1))</f>
        <v>-</v>
      </c>
      <c r="N136" s="323" t="str">
        <f>IF(OR(L136="",COUNTIF($N$4:N135,V136*1)&gt;=1),"-",V136*1)</f>
        <v>-</v>
      </c>
      <c r="O136" s="338"/>
      <c r="P136"/>
      <c r="Q136"/>
      <c r="R136"/>
      <c r="S136"/>
      <c r="T136"/>
      <c r="U136"/>
      <c r="V136"/>
      <c r="W136"/>
    </row>
    <row r="137" spans="12:23" hidden="1">
      <c r="L137" s="323" t="str">
        <f t="shared" si="6"/>
        <v/>
      </c>
      <c r="M137" s="323" t="str">
        <f>IF(OR(L137="",COUNTIF($M$4:M136,IF(ISERROR($R137*1),LEFT($R137,2)*1,$R137*1))&gt;=1),"-",IF(ISERROR($R137*1),LEFT($R137,2)*1,$R137*1))</f>
        <v>-</v>
      </c>
      <c r="N137" s="323" t="str">
        <f>IF(OR(L137="",COUNTIF($N$4:N136,V137*1)&gt;=1),"-",V137*1)</f>
        <v>-</v>
      </c>
      <c r="O137" s="338"/>
      <c r="P137"/>
      <c r="Q137"/>
      <c r="R137"/>
      <c r="S137"/>
      <c r="T137"/>
      <c r="U137"/>
      <c r="V137"/>
      <c r="W137"/>
    </row>
    <row r="138" spans="12:23" hidden="1">
      <c r="L138" s="323" t="str">
        <f t="shared" si="6"/>
        <v/>
      </c>
      <c r="M138" s="323" t="str">
        <f>IF(OR(L138="",COUNTIF($M$4:M137,IF(ISERROR($R138*1),LEFT($R138,2)*1,$R138*1))&gt;=1),"-",IF(ISERROR($R138*1),LEFT($R138,2)*1,$R138*1))</f>
        <v>-</v>
      </c>
      <c r="N138" s="323" t="str">
        <f>IF(OR(L138="",COUNTIF($N$4:N137,V138*1)&gt;=1),"-",V138*1)</f>
        <v>-</v>
      </c>
      <c r="O138" s="338"/>
      <c r="P138"/>
      <c r="Q138"/>
      <c r="R138"/>
      <c r="S138"/>
      <c r="T138"/>
      <c r="U138"/>
      <c r="V138"/>
      <c r="W138"/>
    </row>
    <row r="139" spans="12:23" hidden="1">
      <c r="L139" s="323" t="str">
        <f t="shared" si="6"/>
        <v/>
      </c>
      <c r="M139" s="323" t="str">
        <f>IF(OR(L139="",COUNTIF($M$4:M138,IF(ISERROR($R139*1),LEFT($R139,2)*1,$R139*1))&gt;=1),"-",IF(ISERROR($R139*1),LEFT($R139,2)*1,$R139*1))</f>
        <v>-</v>
      </c>
      <c r="N139" s="323" t="str">
        <f>IF(OR(L139="",COUNTIF($N$4:N138,V139*1)&gt;=1),"-",V139*1)</f>
        <v>-</v>
      </c>
      <c r="O139" s="338"/>
      <c r="P139"/>
      <c r="Q139"/>
      <c r="R139"/>
      <c r="S139"/>
      <c r="T139"/>
      <c r="U139"/>
      <c r="V139"/>
      <c r="W139"/>
    </row>
    <row r="140" spans="12:23" hidden="1">
      <c r="L140" s="323" t="str">
        <f t="shared" si="6"/>
        <v/>
      </c>
      <c r="M140" s="323" t="str">
        <f>IF(OR(L140="",COUNTIF($M$4:M139,IF(ISERROR($R140*1),LEFT($R140,2)*1,$R140*1))&gt;=1),"-",IF(ISERROR($R140*1),LEFT($R140,2)*1,$R140*1))</f>
        <v>-</v>
      </c>
      <c r="N140" s="323" t="str">
        <f>IF(OR(L140="",COUNTIF($N$4:N139,V140*1)&gt;=1),"-",V140*1)</f>
        <v>-</v>
      </c>
      <c r="O140" s="338"/>
      <c r="P140"/>
      <c r="Q140"/>
      <c r="R140"/>
      <c r="S140"/>
      <c r="T140"/>
      <c r="U140"/>
      <c r="V140"/>
      <c r="W140"/>
    </row>
    <row r="141" spans="12:23" hidden="1">
      <c r="L141" s="323" t="str">
        <f t="shared" si="6"/>
        <v/>
      </c>
      <c r="M141" s="323" t="str">
        <f>IF(OR(L141="",COUNTIF($M$4:M140,IF(ISERROR($R141*1),LEFT($R141,2)*1,$R141*1))&gt;=1),"-",IF(ISERROR($R141*1),LEFT($R141,2)*1,$R141*1))</f>
        <v>-</v>
      </c>
      <c r="N141" s="323" t="str">
        <f>IF(OR(L141="",COUNTIF($N$4:N140,V141*1)&gt;=1),"-",V141*1)</f>
        <v>-</v>
      </c>
      <c r="O141" s="338"/>
      <c r="P141"/>
      <c r="Q141"/>
      <c r="R141"/>
      <c r="S141"/>
      <c r="T141"/>
      <c r="U141"/>
      <c r="V141"/>
      <c r="W141"/>
    </row>
    <row r="142" spans="12:23" hidden="1">
      <c r="L142" s="323" t="str">
        <f t="shared" si="6"/>
        <v/>
      </c>
      <c r="M142" s="323" t="str">
        <f>IF(OR(L142="",COUNTIF($M$4:M141,IF(ISERROR($R142*1),LEFT($R142,2)*1,$R142*1))&gt;=1),"-",IF(ISERROR($R142*1),LEFT($R142,2)*1,$R142*1))</f>
        <v>-</v>
      </c>
      <c r="N142" s="323" t="str">
        <f>IF(OR(L142="",COUNTIF($N$4:N141,V142*1)&gt;=1),"-",V142*1)</f>
        <v>-</v>
      </c>
      <c r="O142" s="338"/>
      <c r="P142"/>
      <c r="Q142"/>
      <c r="R142"/>
      <c r="S142"/>
      <c r="T142"/>
      <c r="U142"/>
      <c r="V142"/>
      <c r="W142"/>
    </row>
    <row r="143" spans="12:23" hidden="1">
      <c r="L143" s="323" t="str">
        <f t="shared" si="6"/>
        <v/>
      </c>
      <c r="M143" s="323" t="str">
        <f>IF(OR(L143="",COUNTIF($M$4:M142,IF(ISERROR($R143*1),LEFT($R143,2)*1,$R143*1))&gt;=1),"-",IF(ISERROR($R143*1),LEFT($R143,2)*1,$R143*1))</f>
        <v>-</v>
      </c>
      <c r="N143" s="323" t="str">
        <f>IF(OR(L143="",COUNTIF($N$4:N142,V143*1)&gt;=1),"-",V143*1)</f>
        <v>-</v>
      </c>
      <c r="O143" s="338"/>
      <c r="P143"/>
      <c r="Q143"/>
      <c r="R143"/>
      <c r="S143"/>
      <c r="T143"/>
      <c r="U143"/>
      <c r="V143"/>
      <c r="W143"/>
    </row>
    <row r="144" spans="12:23" hidden="1">
      <c r="L144" s="323" t="str">
        <f t="shared" si="6"/>
        <v/>
      </c>
      <c r="M144" s="323" t="str">
        <f>IF(OR(L144="",COUNTIF($M$4:M143,IF(ISERROR($R144*1),LEFT($R144,2)*1,$R144*1))&gt;=1),"-",IF(ISERROR($R144*1),LEFT($R144,2)*1,$R144*1))</f>
        <v>-</v>
      </c>
      <c r="N144" s="323" t="str">
        <f>IF(OR(L144="",COUNTIF($N$4:N143,V144*1)&gt;=1),"-",V144*1)</f>
        <v>-</v>
      </c>
      <c r="O144" s="338"/>
      <c r="P144"/>
      <c r="Q144"/>
      <c r="R144"/>
      <c r="S144"/>
      <c r="T144"/>
      <c r="U144"/>
      <c r="V144"/>
      <c r="W144"/>
    </row>
    <row r="145" spans="12:23" hidden="1">
      <c r="L145" s="323" t="str">
        <f t="shared" si="6"/>
        <v/>
      </c>
      <c r="M145" s="323" t="str">
        <f>IF(OR(L145="",COUNTIF($M$4:M144,IF(ISERROR($R145*1),LEFT($R145,2)*1,$R145*1))&gt;=1),"-",IF(ISERROR($R145*1),LEFT($R145,2)*1,$R145*1))</f>
        <v>-</v>
      </c>
      <c r="N145" s="323" t="str">
        <f>IF(OR(L145="",COUNTIF($N$4:N144,V145*1)&gt;=1),"-",V145*1)</f>
        <v>-</v>
      </c>
      <c r="O145" s="338"/>
      <c r="P145"/>
      <c r="Q145"/>
      <c r="R145"/>
      <c r="S145"/>
      <c r="T145"/>
      <c r="U145"/>
      <c r="V145"/>
      <c r="W145"/>
    </row>
    <row r="146" spans="12:23" hidden="1">
      <c r="L146" s="323" t="str">
        <f t="shared" si="6"/>
        <v/>
      </c>
      <c r="M146" s="323" t="str">
        <f>IF(OR(L146="",COUNTIF($M$4:M145,IF(ISERROR($R146*1),LEFT($R146,2)*1,$R146*1))&gt;=1),"-",IF(ISERROR($R146*1),LEFT($R146,2)*1,$R146*1))</f>
        <v>-</v>
      </c>
      <c r="N146" s="323" t="str">
        <f>IF(OR(L146="",COUNTIF($N$4:N145,V146*1)&gt;=1),"-",V146*1)</f>
        <v>-</v>
      </c>
      <c r="O146" s="338"/>
      <c r="P146"/>
      <c r="Q146"/>
      <c r="R146"/>
      <c r="S146"/>
      <c r="T146"/>
      <c r="U146"/>
      <c r="V146"/>
      <c r="W146"/>
    </row>
    <row r="147" spans="12:23" hidden="1">
      <c r="L147" s="323" t="str">
        <f t="shared" si="6"/>
        <v/>
      </c>
      <c r="M147" s="323" t="str">
        <f>IF(OR(L147="",COUNTIF($M$4:M146,IF(ISERROR($R147*1),LEFT($R147,2)*1,$R147*1))&gt;=1),"-",IF(ISERROR($R147*1),LEFT($R147,2)*1,$R147*1))</f>
        <v>-</v>
      </c>
      <c r="N147" s="323" t="str">
        <f>IF(OR(L147="",COUNTIF($N$4:N146,V147*1)&gt;=1),"-",V147*1)</f>
        <v>-</v>
      </c>
      <c r="O147" s="338"/>
      <c r="P147"/>
      <c r="Q147"/>
      <c r="R147"/>
      <c r="S147"/>
      <c r="T147"/>
      <c r="U147"/>
      <c r="V147"/>
      <c r="W147"/>
    </row>
    <row r="148" spans="12:23" hidden="1">
      <c r="L148" s="323" t="str">
        <f t="shared" si="6"/>
        <v/>
      </c>
      <c r="M148" s="323" t="str">
        <f>IF(OR(L148="",COUNTIF($M$4:M147,IF(ISERROR($R148*1),LEFT($R148,2)*1,$R148*1))&gt;=1),"-",IF(ISERROR($R148*1),LEFT($R148,2)*1,$R148*1))</f>
        <v>-</v>
      </c>
      <c r="N148" s="323" t="str">
        <f>IF(OR(L148="",COUNTIF($N$4:N147,V148*1)&gt;=1),"-",V148*1)</f>
        <v>-</v>
      </c>
      <c r="O148" s="338"/>
      <c r="P148"/>
      <c r="Q148"/>
      <c r="R148"/>
      <c r="S148"/>
      <c r="T148"/>
      <c r="U148"/>
      <c r="V148"/>
      <c r="W148"/>
    </row>
    <row r="149" spans="12:23" hidden="1">
      <c r="L149" s="323" t="str">
        <f t="shared" si="6"/>
        <v/>
      </c>
      <c r="M149" s="323" t="str">
        <f>IF(OR(L149="",COUNTIF($M$4:M148,IF(ISERROR($R149*1),LEFT($R149,2)*1,$R149*1))&gt;=1),"-",IF(ISERROR($R149*1),LEFT($R149,2)*1,$R149*1))</f>
        <v>-</v>
      </c>
      <c r="N149" s="323" t="str">
        <f>IF(OR(L149="",COUNTIF($N$4:N148,V149*1)&gt;=1),"-",V149*1)</f>
        <v>-</v>
      </c>
      <c r="O149" s="338"/>
      <c r="P149"/>
      <c r="Q149"/>
      <c r="R149"/>
      <c r="S149"/>
      <c r="T149"/>
      <c r="U149"/>
      <c r="V149"/>
      <c r="W149"/>
    </row>
    <row r="150" spans="12:23" hidden="1">
      <c r="L150" s="323" t="str">
        <f t="shared" si="6"/>
        <v/>
      </c>
      <c r="M150" s="323" t="str">
        <f>IF(OR(L150="",COUNTIF($M$4:M149,IF(ISERROR($R150*1),LEFT($R150,2)*1,$R150*1))&gt;=1),"-",IF(ISERROR($R150*1),LEFT($R150,2)*1,$R150*1))</f>
        <v>-</v>
      </c>
      <c r="N150" s="323" t="str">
        <f>IF(OR(L150="",COUNTIF($N$4:N149,V150*1)&gt;=1),"-",V150*1)</f>
        <v>-</v>
      </c>
      <c r="O150" s="338"/>
      <c r="P150"/>
      <c r="Q150"/>
      <c r="R150"/>
      <c r="S150"/>
      <c r="T150"/>
      <c r="U150"/>
      <c r="V150"/>
      <c r="W150"/>
    </row>
    <row r="151" spans="12:23" hidden="1">
      <c r="L151" s="323" t="str">
        <f t="shared" si="6"/>
        <v/>
      </c>
      <c r="M151" s="323" t="str">
        <f>IF(OR(L151="",COUNTIF($M$4:M150,IF(ISERROR($R151*1),LEFT($R151,2)*1,$R151*1))&gt;=1),"-",IF(ISERROR($R151*1),LEFT($R151,2)*1,$R151*1))</f>
        <v>-</v>
      </c>
      <c r="N151" s="323" t="str">
        <f>IF(OR(L151="",COUNTIF($N$4:N150,V151*1)&gt;=1),"-",V151*1)</f>
        <v>-</v>
      </c>
      <c r="O151" s="338"/>
      <c r="P151"/>
      <c r="Q151"/>
      <c r="R151"/>
      <c r="S151"/>
      <c r="T151"/>
      <c r="U151"/>
      <c r="V151"/>
      <c r="W151"/>
    </row>
    <row r="152" spans="12:23" hidden="1">
      <c r="L152" s="323" t="str">
        <f t="shared" si="6"/>
        <v/>
      </c>
      <c r="M152" s="323" t="str">
        <f>IF(OR(L152="",COUNTIF($M$4:M151,IF(ISERROR($R152*1),LEFT($R152,2)*1,$R152*1))&gt;=1),"-",IF(ISERROR($R152*1),LEFT($R152,2)*1,$R152*1))</f>
        <v>-</v>
      </c>
      <c r="N152" s="323" t="str">
        <f>IF(OR(L152="",COUNTIF($N$4:N151,V152*1)&gt;=1),"-",V152*1)</f>
        <v>-</v>
      </c>
      <c r="O152" s="338"/>
      <c r="P152"/>
      <c r="Q152"/>
      <c r="R152"/>
      <c r="S152"/>
      <c r="T152"/>
      <c r="U152"/>
      <c r="V152"/>
      <c r="W152"/>
    </row>
    <row r="153" spans="12:23" hidden="1">
      <c r="L153" s="323" t="str">
        <f t="shared" si="6"/>
        <v/>
      </c>
      <c r="M153" s="323" t="str">
        <f>IF(OR(L153="",COUNTIF($M$4:M152,IF(ISERROR($R153*1),LEFT($R153,2)*1,$R153*1))&gt;=1),"-",IF(ISERROR($R153*1),LEFT($R153,2)*1,$R153*1))</f>
        <v>-</v>
      </c>
      <c r="N153" s="323" t="str">
        <f>IF(OR(L153="",COUNTIF($N$4:N152,V153*1)&gt;=1),"-",V153*1)</f>
        <v>-</v>
      </c>
      <c r="O153" s="338"/>
      <c r="P153"/>
      <c r="Q153"/>
      <c r="R153"/>
      <c r="S153"/>
      <c r="T153"/>
      <c r="U153"/>
      <c r="V153"/>
      <c r="W153"/>
    </row>
    <row r="154" spans="12:23" hidden="1">
      <c r="L154" s="323" t="str">
        <f t="shared" si="6"/>
        <v/>
      </c>
      <c r="M154" s="323" t="str">
        <f>IF(OR(L154="",COUNTIF($M$4:M153,IF(ISERROR($R154*1),LEFT($R154,2)*1,$R154*1))&gt;=1),"-",IF(ISERROR($R154*1),LEFT($R154,2)*1,$R154*1))</f>
        <v>-</v>
      </c>
      <c r="N154" s="323" t="str">
        <f>IF(OR(L154="",COUNTIF($N$4:N153,V154*1)&gt;=1),"-",V154*1)</f>
        <v>-</v>
      </c>
      <c r="O154" s="338"/>
      <c r="P154"/>
      <c r="Q154"/>
      <c r="R154"/>
      <c r="S154"/>
      <c r="T154"/>
      <c r="U154"/>
      <c r="V154"/>
      <c r="W154"/>
    </row>
    <row r="155" spans="12:23" hidden="1">
      <c r="L155" s="323" t="str">
        <f t="shared" si="6"/>
        <v/>
      </c>
      <c r="M155" s="323" t="str">
        <f>IF(OR(L155="",COUNTIF($M$4:M154,IF(ISERROR($R155*1),LEFT($R155,2)*1,$R155*1))&gt;=1),"-",IF(ISERROR($R155*1),LEFT($R155,2)*1,$R155*1))</f>
        <v>-</v>
      </c>
      <c r="N155" s="323" t="str">
        <f>IF(OR(L155="",COUNTIF($N$4:N154,V155*1)&gt;=1),"-",V155*1)</f>
        <v>-</v>
      </c>
      <c r="O155" s="338"/>
      <c r="P155"/>
      <c r="Q155"/>
      <c r="R155"/>
      <c r="S155"/>
      <c r="T155"/>
      <c r="U155"/>
      <c r="V155"/>
      <c r="W155"/>
    </row>
    <row r="156" spans="12:23" hidden="1">
      <c r="L156" s="323" t="str">
        <f t="shared" si="6"/>
        <v/>
      </c>
      <c r="M156" s="323" t="str">
        <f>IF(OR(L156="",COUNTIF($M$4:M155,IF(ISERROR($R156*1),LEFT($R156,2)*1,$R156*1))&gt;=1),"-",IF(ISERROR($R156*1),LEFT($R156,2)*1,$R156*1))</f>
        <v>-</v>
      </c>
      <c r="N156" s="323" t="str">
        <f>IF(OR(L156="",COUNTIF($N$4:N155,V156*1)&gt;=1),"-",V156*1)</f>
        <v>-</v>
      </c>
      <c r="O156" s="338"/>
      <c r="P156"/>
      <c r="Q156"/>
      <c r="R156"/>
      <c r="S156"/>
      <c r="T156"/>
      <c r="U156"/>
      <c r="V156"/>
      <c r="W156"/>
    </row>
    <row r="157" spans="12:23" hidden="1">
      <c r="L157" s="323" t="str">
        <f t="shared" si="6"/>
        <v/>
      </c>
      <c r="M157" s="323" t="str">
        <f>IF(OR(L157="",COUNTIF($M$4:M156,IF(ISERROR($R157*1),LEFT($R157,2)*1,$R157*1))&gt;=1),"-",IF(ISERROR($R157*1),LEFT($R157,2)*1,$R157*1))</f>
        <v>-</v>
      </c>
      <c r="N157" s="323" t="str">
        <f>IF(OR(L157="",COUNTIF($N$4:N156,V157*1)&gt;=1),"-",V157*1)</f>
        <v>-</v>
      </c>
      <c r="O157" s="338"/>
      <c r="P157"/>
      <c r="Q157"/>
      <c r="R157"/>
      <c r="S157"/>
      <c r="T157"/>
      <c r="U157"/>
      <c r="V157"/>
      <c r="W157"/>
    </row>
    <row r="158" spans="12:23" hidden="1">
      <c r="L158" s="323" t="str">
        <f t="shared" si="6"/>
        <v/>
      </c>
      <c r="M158" s="323" t="str">
        <f>IF(OR(L158="",COUNTIF($M$4:M157,IF(ISERROR($R158*1),LEFT($R158,2)*1,$R158*1))&gt;=1),"-",IF(ISERROR($R158*1),LEFT($R158,2)*1,$R158*1))</f>
        <v>-</v>
      </c>
      <c r="N158" s="323" t="str">
        <f>IF(OR(L158="",COUNTIF($N$4:N157,V158*1)&gt;=1),"-",V158*1)</f>
        <v>-</v>
      </c>
      <c r="O158" s="338"/>
      <c r="P158"/>
      <c r="Q158"/>
      <c r="R158"/>
      <c r="S158"/>
      <c r="T158"/>
      <c r="U158"/>
      <c r="V158"/>
      <c r="W158"/>
    </row>
    <row r="159" spans="12:23" hidden="1">
      <c r="L159" s="323" t="str">
        <f t="shared" si="6"/>
        <v/>
      </c>
      <c r="M159" s="323" t="str">
        <f>IF(OR(L159="",COUNTIF($M$4:M158,IF(ISERROR($R159*1),LEFT($R159,2)*1,$R159*1))&gt;=1),"-",IF(ISERROR($R159*1),LEFT($R159,2)*1,$R159*1))</f>
        <v>-</v>
      </c>
      <c r="N159" s="323" t="str">
        <f>IF(OR(L159="",COUNTIF($N$4:N158,V159*1)&gt;=1),"-",V159*1)</f>
        <v>-</v>
      </c>
      <c r="O159" s="338"/>
      <c r="P159"/>
      <c r="Q159"/>
      <c r="R159"/>
      <c r="S159"/>
      <c r="T159"/>
      <c r="U159"/>
      <c r="V159"/>
      <c r="W159"/>
    </row>
    <row r="160" spans="12:23" hidden="1">
      <c r="L160" s="323" t="str">
        <f t="shared" si="6"/>
        <v/>
      </c>
      <c r="M160" s="323" t="str">
        <f>IF(OR(L160="",COUNTIF($M$4:M159,IF(ISERROR($R160*1),LEFT($R160,2)*1,$R160*1))&gt;=1),"-",IF(ISERROR($R160*1),LEFT($R160,2)*1,$R160*1))</f>
        <v>-</v>
      </c>
      <c r="N160" s="323" t="str">
        <f>IF(OR(L160="",COUNTIF($N$4:N159,V160*1)&gt;=1),"-",V160*1)</f>
        <v>-</v>
      </c>
      <c r="O160" s="338"/>
      <c r="P160"/>
      <c r="Q160"/>
      <c r="R160"/>
      <c r="S160"/>
      <c r="T160"/>
      <c r="U160"/>
      <c r="V160"/>
      <c r="W160"/>
    </row>
    <row r="161" spans="12:23" hidden="1">
      <c r="L161" s="323" t="str">
        <f t="shared" si="6"/>
        <v/>
      </c>
      <c r="M161" s="323" t="str">
        <f>IF(OR(L161="",COUNTIF($M$4:M160,IF(ISERROR($R161*1),LEFT($R161,2)*1,$R161*1))&gt;=1),"-",IF(ISERROR($R161*1),LEFT($R161,2)*1,$R161*1))</f>
        <v>-</v>
      </c>
      <c r="N161" s="323" t="str">
        <f>IF(OR(L161="",COUNTIF($N$4:N160,V161*1)&gt;=1),"-",V161*1)</f>
        <v>-</v>
      </c>
      <c r="O161" s="338"/>
      <c r="P161"/>
      <c r="Q161"/>
      <c r="R161"/>
      <c r="S161"/>
      <c r="T161"/>
      <c r="U161"/>
      <c r="V161"/>
      <c r="W161"/>
    </row>
    <row r="162" spans="12:23" hidden="1">
      <c r="L162" s="323" t="str">
        <f t="shared" si="6"/>
        <v/>
      </c>
      <c r="M162" s="323" t="str">
        <f>IF(OR(L162="",COUNTIF($M$4:M161,IF(ISERROR($R162*1),LEFT($R162,2)*1,$R162*1))&gt;=1),"-",IF(ISERROR($R162*1),LEFT($R162,2)*1,$R162*1))</f>
        <v>-</v>
      </c>
      <c r="N162" s="323" t="str">
        <f>IF(OR(L162="",COUNTIF($N$4:N161,V162*1)&gt;=1),"-",V162*1)</f>
        <v>-</v>
      </c>
      <c r="O162" s="338"/>
      <c r="P162"/>
      <c r="Q162"/>
      <c r="R162"/>
      <c r="S162"/>
      <c r="T162"/>
      <c r="U162"/>
      <c r="V162"/>
      <c r="W162"/>
    </row>
    <row r="163" spans="12:23" hidden="1">
      <c r="L163" s="323" t="str">
        <f t="shared" si="6"/>
        <v/>
      </c>
      <c r="M163" s="323" t="str">
        <f>IF(OR(L163="",COUNTIF($M$4:M162,IF(ISERROR($R163*1),LEFT($R163,2)*1,$R163*1))&gt;=1),"-",IF(ISERROR($R163*1),LEFT($R163,2)*1,$R163*1))</f>
        <v>-</v>
      </c>
      <c r="N163" s="323" t="str">
        <f>IF(OR(L163="",COUNTIF($N$4:N162,V163*1)&gt;=1),"-",V163*1)</f>
        <v>-</v>
      </c>
      <c r="O163" s="338"/>
      <c r="P163"/>
      <c r="Q163"/>
      <c r="R163"/>
      <c r="S163"/>
      <c r="T163"/>
      <c r="U163"/>
      <c r="V163"/>
      <c r="W163"/>
    </row>
    <row r="164" spans="12:23" hidden="1">
      <c r="L164" s="323" t="str">
        <f t="shared" si="6"/>
        <v/>
      </c>
      <c r="M164" s="323" t="str">
        <f>IF(OR(L164="",COUNTIF($M$4:M163,IF(ISERROR($R164*1),LEFT($R164,2)*1,$R164*1))&gt;=1),"-",IF(ISERROR($R164*1),LEFT($R164,2)*1,$R164*1))</f>
        <v>-</v>
      </c>
      <c r="N164" s="323" t="str">
        <f>IF(OR(L164="",COUNTIF($N$4:N163,V164*1)&gt;=1),"-",V164*1)</f>
        <v>-</v>
      </c>
      <c r="O164" s="338"/>
      <c r="P164"/>
      <c r="Q164"/>
      <c r="R164"/>
      <c r="S164"/>
      <c r="T164"/>
      <c r="U164"/>
      <c r="V164"/>
      <c r="W164"/>
    </row>
    <row r="165" spans="12:23" hidden="1">
      <c r="L165" s="323" t="str">
        <f t="shared" si="6"/>
        <v/>
      </c>
      <c r="M165" s="323" t="str">
        <f>IF(OR(L165="",COUNTIF($M$4:M164,IF(ISERROR($R165*1),LEFT($R165,2)*1,$R165*1))&gt;=1),"-",IF(ISERROR($R165*1),LEFT($R165,2)*1,$R165*1))</f>
        <v>-</v>
      </c>
      <c r="N165" s="323" t="str">
        <f>IF(OR(L165="",COUNTIF($N$4:N164,V165*1)&gt;=1),"-",V165*1)</f>
        <v>-</v>
      </c>
      <c r="O165" s="338"/>
      <c r="P165"/>
      <c r="Q165"/>
      <c r="R165"/>
      <c r="S165"/>
      <c r="T165"/>
      <c r="U165"/>
      <c r="V165"/>
      <c r="W165"/>
    </row>
    <row r="166" spans="12:23" hidden="1">
      <c r="L166" s="323" t="str">
        <f t="shared" si="6"/>
        <v/>
      </c>
      <c r="M166" s="323" t="str">
        <f>IF(OR(L166="",COUNTIF($M$4:M165,IF(ISERROR($R166*1),LEFT($R166,2)*1,$R166*1))&gt;=1),"-",IF(ISERROR($R166*1),LEFT($R166,2)*1,$R166*1))</f>
        <v>-</v>
      </c>
      <c r="N166" s="323" t="str">
        <f>IF(OR(L166="",COUNTIF($N$4:N165,V166*1)&gt;=1),"-",V166*1)</f>
        <v>-</v>
      </c>
      <c r="O166" s="338"/>
      <c r="P166"/>
      <c r="Q166"/>
      <c r="R166"/>
      <c r="S166"/>
      <c r="T166"/>
      <c r="U166"/>
      <c r="V166"/>
      <c r="W166"/>
    </row>
    <row r="167" spans="12:23" hidden="1">
      <c r="L167" s="323" t="str">
        <f t="shared" si="6"/>
        <v/>
      </c>
      <c r="M167" s="323" t="str">
        <f>IF(OR(L167="",COUNTIF($M$4:M166,IF(ISERROR($R167*1),LEFT($R167,2)*1,$R167*1))&gt;=1),"-",IF(ISERROR($R167*1),LEFT($R167,2)*1,$R167*1))</f>
        <v>-</v>
      </c>
      <c r="N167" s="323" t="str">
        <f>IF(OR(L167="",COUNTIF($N$4:N166,V167*1)&gt;=1),"-",V167*1)</f>
        <v>-</v>
      </c>
      <c r="O167" s="338"/>
      <c r="P167"/>
      <c r="Q167"/>
      <c r="R167"/>
      <c r="S167"/>
      <c r="T167"/>
      <c r="U167"/>
      <c r="V167"/>
      <c r="W167"/>
    </row>
    <row r="168" spans="12:23" hidden="1">
      <c r="L168" s="323" t="str">
        <f t="shared" si="6"/>
        <v/>
      </c>
      <c r="M168" s="323" t="str">
        <f>IF(OR(L168="",COUNTIF($M$4:M167,IF(ISERROR($R168*1),LEFT($R168,2)*1,$R168*1))&gt;=1),"-",IF(ISERROR($R168*1),LEFT($R168,2)*1,$R168*1))</f>
        <v>-</v>
      </c>
      <c r="N168" s="323" t="str">
        <f>IF(OR(L168="",COUNTIF($N$4:N167,V168*1)&gt;=1),"-",V168*1)</f>
        <v>-</v>
      </c>
      <c r="O168" s="338"/>
      <c r="P168"/>
      <c r="Q168"/>
      <c r="R168"/>
      <c r="S168"/>
      <c r="T168"/>
      <c r="U168"/>
      <c r="V168"/>
      <c r="W168"/>
    </row>
    <row r="169" spans="12:23" hidden="1">
      <c r="L169" s="323" t="str">
        <f t="shared" si="6"/>
        <v/>
      </c>
      <c r="M169" s="323" t="str">
        <f>IF(OR(L169="",COUNTIF($M$4:M168,IF(ISERROR($R169*1),LEFT($R169,2)*1,$R169*1))&gt;=1),"-",IF(ISERROR($R169*1),LEFT($R169,2)*1,$R169*1))</f>
        <v>-</v>
      </c>
      <c r="N169" s="323" t="str">
        <f>IF(OR(L169="",COUNTIF($N$4:N168,V169*1)&gt;=1),"-",V169*1)</f>
        <v>-</v>
      </c>
      <c r="O169" s="338"/>
      <c r="P169"/>
      <c r="Q169"/>
      <c r="R169"/>
      <c r="S169"/>
      <c r="T169"/>
      <c r="U169"/>
      <c r="V169"/>
      <c r="W169"/>
    </row>
    <row r="170" spans="12:23" hidden="1">
      <c r="L170" s="323" t="str">
        <f t="shared" si="6"/>
        <v/>
      </c>
      <c r="M170" s="323" t="str">
        <f>IF(OR(L170="",COUNTIF($M$4:M169,IF(ISERROR($R170*1),LEFT($R170,2)*1,$R170*1))&gt;=1),"-",IF(ISERROR($R170*1),LEFT($R170,2)*1,$R170*1))</f>
        <v>-</v>
      </c>
      <c r="N170" s="323" t="str">
        <f>IF(OR(L170="",COUNTIF($N$4:N169,V170*1)&gt;=1),"-",V170*1)</f>
        <v>-</v>
      </c>
      <c r="O170" s="338"/>
      <c r="P170"/>
      <c r="Q170"/>
      <c r="R170"/>
      <c r="S170"/>
      <c r="T170"/>
      <c r="U170"/>
      <c r="V170"/>
      <c r="W170"/>
    </row>
    <row r="171" spans="12:23" hidden="1">
      <c r="L171" s="323" t="str">
        <f t="shared" si="6"/>
        <v/>
      </c>
      <c r="M171" s="323" t="str">
        <f>IF(OR(L171="",COUNTIF($M$4:M170,IF(ISERROR($R171*1),LEFT($R171,2)*1,$R171*1))&gt;=1),"-",IF(ISERROR($R171*1),LEFT($R171,2)*1,$R171*1))</f>
        <v>-</v>
      </c>
      <c r="N171" s="323" t="str">
        <f>IF(OR(L171="",COUNTIF($N$4:N170,V171*1)&gt;=1),"-",V171*1)</f>
        <v>-</v>
      </c>
      <c r="O171" s="338"/>
      <c r="P171"/>
      <c r="Q171"/>
      <c r="R171"/>
      <c r="S171"/>
      <c r="T171"/>
      <c r="U171"/>
      <c r="V171"/>
      <c r="W171"/>
    </row>
    <row r="172" spans="12:23" hidden="1">
      <c r="L172" s="323" t="str">
        <f t="shared" si="6"/>
        <v/>
      </c>
      <c r="M172" s="323" t="str">
        <f>IF(OR(L172="",COUNTIF($M$4:M171,IF(ISERROR($R172*1),LEFT($R172,2)*1,$R172*1))&gt;=1),"-",IF(ISERROR($R172*1),LEFT($R172,2)*1,$R172*1))</f>
        <v>-</v>
      </c>
      <c r="N172" s="323" t="str">
        <f>IF(OR(L172="",COUNTIF($N$4:N171,V172*1)&gt;=1),"-",V172*1)</f>
        <v>-</v>
      </c>
      <c r="O172" s="338"/>
      <c r="P172"/>
      <c r="Q172"/>
      <c r="R172"/>
      <c r="S172"/>
      <c r="T172"/>
      <c r="U172"/>
      <c r="V172"/>
      <c r="W172"/>
    </row>
    <row r="173" spans="12:23" hidden="1">
      <c r="L173" s="323" t="str">
        <f t="shared" si="6"/>
        <v/>
      </c>
      <c r="M173" s="323" t="str">
        <f>IF(OR(L173="",COUNTIF($M$4:M172,IF(ISERROR($R173*1),LEFT($R173,2)*1,$R173*1))&gt;=1),"-",IF(ISERROR($R173*1),LEFT($R173,2)*1,$R173*1))</f>
        <v>-</v>
      </c>
      <c r="N173" s="323" t="str">
        <f>IF(OR(L173="",COUNTIF($N$4:N172,V173*1)&gt;=1),"-",V173*1)</f>
        <v>-</v>
      </c>
      <c r="O173" s="338"/>
      <c r="P173"/>
      <c r="Q173"/>
      <c r="R173"/>
      <c r="S173"/>
      <c r="T173"/>
      <c r="U173"/>
      <c r="V173"/>
      <c r="W173"/>
    </row>
    <row r="174" spans="12:23" hidden="1">
      <c r="L174" s="323" t="str">
        <f t="shared" si="6"/>
        <v/>
      </c>
      <c r="M174" s="323" t="str">
        <f>IF(OR(L174="",COUNTIF($M$4:M173,IF(ISERROR($R174*1),LEFT($R174,2)*1,$R174*1))&gt;=1),"-",IF(ISERROR($R174*1),LEFT($R174,2)*1,$R174*1))</f>
        <v>-</v>
      </c>
      <c r="N174" s="323" t="str">
        <f>IF(OR(L174="",COUNTIF($N$4:N173,V174*1)&gt;=1),"-",V174*1)</f>
        <v>-</v>
      </c>
      <c r="O174" s="338"/>
      <c r="P174"/>
      <c r="Q174"/>
      <c r="R174"/>
      <c r="S174"/>
      <c r="T174"/>
      <c r="U174"/>
      <c r="V174"/>
      <c r="W174"/>
    </row>
    <row r="175" spans="12:23" hidden="1">
      <c r="L175" s="323" t="str">
        <f t="shared" si="6"/>
        <v/>
      </c>
      <c r="M175" s="323" t="str">
        <f>IF(OR(L175="",COUNTIF($M$4:M174,IF(ISERROR($R175*1),LEFT($R175,2)*1,$R175*1))&gt;=1),"-",IF(ISERROR($R175*1),LEFT($R175,2)*1,$R175*1))</f>
        <v>-</v>
      </c>
      <c r="N175" s="323" t="str">
        <f>IF(OR(L175="",COUNTIF($N$4:N174,V175*1)&gt;=1),"-",V175*1)</f>
        <v>-</v>
      </c>
      <c r="O175" s="338"/>
      <c r="P175"/>
      <c r="Q175"/>
      <c r="R175"/>
      <c r="S175"/>
      <c r="T175"/>
      <c r="U175"/>
      <c r="V175"/>
      <c r="W175"/>
    </row>
    <row r="176" spans="12:23" hidden="1">
      <c r="L176" s="323" t="str">
        <f t="shared" si="6"/>
        <v/>
      </c>
      <c r="M176" s="323" t="str">
        <f>IF(OR(L176="",COUNTIF($M$4:M175,IF(ISERROR($R176*1),LEFT($R176,2)*1,$R176*1))&gt;=1),"-",IF(ISERROR($R176*1),LEFT($R176,2)*1,$R176*1))</f>
        <v>-</v>
      </c>
      <c r="N176" s="323" t="str">
        <f>IF(OR(L176="",COUNTIF($N$4:N175,V176*1)&gt;=1),"-",V176*1)</f>
        <v>-</v>
      </c>
      <c r="O176" s="338"/>
      <c r="P176"/>
      <c r="Q176"/>
      <c r="R176"/>
      <c r="S176"/>
      <c r="T176"/>
      <c r="U176"/>
      <c r="V176"/>
      <c r="W176"/>
    </row>
    <row r="177" spans="12:23" hidden="1">
      <c r="L177" s="323" t="str">
        <f t="shared" si="6"/>
        <v/>
      </c>
      <c r="M177" s="323" t="str">
        <f>IF(OR(L177="",COUNTIF($M$4:M176,IF(ISERROR($R177*1),LEFT($R177,2)*1,$R177*1))&gt;=1),"-",IF(ISERROR($R177*1),LEFT($R177,2)*1,$R177*1))</f>
        <v>-</v>
      </c>
      <c r="N177" s="323" t="str">
        <f>IF(OR(L177="",COUNTIF($N$4:N176,V177*1)&gt;=1),"-",V177*1)</f>
        <v>-</v>
      </c>
      <c r="O177" s="338"/>
      <c r="P177"/>
      <c r="Q177"/>
      <c r="R177"/>
      <c r="S177"/>
      <c r="T177"/>
      <c r="U177"/>
      <c r="V177"/>
      <c r="W177"/>
    </row>
    <row r="178" spans="12:23" hidden="1">
      <c r="L178" s="323" t="str">
        <f t="shared" si="6"/>
        <v/>
      </c>
      <c r="M178" s="323" t="str">
        <f>IF(OR(L178="",COUNTIF($M$4:M177,IF(ISERROR($R178*1),LEFT($R178,2)*1,$R178*1))&gt;=1),"-",IF(ISERROR($R178*1),LEFT($R178,2)*1,$R178*1))</f>
        <v>-</v>
      </c>
      <c r="N178" s="323" t="str">
        <f>IF(OR(L178="",COUNTIF($N$4:N177,V178*1)&gt;=1),"-",V178*1)</f>
        <v>-</v>
      </c>
      <c r="O178" s="338"/>
      <c r="P178"/>
      <c r="Q178"/>
      <c r="R178"/>
      <c r="S178"/>
      <c r="T178"/>
      <c r="U178"/>
      <c r="V178"/>
      <c r="W178"/>
    </row>
    <row r="179" spans="12:23" hidden="1">
      <c r="L179" s="323" t="str">
        <f t="shared" si="6"/>
        <v/>
      </c>
      <c r="M179" s="323" t="str">
        <f>IF(OR(L179="",COUNTIF($M$4:M178,IF(ISERROR($R179*1),LEFT($R179,2)*1,$R179*1))&gt;=1),"-",IF(ISERROR($R179*1),LEFT($R179,2)*1,$R179*1))</f>
        <v>-</v>
      </c>
      <c r="N179" s="323" t="str">
        <f>IF(OR(L179="",COUNTIF($N$4:N178,V179*1)&gt;=1),"-",V179*1)</f>
        <v>-</v>
      </c>
      <c r="O179" s="338"/>
      <c r="P179"/>
      <c r="Q179"/>
      <c r="R179"/>
      <c r="S179"/>
      <c r="T179"/>
      <c r="U179"/>
      <c r="V179"/>
      <c r="W179"/>
    </row>
    <row r="180" spans="12:23" hidden="1">
      <c r="L180" s="323" t="str">
        <f t="shared" si="6"/>
        <v/>
      </c>
      <c r="M180" s="323" t="str">
        <f>IF(OR(L180="",COUNTIF($M$4:M179,IF(ISERROR($R180*1),LEFT($R180,2)*1,$R180*1))&gt;=1),"-",IF(ISERROR($R180*1),LEFT($R180,2)*1,$R180*1))</f>
        <v>-</v>
      </c>
      <c r="N180" s="323" t="str">
        <f>IF(OR(L180="",COUNTIF($N$4:N179,V180*1)&gt;=1),"-",V180*1)</f>
        <v>-</v>
      </c>
      <c r="O180" s="338"/>
      <c r="P180"/>
      <c r="Q180"/>
      <c r="R180"/>
      <c r="S180"/>
      <c r="T180"/>
      <c r="U180"/>
      <c r="V180"/>
      <c r="W180"/>
    </row>
    <row r="181" spans="12:23" hidden="1">
      <c r="L181" s="323" t="str">
        <f t="shared" si="6"/>
        <v/>
      </c>
      <c r="M181" s="323" t="str">
        <f>IF(OR(L181="",COUNTIF($M$4:M180,IF(ISERROR($R181*1),LEFT($R181,2)*1,$R181*1))&gt;=1),"-",IF(ISERROR($R181*1),LEFT($R181,2)*1,$R181*1))</f>
        <v>-</v>
      </c>
      <c r="N181" s="323" t="str">
        <f>IF(OR(L181="",COUNTIF($N$4:N180,V181*1)&gt;=1),"-",V181*1)</f>
        <v>-</v>
      </c>
      <c r="O181" s="338"/>
      <c r="P181"/>
      <c r="Q181"/>
      <c r="R181"/>
      <c r="S181"/>
      <c r="T181"/>
      <c r="U181"/>
      <c r="V181"/>
      <c r="W181"/>
    </row>
    <row r="182" spans="12:23" hidden="1">
      <c r="L182" s="323" t="str">
        <f t="shared" si="6"/>
        <v/>
      </c>
      <c r="M182" s="323" t="str">
        <f>IF(OR(L182="",COUNTIF($M$4:M181,IF(ISERROR($R182*1),LEFT($R182,2)*1,$R182*1))&gt;=1),"-",IF(ISERROR($R182*1),LEFT($R182,2)*1,$R182*1))</f>
        <v>-</v>
      </c>
      <c r="N182" s="323" t="str">
        <f>IF(OR(L182="",COUNTIF($N$4:N181,V182*1)&gt;=1),"-",V182*1)</f>
        <v>-</v>
      </c>
      <c r="O182" s="338"/>
      <c r="P182"/>
      <c r="Q182"/>
      <c r="R182"/>
      <c r="S182"/>
      <c r="T182"/>
      <c r="U182"/>
      <c r="V182"/>
      <c r="W182"/>
    </row>
    <row r="183" spans="12:23" hidden="1">
      <c r="L183" s="323" t="str">
        <f t="shared" si="6"/>
        <v/>
      </c>
      <c r="M183" s="323" t="str">
        <f>IF(OR(L183="",COUNTIF($M$4:M182,IF(ISERROR($R183*1),LEFT($R183,2)*1,$R183*1))&gt;=1),"-",IF(ISERROR($R183*1),LEFT($R183,2)*1,$R183*1))</f>
        <v>-</v>
      </c>
      <c r="N183" s="323" t="str">
        <f>IF(OR(L183="",COUNTIF($N$4:N182,V183*1)&gt;=1),"-",V183*1)</f>
        <v>-</v>
      </c>
      <c r="O183" s="338"/>
      <c r="P183"/>
      <c r="Q183"/>
      <c r="R183"/>
      <c r="S183"/>
      <c r="T183"/>
      <c r="U183"/>
      <c r="V183"/>
      <c r="W183"/>
    </row>
    <row r="184" spans="12:23" hidden="1">
      <c r="L184" s="323" t="str">
        <f t="shared" si="6"/>
        <v/>
      </c>
      <c r="M184" s="323" t="str">
        <f>IF(OR(L184="",COUNTIF($M$4:M183,IF(ISERROR($R184*1),LEFT($R184,2)*1,$R184*1))&gt;=1),"-",IF(ISERROR($R184*1),LEFT($R184,2)*1,$R184*1))</f>
        <v>-</v>
      </c>
      <c r="N184" s="323" t="str">
        <f>IF(OR(L184="",COUNTIF($N$4:N183,V184*1)&gt;=1),"-",V184*1)</f>
        <v>-</v>
      </c>
      <c r="O184" s="338"/>
      <c r="P184"/>
      <c r="Q184"/>
      <c r="R184"/>
      <c r="S184"/>
      <c r="T184"/>
      <c r="U184"/>
      <c r="V184"/>
      <c r="W184"/>
    </row>
    <row r="185" spans="12:23" hidden="1">
      <c r="L185" s="323" t="str">
        <f t="shared" si="6"/>
        <v/>
      </c>
      <c r="M185" s="323" t="str">
        <f>IF(OR(L185="",COUNTIF($M$4:M184,IF(ISERROR($R185*1),LEFT($R185,2)*1,$R185*1))&gt;=1),"-",IF(ISERROR($R185*1),LEFT($R185,2)*1,$R185*1))</f>
        <v>-</v>
      </c>
      <c r="N185" s="323" t="str">
        <f>IF(OR(L185="",COUNTIF($N$4:N184,V185*1)&gt;=1),"-",V185*1)</f>
        <v>-</v>
      </c>
      <c r="O185" s="338"/>
      <c r="P185"/>
      <c r="Q185"/>
      <c r="R185"/>
      <c r="S185"/>
      <c r="T185"/>
      <c r="U185"/>
      <c r="V185"/>
      <c r="W185"/>
    </row>
    <row r="186" spans="12:23" hidden="1">
      <c r="L186" s="323" t="str">
        <f t="shared" si="6"/>
        <v/>
      </c>
      <c r="M186" s="323" t="str">
        <f>IF(OR(L186="",COUNTIF($M$4:M185,IF(ISERROR($R186*1),LEFT($R186,2)*1,$R186*1))&gt;=1),"-",IF(ISERROR($R186*1),LEFT($R186,2)*1,$R186*1))</f>
        <v>-</v>
      </c>
      <c r="N186" s="323" t="str">
        <f>IF(OR(L186="",COUNTIF($N$4:N185,V186*1)&gt;=1),"-",V186*1)</f>
        <v>-</v>
      </c>
      <c r="O186" s="338"/>
      <c r="P186"/>
      <c r="Q186"/>
      <c r="R186"/>
      <c r="S186"/>
      <c r="T186"/>
      <c r="U186"/>
      <c r="V186"/>
      <c r="W186"/>
    </row>
    <row r="187" spans="12:23" hidden="1">
      <c r="L187" s="323" t="str">
        <f t="shared" si="6"/>
        <v/>
      </c>
      <c r="M187" s="323" t="str">
        <f>IF(OR(L187="",COUNTIF($M$4:M186,IF(ISERROR($R187*1),LEFT($R187,2)*1,$R187*1))&gt;=1),"-",IF(ISERROR($R187*1),LEFT($R187,2)*1,$R187*1))</f>
        <v>-</v>
      </c>
      <c r="N187" s="323" t="str">
        <f>IF(OR(L187="",COUNTIF($N$4:N186,V187*1)&gt;=1),"-",V187*1)</f>
        <v>-</v>
      </c>
      <c r="O187" s="338"/>
      <c r="P187"/>
      <c r="Q187"/>
      <c r="R187"/>
      <c r="S187"/>
      <c r="T187"/>
      <c r="U187"/>
      <c r="V187"/>
      <c r="W187"/>
    </row>
    <row r="188" spans="12:23" hidden="1">
      <c r="L188" s="323" t="str">
        <f t="shared" si="6"/>
        <v/>
      </c>
      <c r="M188" s="323" t="str">
        <f>IF(OR(L188="",COUNTIF($M$4:M187,IF(ISERROR($R188*1),LEFT($R188,2)*1,$R188*1))&gt;=1),"-",IF(ISERROR($R188*1),LEFT($R188,2)*1,$R188*1))</f>
        <v>-</v>
      </c>
      <c r="N188" s="323" t="str">
        <f>IF(OR(L188="",COUNTIF($N$4:N187,V188*1)&gt;=1),"-",V188*1)</f>
        <v>-</v>
      </c>
      <c r="O188" s="338"/>
      <c r="P188"/>
      <c r="Q188"/>
      <c r="R188"/>
      <c r="S188"/>
      <c r="T188"/>
      <c r="U188"/>
      <c r="V188"/>
      <c r="W188"/>
    </row>
    <row r="189" spans="12:23" hidden="1">
      <c r="L189" s="323" t="str">
        <f t="shared" si="6"/>
        <v/>
      </c>
      <c r="M189" s="323" t="str">
        <f>IF(OR(L189="",COUNTIF($M$4:M188,IF(ISERROR($R189*1),LEFT($R189,2)*1,$R189*1))&gt;=1),"-",IF(ISERROR($R189*1),LEFT($R189,2)*1,$R189*1))</f>
        <v>-</v>
      </c>
      <c r="N189" s="323" t="str">
        <f>IF(OR(L189="",COUNTIF($N$4:N188,V189*1)&gt;=1),"-",V189*1)</f>
        <v>-</v>
      </c>
      <c r="O189" s="338"/>
      <c r="P189"/>
      <c r="Q189"/>
      <c r="R189"/>
      <c r="S189"/>
      <c r="T189"/>
      <c r="U189"/>
      <c r="V189"/>
      <c r="W189"/>
    </row>
    <row r="190" spans="12:23" hidden="1">
      <c r="L190" s="323" t="str">
        <f t="shared" si="6"/>
        <v/>
      </c>
      <c r="M190" s="323" t="str">
        <f>IF(OR(L190="",COUNTIF($M$4:M189,IF(ISERROR($R190*1),LEFT($R190,2)*1,$R190*1))&gt;=1),"-",IF(ISERROR($R190*1),LEFT($R190,2)*1,$R190*1))</f>
        <v>-</v>
      </c>
      <c r="N190" s="323" t="str">
        <f>IF(OR(L190="",COUNTIF($N$4:N189,V190*1)&gt;=1),"-",V190*1)</f>
        <v>-</v>
      </c>
      <c r="O190" s="338"/>
      <c r="P190"/>
      <c r="Q190"/>
      <c r="R190"/>
      <c r="S190"/>
      <c r="T190"/>
      <c r="U190"/>
      <c r="V190"/>
      <c r="W190"/>
    </row>
    <row r="191" spans="12:23" hidden="1">
      <c r="L191" s="323" t="str">
        <f t="shared" si="6"/>
        <v/>
      </c>
      <c r="M191" s="323" t="str">
        <f>IF(OR(L191="",COUNTIF($M$4:M190,IF(ISERROR($R191*1),LEFT($R191,2)*1,$R191*1))&gt;=1),"-",IF(ISERROR($R191*1),LEFT($R191,2)*1,$R191*1))</f>
        <v>-</v>
      </c>
      <c r="N191" s="323" t="str">
        <f>IF(OR(L191="",COUNTIF($N$4:N190,V191*1)&gt;=1),"-",V191*1)</f>
        <v>-</v>
      </c>
      <c r="O191" s="338"/>
      <c r="P191"/>
      <c r="Q191"/>
      <c r="R191"/>
      <c r="S191"/>
      <c r="T191"/>
      <c r="U191"/>
      <c r="V191"/>
      <c r="W191"/>
    </row>
    <row r="192" spans="12:23" hidden="1">
      <c r="L192" s="323" t="str">
        <f t="shared" si="6"/>
        <v/>
      </c>
      <c r="M192" s="323" t="str">
        <f>IF(OR(L192="",COUNTIF($M$4:M191,IF(ISERROR($R192*1),LEFT($R192,2)*1,$R192*1))&gt;=1),"-",IF(ISERROR($R192*1),LEFT($R192,2)*1,$R192*1))</f>
        <v>-</v>
      </c>
      <c r="N192" s="323" t="str">
        <f>IF(OR(L192="",COUNTIF($N$4:N191,V192*1)&gt;=1),"-",V192*1)</f>
        <v>-</v>
      </c>
      <c r="O192" s="338"/>
      <c r="P192"/>
      <c r="Q192"/>
      <c r="R192"/>
      <c r="S192"/>
      <c r="T192"/>
      <c r="U192"/>
      <c r="V192"/>
      <c r="W192"/>
    </row>
    <row r="193" spans="12:23" hidden="1">
      <c r="L193" s="323" t="str">
        <f t="shared" si="6"/>
        <v/>
      </c>
      <c r="M193" s="323" t="str">
        <f>IF(OR(L193="",COUNTIF($M$4:M192,IF(ISERROR($R193*1),LEFT($R193,2)*1,$R193*1))&gt;=1),"-",IF(ISERROR($R193*1),LEFT($R193,2)*1,$R193*1))</f>
        <v>-</v>
      </c>
      <c r="N193" s="323" t="str">
        <f>IF(OR(L193="",COUNTIF($N$4:N192,V193*1)&gt;=1),"-",V193*1)</f>
        <v>-</v>
      </c>
      <c r="O193" s="338"/>
      <c r="P193"/>
      <c r="Q193"/>
      <c r="R193"/>
      <c r="S193"/>
      <c r="T193"/>
      <c r="U193"/>
      <c r="V193"/>
      <c r="W193"/>
    </row>
    <row r="194" spans="12:23" hidden="1">
      <c r="L194" s="323" t="str">
        <f t="shared" si="6"/>
        <v/>
      </c>
      <c r="M194" s="323" t="str">
        <f>IF(OR(L194="",COUNTIF($M$4:M193,IF(ISERROR($R194*1),LEFT($R194,2)*1,$R194*1))&gt;=1),"-",IF(ISERROR($R194*1),LEFT($R194,2)*1,$R194*1))</f>
        <v>-</v>
      </c>
      <c r="N194" s="323" t="str">
        <f>IF(OR(L194="",COUNTIF($N$4:N193,V194*1)&gt;=1),"-",V194*1)</f>
        <v>-</v>
      </c>
      <c r="O194" s="338"/>
      <c r="P194"/>
      <c r="Q194"/>
      <c r="R194"/>
      <c r="S194"/>
      <c r="T194"/>
      <c r="U194"/>
      <c r="V194"/>
      <c r="W194"/>
    </row>
    <row r="195" spans="12:23" hidden="1">
      <c r="L195" s="323" t="str">
        <f t="shared" si="6"/>
        <v/>
      </c>
      <c r="M195" s="323" t="str">
        <f>IF(OR(L195="",COUNTIF($M$4:M194,IF(ISERROR($R195*1),LEFT($R195,2)*1,$R195*1))&gt;=1),"-",IF(ISERROR($R195*1),LEFT($R195,2)*1,$R195*1))</f>
        <v>-</v>
      </c>
      <c r="N195" s="323" t="str">
        <f>IF(OR(L195="",COUNTIF($N$4:N194,V195*1)&gt;=1),"-",V195*1)</f>
        <v>-</v>
      </c>
      <c r="O195" s="338"/>
      <c r="P195"/>
      <c r="Q195"/>
      <c r="R195"/>
      <c r="S195"/>
      <c r="T195"/>
      <c r="U195"/>
      <c r="V195"/>
      <c r="W195"/>
    </row>
    <row r="196" spans="12:23" hidden="1">
      <c r="L196" s="323" t="str">
        <f t="shared" ref="L196:L259" si="7">IF(P196&lt;&gt;$B$1,"",P196&amp;Q196&amp;R196&amp;V196)</f>
        <v/>
      </c>
      <c r="M196" s="323" t="str">
        <f>IF(OR(L196="",COUNTIF($M$4:M195,IF(ISERROR($R196*1),LEFT($R196,2)*1,$R196*1))&gt;=1),"-",IF(ISERROR($R196*1),LEFT($R196,2)*1,$R196*1))</f>
        <v>-</v>
      </c>
      <c r="N196" s="323" t="str">
        <f>IF(OR(L196="",COUNTIF($N$4:N195,V196*1)&gt;=1),"-",V196*1)</f>
        <v>-</v>
      </c>
      <c r="O196" s="338"/>
      <c r="P196" s="338"/>
      <c r="Q196" s="338"/>
      <c r="R196" s="338"/>
      <c r="S196" s="339"/>
      <c r="T196" s="340"/>
      <c r="U196" s="341"/>
      <c r="V196" s="339"/>
      <c r="W196" s="338"/>
    </row>
    <row r="197" spans="12:23" hidden="1">
      <c r="L197" s="323" t="str">
        <f t="shared" si="7"/>
        <v/>
      </c>
      <c r="M197" s="323" t="str">
        <f>IF(OR(L197="",COUNTIF($M$4:M196,IF(ISERROR($R197*1),LEFT($R197,2)*1,$R197*1))&gt;=1),"-",IF(ISERROR($R197*1),LEFT($R197,2)*1,$R197*1))</f>
        <v>-</v>
      </c>
      <c r="N197" s="323" t="str">
        <f>IF(OR(L197="",COUNTIF($N$4:N196,V197*1)&gt;=1),"-",V197*1)</f>
        <v>-</v>
      </c>
      <c r="O197" s="338"/>
      <c r="P197" s="338"/>
      <c r="Q197" s="338"/>
      <c r="R197" s="338"/>
      <c r="S197" s="339"/>
      <c r="T197" s="340"/>
      <c r="U197" s="341"/>
      <c r="V197" s="339"/>
      <c r="W197" s="338"/>
    </row>
    <row r="198" spans="12:23" hidden="1">
      <c r="L198" s="323" t="str">
        <f t="shared" si="7"/>
        <v/>
      </c>
      <c r="M198" s="323" t="str">
        <f>IF(OR(L198="",COUNTIF($M$4:M197,IF(ISERROR($R198*1),LEFT($R198,2)*1,$R198*1))&gt;=1),"-",IF(ISERROR($R198*1),LEFT($R198,2)*1,$R198*1))</f>
        <v>-</v>
      </c>
      <c r="N198" s="323" t="str">
        <f>IF(OR(L198="",COUNTIF($N$4:N197,V198*1)&gt;=1),"-",V198*1)</f>
        <v>-</v>
      </c>
      <c r="O198" s="338"/>
      <c r="P198" s="338"/>
      <c r="Q198" s="338"/>
      <c r="R198" s="338"/>
      <c r="S198" s="339"/>
      <c r="T198" s="340"/>
      <c r="U198" s="341"/>
      <c r="V198" s="339"/>
      <c r="W198" s="338"/>
    </row>
    <row r="199" spans="12:23" hidden="1">
      <c r="L199" s="323" t="str">
        <f t="shared" si="7"/>
        <v/>
      </c>
      <c r="M199" s="323" t="str">
        <f>IF(OR(L199="",COUNTIF($M$4:M198,IF(ISERROR($R199*1),LEFT($R199,2)*1,$R199*1))&gt;=1),"-",IF(ISERROR($R199*1),LEFT($R199,2)*1,$R199*1))</f>
        <v>-</v>
      </c>
      <c r="N199" s="323" t="str">
        <f>IF(OR(L199="",COUNTIF($N$4:N198,V199*1)&gt;=1),"-",V199*1)</f>
        <v>-</v>
      </c>
      <c r="O199" s="338"/>
      <c r="P199" s="338"/>
      <c r="Q199" s="338"/>
      <c r="R199" s="338"/>
      <c r="S199" s="339"/>
      <c r="T199" s="340"/>
      <c r="U199" s="341"/>
      <c r="V199" s="339"/>
      <c r="W199" s="338"/>
    </row>
    <row r="200" spans="12:23" hidden="1">
      <c r="L200" s="323" t="str">
        <f t="shared" si="7"/>
        <v/>
      </c>
      <c r="M200" s="323" t="str">
        <f>IF(OR(L200="",COUNTIF($M$4:M199,IF(ISERROR($R200*1),LEFT($R200,2)*1,$R200*1))&gt;=1),"-",IF(ISERROR($R200*1),LEFT($R200,2)*1,$R200*1))</f>
        <v>-</v>
      </c>
      <c r="N200" s="323" t="str">
        <f>IF(OR(L200="",COUNTIF($N$4:N199,V200*1)&gt;=1),"-",V200*1)</f>
        <v>-</v>
      </c>
      <c r="O200" s="338"/>
      <c r="P200" s="338"/>
      <c r="Q200" s="338"/>
      <c r="R200" s="338"/>
      <c r="S200" s="339"/>
      <c r="T200" s="340"/>
      <c r="U200" s="341"/>
      <c r="V200" s="339"/>
      <c r="W200" s="338"/>
    </row>
    <row r="201" spans="12:23" hidden="1">
      <c r="L201" s="323" t="str">
        <f t="shared" si="7"/>
        <v/>
      </c>
      <c r="M201" s="323" t="str">
        <f>IF(OR(L201="",COUNTIF($M$4:M200,IF(ISERROR($R201*1),LEFT($R201,2)*1,$R201*1))&gt;=1),"-",IF(ISERROR($R201*1),LEFT($R201,2)*1,$R201*1))</f>
        <v>-</v>
      </c>
      <c r="N201" s="323" t="str">
        <f>IF(OR(L201="",COUNTIF($N$4:N200,V201*1)&gt;=1),"-",V201*1)</f>
        <v>-</v>
      </c>
      <c r="O201" s="338"/>
      <c r="P201" s="338"/>
      <c r="Q201" s="338"/>
      <c r="R201" s="338"/>
      <c r="S201" s="339"/>
      <c r="T201" s="340"/>
      <c r="U201" s="341"/>
      <c r="V201" s="339"/>
      <c r="W201" s="338"/>
    </row>
    <row r="202" spans="12:23" hidden="1">
      <c r="L202" s="323" t="str">
        <f t="shared" si="7"/>
        <v/>
      </c>
      <c r="M202" s="323" t="str">
        <f>IF(OR(L202="",COUNTIF($M$4:M201,IF(ISERROR($R202*1),LEFT($R202,2)*1,$R202*1))&gt;=1),"-",IF(ISERROR($R202*1),LEFT($R202,2)*1,$R202*1))</f>
        <v>-</v>
      </c>
      <c r="N202" s="323" t="str">
        <f>IF(OR(L202="",COUNTIF($N$4:N201,V202*1)&gt;=1),"-",V202*1)</f>
        <v>-</v>
      </c>
      <c r="O202" s="338"/>
      <c r="P202" s="338"/>
      <c r="Q202" s="338"/>
      <c r="R202" s="338"/>
      <c r="S202" s="339"/>
      <c r="T202" s="340"/>
      <c r="U202" s="341"/>
      <c r="V202" s="339"/>
      <c r="W202" s="338"/>
    </row>
    <row r="203" spans="12:23" hidden="1">
      <c r="L203" s="323" t="str">
        <f t="shared" si="7"/>
        <v/>
      </c>
      <c r="M203" s="323" t="str">
        <f>IF(OR(L203="",COUNTIF($M$4:M202,IF(ISERROR($R203*1),LEFT($R203,2)*1,$R203*1))&gt;=1),"-",IF(ISERROR($R203*1),LEFT($R203,2)*1,$R203*1))</f>
        <v>-</v>
      </c>
      <c r="N203" s="323" t="str">
        <f>IF(OR(L203="",COUNTIF($N$4:N202,V203*1)&gt;=1),"-",V203*1)</f>
        <v>-</v>
      </c>
      <c r="O203" s="338"/>
      <c r="P203" s="338"/>
      <c r="Q203" s="338"/>
      <c r="R203" s="338"/>
      <c r="S203" s="339"/>
      <c r="T203" s="340"/>
      <c r="U203" s="341"/>
      <c r="V203" s="339"/>
      <c r="W203" s="338"/>
    </row>
    <row r="204" spans="12:23" hidden="1">
      <c r="L204" s="323" t="str">
        <f t="shared" si="7"/>
        <v/>
      </c>
      <c r="M204" s="323" t="str">
        <f>IF(OR(L204="",COUNTIF($M$4:M203,IF(ISERROR($R204*1),LEFT($R204,2)*1,$R204*1))&gt;=1),"-",IF(ISERROR($R204*1),LEFT($R204,2)*1,$R204*1))</f>
        <v>-</v>
      </c>
      <c r="N204" s="323" t="str">
        <f>IF(OR(L204="",COUNTIF($N$4:N203,V204*1)&gt;=1),"-",V204*1)</f>
        <v>-</v>
      </c>
      <c r="O204" s="338"/>
      <c r="P204" s="338"/>
      <c r="Q204" s="338"/>
      <c r="R204" s="338"/>
      <c r="S204" s="339"/>
      <c r="T204" s="340"/>
      <c r="U204" s="341"/>
      <c r="V204" s="339"/>
      <c r="W204" s="338"/>
    </row>
    <row r="205" spans="12:23" hidden="1">
      <c r="L205" s="323" t="str">
        <f t="shared" si="7"/>
        <v/>
      </c>
      <c r="M205" s="323" t="str">
        <f>IF(OR(L205="",COUNTIF($M$4:M204,IF(ISERROR($R205*1),LEFT($R205,2)*1,$R205*1))&gt;=1),"-",IF(ISERROR($R205*1),LEFT($R205,2)*1,$R205*1))</f>
        <v>-</v>
      </c>
      <c r="N205" s="323" t="str">
        <f>IF(OR(L205="",COUNTIF($N$4:N204,V205*1)&gt;=1),"-",V205*1)</f>
        <v>-</v>
      </c>
      <c r="O205" s="338"/>
      <c r="P205" s="338"/>
      <c r="Q205" s="338"/>
      <c r="R205" s="338"/>
      <c r="S205" s="339"/>
      <c r="T205" s="340"/>
      <c r="U205" s="341"/>
      <c r="V205" s="339"/>
      <c r="W205" s="338"/>
    </row>
    <row r="206" spans="12:23" hidden="1">
      <c r="L206" s="323" t="str">
        <f t="shared" si="7"/>
        <v/>
      </c>
      <c r="M206" s="323" t="str">
        <f>IF(OR(L206="",COUNTIF($M$4:M205,IF(ISERROR($R206*1),LEFT($R206,2)*1,$R206*1))&gt;=1),"-",IF(ISERROR($R206*1),LEFT($R206,2)*1,$R206*1))</f>
        <v>-</v>
      </c>
      <c r="N206" s="323" t="str">
        <f>IF(OR(L206="",COUNTIF($N$4:N205,V206*1)&gt;=1),"-",V206*1)</f>
        <v>-</v>
      </c>
      <c r="O206" s="338"/>
      <c r="P206" s="338"/>
      <c r="Q206" s="338"/>
      <c r="R206" s="338"/>
      <c r="S206" s="339"/>
      <c r="T206" s="340"/>
      <c r="U206" s="341"/>
      <c r="V206" s="339"/>
      <c r="W206" s="338"/>
    </row>
    <row r="207" spans="12:23" hidden="1">
      <c r="L207" s="323" t="str">
        <f t="shared" si="7"/>
        <v/>
      </c>
      <c r="M207" s="323" t="str">
        <f>IF(OR(L207="",COUNTIF($M$4:M206,IF(ISERROR($R207*1),LEFT($R207,2)*1,$R207*1))&gt;=1),"-",IF(ISERROR($R207*1),LEFT($R207,2)*1,$R207*1))</f>
        <v>-</v>
      </c>
      <c r="N207" s="323" t="str">
        <f>IF(OR(L207="",COUNTIF($N$4:N206,V207*1)&gt;=1),"-",V207*1)</f>
        <v>-</v>
      </c>
      <c r="O207" s="338"/>
      <c r="P207" s="338"/>
      <c r="Q207" s="338"/>
      <c r="R207" s="338"/>
      <c r="S207" s="339"/>
      <c r="T207" s="340"/>
      <c r="U207" s="341"/>
      <c r="V207" s="339"/>
      <c r="W207" s="338"/>
    </row>
    <row r="208" spans="12:23" hidden="1">
      <c r="L208" s="323" t="str">
        <f t="shared" si="7"/>
        <v/>
      </c>
      <c r="M208" s="323" t="str">
        <f>IF(OR(L208="",COUNTIF($M$4:M207,IF(ISERROR($R208*1),LEFT($R208,2)*1,$R208*1))&gt;=1),"-",IF(ISERROR($R208*1),LEFT($R208,2)*1,$R208*1))</f>
        <v>-</v>
      </c>
      <c r="N208" s="323" t="str">
        <f>IF(OR(L208="",COUNTIF($N$4:N207,V208*1)&gt;=1),"-",V208*1)</f>
        <v>-</v>
      </c>
      <c r="O208" s="338"/>
      <c r="P208" s="338"/>
      <c r="Q208" s="338"/>
      <c r="R208" s="338"/>
      <c r="S208" s="339"/>
      <c r="T208" s="340"/>
      <c r="U208" s="341"/>
      <c r="V208" s="339"/>
      <c r="W208" s="338"/>
    </row>
    <row r="209" spans="12:23" hidden="1">
      <c r="L209" s="323" t="str">
        <f t="shared" si="7"/>
        <v/>
      </c>
      <c r="M209" s="323" t="str">
        <f>IF(OR(L209="",COUNTIF($M$4:M208,IF(ISERROR($R209*1),LEFT($R209,2)*1,$R209*1))&gt;=1),"-",IF(ISERROR($R209*1),LEFT($R209,2)*1,$R209*1))</f>
        <v>-</v>
      </c>
      <c r="N209" s="323" t="str">
        <f>IF(OR(L209="",COUNTIF($N$4:N208,V209*1)&gt;=1),"-",V209*1)</f>
        <v>-</v>
      </c>
      <c r="O209" s="338"/>
      <c r="P209" s="338"/>
      <c r="Q209" s="338"/>
      <c r="R209" s="338"/>
      <c r="S209" s="339"/>
      <c r="T209" s="340"/>
      <c r="U209" s="341"/>
      <c r="V209" s="339"/>
      <c r="W209" s="338"/>
    </row>
    <row r="210" spans="12:23" hidden="1">
      <c r="L210" s="323" t="str">
        <f t="shared" si="7"/>
        <v/>
      </c>
      <c r="M210" s="323" t="str">
        <f>IF(OR(L210="",COUNTIF($M$4:M209,IF(ISERROR($R210*1),LEFT($R210,2)*1,$R210*1))&gt;=1),"-",IF(ISERROR($R210*1),LEFT($R210,2)*1,$R210*1))</f>
        <v>-</v>
      </c>
      <c r="N210" s="323" t="str">
        <f>IF(OR(L210="",COUNTIF($N$4:N209,V210*1)&gt;=1),"-",V210*1)</f>
        <v>-</v>
      </c>
      <c r="O210" s="338"/>
      <c r="P210" s="338"/>
      <c r="Q210" s="338"/>
      <c r="R210" s="338"/>
      <c r="S210" s="339"/>
      <c r="T210" s="340"/>
      <c r="U210" s="341"/>
      <c r="V210" s="339"/>
      <c r="W210" s="338"/>
    </row>
    <row r="211" spans="12:23" hidden="1">
      <c r="L211" s="323" t="str">
        <f t="shared" si="7"/>
        <v/>
      </c>
      <c r="M211" s="323" t="str">
        <f>IF(OR(L211="",COUNTIF($M$4:M210,IF(ISERROR($R211*1),LEFT($R211,2)*1,$R211*1))&gt;=1),"-",IF(ISERROR($R211*1),LEFT($R211,2)*1,$R211*1))</f>
        <v>-</v>
      </c>
      <c r="N211" s="323" t="str">
        <f>IF(OR(L211="",COUNTIF($N$4:N210,V211*1)&gt;=1),"-",V211*1)</f>
        <v>-</v>
      </c>
      <c r="O211" s="338"/>
      <c r="P211" s="338"/>
      <c r="Q211" s="338"/>
      <c r="R211" s="338"/>
      <c r="S211" s="339"/>
      <c r="T211" s="340"/>
      <c r="U211" s="341"/>
      <c r="V211" s="339"/>
      <c r="W211" s="338"/>
    </row>
    <row r="212" spans="12:23" hidden="1">
      <c r="L212" s="323" t="str">
        <f t="shared" si="7"/>
        <v/>
      </c>
      <c r="M212" s="323" t="str">
        <f>IF(OR(L212="",COUNTIF($M$4:M211,IF(ISERROR($R212*1),LEFT($R212,2)*1,$R212*1))&gt;=1),"-",IF(ISERROR($R212*1),LEFT($R212,2)*1,$R212*1))</f>
        <v>-</v>
      </c>
      <c r="N212" s="323" t="str">
        <f>IF(OR(L212="",COUNTIF($N$4:N211,V212*1)&gt;=1),"-",V212*1)</f>
        <v>-</v>
      </c>
      <c r="O212" s="338"/>
      <c r="P212" s="338"/>
      <c r="Q212" s="338"/>
      <c r="R212" s="338"/>
      <c r="S212" s="339"/>
      <c r="T212" s="340"/>
      <c r="U212" s="341"/>
      <c r="V212" s="339"/>
      <c r="W212" s="338"/>
    </row>
    <row r="213" spans="12:23" hidden="1">
      <c r="L213" s="323" t="str">
        <f t="shared" si="7"/>
        <v/>
      </c>
      <c r="M213" s="323" t="str">
        <f>IF(OR(L213="",COUNTIF($M$4:M212,IF(ISERROR($R213*1),LEFT($R213,2)*1,$R213*1))&gt;=1),"-",IF(ISERROR($R213*1),LEFT($R213,2)*1,$R213*1))</f>
        <v>-</v>
      </c>
      <c r="N213" s="323" t="str">
        <f>IF(OR(L213="",COUNTIF($N$4:N212,V213*1)&gt;=1),"-",V213*1)</f>
        <v>-</v>
      </c>
      <c r="O213" s="338"/>
      <c r="P213" s="338"/>
      <c r="Q213" s="338"/>
      <c r="R213" s="338"/>
      <c r="S213" s="339"/>
      <c r="T213" s="340"/>
      <c r="U213" s="341"/>
      <c r="V213" s="339"/>
      <c r="W213" s="338"/>
    </row>
    <row r="214" spans="12:23" hidden="1">
      <c r="L214" s="323" t="str">
        <f t="shared" si="7"/>
        <v/>
      </c>
      <c r="M214" s="323" t="str">
        <f>IF(OR(L214="",COUNTIF($M$4:M213,IF(ISERROR($R214*1),LEFT($R214,2)*1,$R214*1))&gt;=1),"-",IF(ISERROR($R214*1),LEFT($R214,2)*1,$R214*1))</f>
        <v>-</v>
      </c>
      <c r="N214" s="323" t="str">
        <f>IF(OR(L214="",COUNTIF($N$4:N213,V214*1)&gt;=1),"-",V214*1)</f>
        <v>-</v>
      </c>
      <c r="O214" s="338"/>
      <c r="P214" s="338"/>
      <c r="Q214" s="338"/>
      <c r="R214" s="338"/>
      <c r="S214" s="339"/>
      <c r="T214" s="340"/>
      <c r="U214" s="341"/>
      <c r="V214" s="339"/>
      <c r="W214" s="338"/>
    </row>
    <row r="215" spans="12:23" hidden="1">
      <c r="L215" s="323" t="str">
        <f t="shared" si="7"/>
        <v/>
      </c>
      <c r="M215" s="323" t="str">
        <f>IF(OR(L215="",COUNTIF($M$4:M214,IF(ISERROR($R215*1),LEFT($R215,2)*1,$R215*1))&gt;=1),"-",IF(ISERROR($R215*1),LEFT($R215,2)*1,$R215*1))</f>
        <v>-</v>
      </c>
      <c r="N215" s="323" t="str">
        <f>IF(OR(L215="",COUNTIF($N$4:N214,V215*1)&gt;=1),"-",V215*1)</f>
        <v>-</v>
      </c>
      <c r="O215" s="338"/>
      <c r="P215" s="338"/>
      <c r="Q215" s="338"/>
      <c r="R215" s="338"/>
      <c r="S215" s="339"/>
      <c r="T215" s="340"/>
      <c r="U215" s="341"/>
      <c r="V215" s="339"/>
      <c r="W215" s="338"/>
    </row>
    <row r="216" spans="12:23" hidden="1">
      <c r="L216" s="323" t="str">
        <f t="shared" si="7"/>
        <v/>
      </c>
      <c r="M216" s="323" t="str">
        <f>IF(OR(L216="",COUNTIF($M$4:M215,IF(ISERROR($R216*1),LEFT($R216,2)*1,$R216*1))&gt;=1),"-",IF(ISERROR($R216*1),LEFT($R216,2)*1,$R216*1))</f>
        <v>-</v>
      </c>
      <c r="N216" s="323" t="str">
        <f>IF(OR(L216="",COUNTIF($N$4:N215,V216*1)&gt;=1),"-",V216*1)</f>
        <v>-</v>
      </c>
      <c r="O216" s="338"/>
      <c r="P216" s="338"/>
      <c r="Q216" s="338"/>
      <c r="R216" s="338"/>
      <c r="S216" s="339"/>
      <c r="T216" s="340"/>
      <c r="U216" s="341"/>
      <c r="V216" s="339"/>
      <c r="W216" s="338"/>
    </row>
    <row r="217" spans="12:23" hidden="1">
      <c r="L217" s="323" t="str">
        <f t="shared" si="7"/>
        <v/>
      </c>
      <c r="M217" s="323" t="str">
        <f>IF(OR(L217="",COUNTIF($M$4:M216,IF(ISERROR($R217*1),LEFT($R217,2)*1,$R217*1))&gt;=1),"-",IF(ISERROR($R217*1),LEFT($R217,2)*1,$R217*1))</f>
        <v>-</v>
      </c>
      <c r="N217" s="323" t="str">
        <f>IF(OR(L217="",COUNTIF($N$4:N216,V217*1)&gt;=1),"-",V217*1)</f>
        <v>-</v>
      </c>
      <c r="O217" s="338"/>
      <c r="P217" s="338"/>
      <c r="Q217" s="338"/>
      <c r="R217" s="338"/>
      <c r="S217" s="339"/>
      <c r="T217" s="340"/>
      <c r="U217" s="341"/>
      <c r="V217" s="339"/>
      <c r="W217" s="338"/>
    </row>
    <row r="218" spans="12:23" hidden="1">
      <c r="L218" s="323" t="str">
        <f t="shared" si="7"/>
        <v/>
      </c>
      <c r="M218" s="323" t="str">
        <f>IF(OR(L218="",COUNTIF($M$4:M217,IF(ISERROR($R218*1),LEFT($R218,2)*1,$R218*1))&gt;=1),"-",IF(ISERROR($R218*1),LEFT($R218,2)*1,$R218*1))</f>
        <v>-</v>
      </c>
      <c r="N218" s="323" t="str">
        <f>IF(OR(L218="",COUNTIF($N$4:N217,V218*1)&gt;=1),"-",V218*1)</f>
        <v>-</v>
      </c>
      <c r="O218" s="338"/>
      <c r="P218" s="338"/>
      <c r="Q218" s="338"/>
      <c r="R218" s="338"/>
      <c r="S218" s="339"/>
      <c r="T218" s="340"/>
      <c r="U218" s="341"/>
      <c r="V218" s="339"/>
      <c r="W218" s="338"/>
    </row>
    <row r="219" spans="12:23" hidden="1">
      <c r="L219" s="323" t="str">
        <f t="shared" si="7"/>
        <v/>
      </c>
      <c r="M219" s="323" t="str">
        <f>IF(OR(L219="",COUNTIF($M$4:M218,IF(ISERROR($R219*1),LEFT($R219,2)*1,$R219*1))&gt;=1),"-",IF(ISERROR($R219*1),LEFT($R219,2)*1,$R219*1))</f>
        <v>-</v>
      </c>
      <c r="N219" s="323" t="str">
        <f>IF(OR(L219="",COUNTIF($N$4:N218,V219*1)&gt;=1),"-",V219*1)</f>
        <v>-</v>
      </c>
      <c r="O219" s="338"/>
      <c r="P219" s="338"/>
      <c r="Q219" s="338"/>
      <c r="R219" s="338"/>
      <c r="S219" s="339"/>
      <c r="T219" s="340"/>
      <c r="U219" s="341"/>
      <c r="V219" s="339"/>
      <c r="W219" s="338"/>
    </row>
    <row r="220" spans="12:23" hidden="1">
      <c r="L220" s="323" t="str">
        <f t="shared" si="7"/>
        <v/>
      </c>
      <c r="M220" s="323" t="str">
        <f>IF(OR(L220="",COUNTIF($M$4:M219,IF(ISERROR($R220*1),LEFT($R220,2)*1,$R220*1))&gt;=1),"-",IF(ISERROR($R220*1),LEFT($R220,2)*1,$R220*1))</f>
        <v>-</v>
      </c>
      <c r="N220" s="323" t="str">
        <f>IF(OR(L220="",COUNTIF($N$4:N219,V220*1)&gt;=1),"-",V220*1)</f>
        <v>-</v>
      </c>
      <c r="O220" s="338"/>
      <c r="P220" s="338"/>
      <c r="Q220" s="338"/>
      <c r="R220" s="338"/>
      <c r="S220" s="339"/>
      <c r="T220" s="340"/>
      <c r="U220" s="341"/>
      <c r="V220" s="339"/>
      <c r="W220" s="338"/>
    </row>
    <row r="221" spans="12:23" hidden="1">
      <c r="L221" s="323" t="str">
        <f t="shared" si="7"/>
        <v/>
      </c>
      <c r="M221" s="323" t="str">
        <f>IF(OR(L221="",COUNTIF($M$4:M220,IF(ISERROR($R221*1),LEFT($R221,2)*1,$R221*1))&gt;=1),"-",IF(ISERROR($R221*1),LEFT($R221,2)*1,$R221*1))</f>
        <v>-</v>
      </c>
      <c r="N221" s="323" t="str">
        <f>IF(OR(L221="",COUNTIF($N$4:N220,V221*1)&gt;=1),"-",V221*1)</f>
        <v>-</v>
      </c>
      <c r="O221" s="338"/>
      <c r="P221" s="338"/>
      <c r="Q221" s="338"/>
      <c r="R221" s="338"/>
      <c r="S221" s="339"/>
      <c r="T221" s="340"/>
      <c r="U221" s="341"/>
      <c r="V221" s="339"/>
      <c r="W221" s="338"/>
    </row>
    <row r="222" spans="12:23" hidden="1">
      <c r="L222" s="323" t="str">
        <f t="shared" si="7"/>
        <v/>
      </c>
      <c r="M222" s="323" t="str">
        <f>IF(OR(L222="",COUNTIF($M$4:M221,IF(ISERROR($R222*1),LEFT($R222,2)*1,$R222*1))&gt;=1),"-",IF(ISERROR($R222*1),LEFT($R222,2)*1,$R222*1))</f>
        <v>-</v>
      </c>
      <c r="N222" s="323" t="str">
        <f>IF(OR(L222="",COUNTIF($N$4:N221,V222*1)&gt;=1),"-",V222*1)</f>
        <v>-</v>
      </c>
      <c r="O222" s="338"/>
      <c r="P222" s="338"/>
      <c r="Q222" s="338"/>
      <c r="R222" s="338"/>
      <c r="S222" s="339"/>
      <c r="T222" s="340"/>
      <c r="U222" s="341"/>
      <c r="V222" s="339"/>
      <c r="W222" s="338"/>
    </row>
    <row r="223" spans="12:23" hidden="1">
      <c r="L223" s="323" t="str">
        <f t="shared" si="7"/>
        <v/>
      </c>
      <c r="M223" s="323" t="str">
        <f>IF(OR(L223="",COUNTIF($M$4:M222,IF(ISERROR($R223*1),LEFT($R223,2)*1,$R223*1))&gt;=1),"-",IF(ISERROR($R223*1),LEFT($R223,2)*1,$R223*1))</f>
        <v>-</v>
      </c>
      <c r="N223" s="323" t="str">
        <f>IF(OR(L223="",COUNTIF($N$4:N222,V223*1)&gt;=1),"-",V223*1)</f>
        <v>-</v>
      </c>
      <c r="O223" s="338"/>
      <c r="P223" s="338"/>
      <c r="Q223" s="338"/>
      <c r="R223" s="338"/>
      <c r="S223" s="339"/>
      <c r="T223" s="340"/>
      <c r="U223" s="341"/>
      <c r="V223" s="339"/>
      <c r="W223" s="338"/>
    </row>
    <row r="224" spans="12:23" hidden="1">
      <c r="L224" s="323" t="str">
        <f t="shared" si="7"/>
        <v/>
      </c>
      <c r="M224" s="323" t="str">
        <f>IF(OR(L224="",COUNTIF($M$4:M223,IF(ISERROR($R224*1),LEFT($R224,2)*1,$R224*1))&gt;=1),"-",IF(ISERROR($R224*1),LEFT($R224,2)*1,$R224*1))</f>
        <v>-</v>
      </c>
      <c r="N224" s="323" t="str">
        <f>IF(OR(L224="",COUNTIF($N$4:N223,V224*1)&gt;=1),"-",V224*1)</f>
        <v>-</v>
      </c>
      <c r="O224" s="338"/>
      <c r="P224" s="338"/>
      <c r="Q224" s="338"/>
      <c r="R224" s="338"/>
      <c r="S224" s="339"/>
      <c r="T224" s="340"/>
      <c r="U224" s="341"/>
      <c r="V224" s="339"/>
      <c r="W224" s="338"/>
    </row>
    <row r="225" spans="12:23" hidden="1">
      <c r="L225" s="323" t="str">
        <f t="shared" si="7"/>
        <v/>
      </c>
      <c r="M225" s="323" t="str">
        <f>IF(OR(L225="",COUNTIF($M$4:M224,IF(ISERROR($R225*1),LEFT($R225,2)*1,$R225*1))&gt;=1),"-",IF(ISERROR($R225*1),LEFT($R225,2)*1,$R225*1))</f>
        <v>-</v>
      </c>
      <c r="N225" s="323" t="str">
        <f>IF(OR(L225="",COUNTIF($N$4:N224,V225*1)&gt;=1),"-",V225*1)</f>
        <v>-</v>
      </c>
      <c r="O225" s="338"/>
      <c r="P225" s="338"/>
      <c r="Q225" s="338"/>
      <c r="R225" s="338"/>
      <c r="S225" s="339"/>
      <c r="T225" s="340"/>
      <c r="U225" s="341"/>
      <c r="V225" s="339"/>
      <c r="W225" s="338"/>
    </row>
    <row r="226" spans="12:23" hidden="1">
      <c r="L226" s="323" t="str">
        <f t="shared" si="7"/>
        <v/>
      </c>
      <c r="M226" s="323" t="str">
        <f>IF(OR(L226="",COUNTIF($M$4:M225,IF(ISERROR($R226*1),LEFT($R226,2)*1,$R226*1))&gt;=1),"-",IF(ISERROR($R226*1),LEFT($R226,2)*1,$R226*1))</f>
        <v>-</v>
      </c>
      <c r="N226" s="323" t="str">
        <f>IF(OR(L226="",COUNTIF($N$4:N225,V226*1)&gt;=1),"-",V226*1)</f>
        <v>-</v>
      </c>
      <c r="O226" s="338"/>
      <c r="P226" s="338"/>
      <c r="Q226" s="338"/>
      <c r="R226" s="338"/>
      <c r="S226" s="339"/>
      <c r="T226" s="340"/>
      <c r="U226" s="341"/>
      <c r="V226" s="339"/>
      <c r="W226" s="338"/>
    </row>
    <row r="227" spans="12:23" hidden="1">
      <c r="L227" s="323" t="str">
        <f t="shared" si="7"/>
        <v/>
      </c>
      <c r="M227" s="323" t="str">
        <f>IF(OR(L227="",COUNTIF($M$4:M226,IF(ISERROR($R227*1),LEFT($R227,2)*1,$R227*1))&gt;=1),"-",IF(ISERROR($R227*1),LEFT($R227,2)*1,$R227*1))</f>
        <v>-</v>
      </c>
      <c r="N227" s="323" t="str">
        <f>IF(OR(L227="",COUNTIF($N$4:N226,V227*1)&gt;=1),"-",V227*1)</f>
        <v>-</v>
      </c>
      <c r="O227" s="338"/>
      <c r="P227" s="338"/>
      <c r="Q227" s="338"/>
      <c r="R227" s="338"/>
      <c r="S227" s="339"/>
      <c r="T227" s="340"/>
      <c r="U227" s="341"/>
      <c r="V227" s="339"/>
      <c r="W227" s="338"/>
    </row>
    <row r="228" spans="12:23" hidden="1">
      <c r="L228" s="323" t="str">
        <f t="shared" si="7"/>
        <v/>
      </c>
      <c r="M228" s="323" t="str">
        <f>IF(OR(L228="",COUNTIF($M$4:M227,IF(ISERROR($R228*1),LEFT($R228,2)*1,$R228*1))&gt;=1),"-",IF(ISERROR($R228*1),LEFT($R228,2)*1,$R228*1))</f>
        <v>-</v>
      </c>
      <c r="N228" s="323" t="str">
        <f>IF(OR(L228="",COUNTIF($N$4:N227,V228*1)&gt;=1),"-",V228*1)</f>
        <v>-</v>
      </c>
      <c r="O228" s="338"/>
      <c r="P228" s="338"/>
      <c r="Q228" s="338"/>
      <c r="R228" s="338"/>
      <c r="S228" s="339"/>
      <c r="T228" s="340"/>
      <c r="U228" s="341"/>
      <c r="V228" s="339"/>
      <c r="W228" s="338"/>
    </row>
    <row r="229" spans="12:23" hidden="1">
      <c r="L229" s="323" t="str">
        <f t="shared" si="7"/>
        <v/>
      </c>
      <c r="M229" s="323" t="str">
        <f>IF(OR(L229="",COUNTIF($M$4:M228,IF(ISERROR($R229*1),LEFT($R229,2)*1,$R229*1))&gt;=1),"-",IF(ISERROR($R229*1),LEFT($R229,2)*1,$R229*1))</f>
        <v>-</v>
      </c>
      <c r="N229" s="323" t="str">
        <f>IF(OR(L229="",COUNTIF($N$4:N228,V229*1)&gt;=1),"-",V229*1)</f>
        <v>-</v>
      </c>
      <c r="O229" s="338"/>
      <c r="P229" s="338"/>
      <c r="Q229" s="338"/>
      <c r="R229" s="338"/>
      <c r="S229" s="339"/>
      <c r="T229" s="340"/>
      <c r="U229" s="341"/>
      <c r="V229" s="339"/>
      <c r="W229" s="338"/>
    </row>
    <row r="230" spans="12:23" hidden="1">
      <c r="L230" s="323" t="str">
        <f t="shared" si="7"/>
        <v/>
      </c>
      <c r="M230" s="323" t="str">
        <f>IF(OR(L230="",COUNTIF($M$4:M229,IF(ISERROR($R230*1),LEFT($R230,2)*1,$R230*1))&gt;=1),"-",IF(ISERROR($R230*1),LEFT($R230,2)*1,$R230*1))</f>
        <v>-</v>
      </c>
      <c r="N230" s="323" t="str">
        <f>IF(OR(L230="",COUNTIF($N$4:N229,V230*1)&gt;=1),"-",V230*1)</f>
        <v>-</v>
      </c>
      <c r="O230" s="338"/>
      <c r="P230" s="338"/>
      <c r="Q230" s="338"/>
      <c r="R230" s="338"/>
      <c r="S230" s="339"/>
      <c r="T230" s="340"/>
      <c r="U230" s="341"/>
      <c r="V230" s="339"/>
      <c r="W230" s="338"/>
    </row>
    <row r="231" spans="12:23" hidden="1">
      <c r="L231" s="323" t="str">
        <f t="shared" si="7"/>
        <v/>
      </c>
      <c r="M231" s="323" t="str">
        <f>IF(OR(L231="",COUNTIF($M$4:M230,IF(ISERROR($R231*1),LEFT($R231,2)*1,$R231*1))&gt;=1),"-",IF(ISERROR($R231*1),LEFT($R231,2)*1,$R231*1))</f>
        <v>-</v>
      </c>
      <c r="N231" s="323" t="str">
        <f>IF(OR(L231="",COUNTIF($N$4:N230,V231*1)&gt;=1),"-",V231*1)</f>
        <v>-</v>
      </c>
      <c r="O231" s="338"/>
      <c r="P231" s="338"/>
      <c r="Q231" s="338"/>
      <c r="R231" s="338"/>
      <c r="S231" s="339"/>
      <c r="T231" s="340"/>
      <c r="U231" s="341"/>
      <c r="V231" s="339"/>
      <c r="W231" s="338"/>
    </row>
    <row r="232" spans="12:23" hidden="1">
      <c r="L232" s="323" t="str">
        <f t="shared" si="7"/>
        <v/>
      </c>
      <c r="M232" s="323" t="str">
        <f>IF(OR(L232="",COUNTIF($M$4:M231,IF(ISERROR($R232*1),LEFT($R232,2)*1,$R232*1))&gt;=1),"-",IF(ISERROR($R232*1),LEFT($R232,2)*1,$R232*1))</f>
        <v>-</v>
      </c>
      <c r="N232" s="323" t="str">
        <f>IF(OR(L232="",COUNTIF($N$4:N231,V232*1)&gt;=1),"-",V232*1)</f>
        <v>-</v>
      </c>
      <c r="O232" s="338"/>
      <c r="P232" s="338"/>
      <c r="Q232" s="338"/>
      <c r="R232" s="338"/>
      <c r="S232" s="339"/>
      <c r="T232" s="340"/>
      <c r="U232" s="341"/>
      <c r="V232" s="339"/>
      <c r="W232" s="338"/>
    </row>
    <row r="233" spans="12:23" hidden="1">
      <c r="L233" s="323" t="str">
        <f t="shared" si="7"/>
        <v/>
      </c>
      <c r="M233" s="323" t="str">
        <f>IF(OR(L233="",COUNTIF($M$4:M232,IF(ISERROR($R233*1),LEFT($R233,2)*1,$R233*1))&gt;=1),"-",IF(ISERROR($R233*1),LEFT($R233,2)*1,$R233*1))</f>
        <v>-</v>
      </c>
      <c r="N233" s="323" t="str">
        <f>IF(OR(L233="",COUNTIF($N$4:N232,V233*1)&gt;=1),"-",V233*1)</f>
        <v>-</v>
      </c>
      <c r="O233" s="338"/>
      <c r="P233" s="338"/>
      <c r="Q233" s="338"/>
      <c r="R233" s="338"/>
      <c r="S233" s="339"/>
      <c r="T233" s="340"/>
      <c r="U233" s="341"/>
      <c r="V233" s="339"/>
      <c r="W233" s="338"/>
    </row>
    <row r="234" spans="12:23" hidden="1">
      <c r="L234" s="323" t="str">
        <f t="shared" si="7"/>
        <v/>
      </c>
      <c r="M234" s="323" t="str">
        <f>IF(OR(L234="",COUNTIF($M$4:M233,IF(ISERROR($R234*1),LEFT($R234,2)*1,$R234*1))&gt;=1),"-",IF(ISERROR($R234*1),LEFT($R234,2)*1,$R234*1))</f>
        <v>-</v>
      </c>
      <c r="N234" s="323" t="str">
        <f>IF(OR(L234="",COUNTIF($N$4:N233,V234*1)&gt;=1),"-",V234*1)</f>
        <v>-</v>
      </c>
      <c r="O234" s="338"/>
      <c r="P234" s="338"/>
      <c r="Q234" s="338"/>
      <c r="R234" s="338"/>
      <c r="S234" s="339"/>
      <c r="T234" s="340"/>
      <c r="U234" s="341"/>
      <c r="V234" s="339"/>
      <c r="W234" s="338"/>
    </row>
    <row r="235" spans="12:23" hidden="1">
      <c r="L235" s="323" t="str">
        <f t="shared" si="7"/>
        <v/>
      </c>
      <c r="M235" s="323" t="str">
        <f>IF(OR(L235="",COUNTIF($M$4:M234,IF(ISERROR($R235*1),LEFT($R235,2)*1,$R235*1))&gt;=1),"-",IF(ISERROR($R235*1),LEFT($R235,2)*1,$R235*1))</f>
        <v>-</v>
      </c>
      <c r="N235" s="323" t="str">
        <f>IF(OR(L235="",COUNTIF($N$4:N234,V235*1)&gt;=1),"-",V235*1)</f>
        <v>-</v>
      </c>
      <c r="O235" s="338"/>
      <c r="P235" s="338"/>
      <c r="Q235" s="338"/>
      <c r="R235" s="338"/>
      <c r="S235" s="339"/>
      <c r="T235" s="340"/>
      <c r="U235" s="341"/>
      <c r="V235" s="339"/>
      <c r="W235" s="338"/>
    </row>
    <row r="236" spans="12:23" hidden="1">
      <c r="L236" s="323" t="str">
        <f t="shared" si="7"/>
        <v/>
      </c>
      <c r="M236" s="323" t="str">
        <f>IF(OR(L236="",COUNTIF($M$4:M235,IF(ISERROR($R236*1),LEFT($R236,2)*1,$R236*1))&gt;=1),"-",IF(ISERROR($R236*1),LEFT($R236,2)*1,$R236*1))</f>
        <v>-</v>
      </c>
      <c r="N236" s="323" t="str">
        <f>IF(OR(L236="",COUNTIF($N$4:N235,V236*1)&gt;=1),"-",V236*1)</f>
        <v>-</v>
      </c>
      <c r="O236" s="338"/>
      <c r="P236" s="338"/>
      <c r="Q236" s="338"/>
      <c r="R236" s="338"/>
      <c r="S236" s="339"/>
      <c r="T236" s="340"/>
      <c r="U236" s="341"/>
      <c r="V236" s="339"/>
      <c r="W236" s="338"/>
    </row>
    <row r="237" spans="12:23" hidden="1">
      <c r="L237" s="323" t="str">
        <f t="shared" si="7"/>
        <v/>
      </c>
      <c r="M237" s="323" t="str">
        <f>IF(OR(L237="",COUNTIF($M$4:M236,IF(ISERROR($R237*1),LEFT($R237,2)*1,$R237*1))&gt;=1),"-",IF(ISERROR($R237*1),LEFT($R237,2)*1,$R237*1))</f>
        <v>-</v>
      </c>
      <c r="N237" s="323" t="str">
        <f>IF(OR(L237="",COUNTIF($N$4:N236,V237*1)&gt;=1),"-",V237*1)</f>
        <v>-</v>
      </c>
      <c r="O237" s="338"/>
      <c r="P237" s="338"/>
      <c r="Q237" s="338"/>
      <c r="R237" s="338"/>
      <c r="S237" s="339"/>
      <c r="T237" s="340"/>
      <c r="U237" s="341"/>
      <c r="V237" s="339"/>
      <c r="W237" s="338"/>
    </row>
    <row r="238" spans="12:23" hidden="1">
      <c r="L238" s="323" t="str">
        <f t="shared" si="7"/>
        <v/>
      </c>
      <c r="M238" s="323" t="str">
        <f>IF(OR(L238="",COUNTIF($M$4:M237,IF(ISERROR($R238*1),LEFT($R238,2)*1,$R238*1))&gt;=1),"-",IF(ISERROR($R238*1),LEFT($R238,2)*1,$R238*1))</f>
        <v>-</v>
      </c>
      <c r="N238" s="323" t="str">
        <f>IF(OR(L238="",COUNTIF($N$4:N237,V238*1)&gt;=1),"-",V238*1)</f>
        <v>-</v>
      </c>
      <c r="O238" s="338"/>
      <c r="P238" s="338"/>
      <c r="Q238" s="338"/>
      <c r="R238" s="338"/>
      <c r="S238" s="339"/>
      <c r="T238" s="340"/>
      <c r="U238" s="341"/>
      <c r="V238" s="339"/>
      <c r="W238" s="338"/>
    </row>
    <row r="239" spans="12:23" hidden="1">
      <c r="L239" s="323" t="str">
        <f t="shared" si="7"/>
        <v/>
      </c>
      <c r="M239" s="323" t="str">
        <f>IF(OR(L239="",COUNTIF($M$4:M238,IF(ISERROR($R239*1),LEFT($R239,2)*1,$R239*1))&gt;=1),"-",IF(ISERROR($R239*1),LEFT($R239,2)*1,$R239*1))</f>
        <v>-</v>
      </c>
      <c r="N239" s="323" t="str">
        <f>IF(OR(L239="",COUNTIF($N$4:N238,V239*1)&gt;=1),"-",V239*1)</f>
        <v>-</v>
      </c>
      <c r="O239" s="338"/>
      <c r="P239" s="338"/>
      <c r="Q239" s="338"/>
      <c r="R239" s="338"/>
      <c r="S239" s="339"/>
      <c r="T239" s="340"/>
      <c r="U239" s="341"/>
      <c r="V239" s="339"/>
      <c r="W239" s="338"/>
    </row>
    <row r="240" spans="12:23" hidden="1">
      <c r="L240" s="323" t="str">
        <f t="shared" si="7"/>
        <v/>
      </c>
      <c r="M240" s="323" t="str">
        <f>IF(OR(L240="",COUNTIF($M$4:M239,IF(ISERROR($R240*1),LEFT($R240,2)*1,$R240*1))&gt;=1),"-",IF(ISERROR($R240*1),LEFT($R240,2)*1,$R240*1))</f>
        <v>-</v>
      </c>
      <c r="N240" s="323" t="str">
        <f>IF(OR(L240="",COUNTIF($N$4:N239,V240*1)&gt;=1),"-",V240*1)</f>
        <v>-</v>
      </c>
      <c r="O240" s="338"/>
      <c r="P240" s="338"/>
      <c r="Q240" s="338"/>
      <c r="R240" s="338"/>
      <c r="S240" s="339"/>
      <c r="T240" s="340"/>
      <c r="U240" s="341"/>
      <c r="V240" s="339"/>
      <c r="W240" s="338"/>
    </row>
    <row r="241" spans="12:23" hidden="1">
      <c r="L241" s="323" t="str">
        <f t="shared" si="7"/>
        <v/>
      </c>
      <c r="M241" s="323" t="str">
        <f>IF(OR(L241="",COUNTIF($M$4:M240,IF(ISERROR($R241*1),LEFT($R241,2)*1,$R241*1))&gt;=1),"-",IF(ISERROR($R241*1),LEFT($R241,2)*1,$R241*1))</f>
        <v>-</v>
      </c>
      <c r="N241" s="323" t="str">
        <f>IF(OR(L241="",COUNTIF($N$4:N240,V241*1)&gt;=1),"-",V241*1)</f>
        <v>-</v>
      </c>
      <c r="O241" s="338"/>
      <c r="P241" s="338"/>
      <c r="Q241" s="338"/>
      <c r="R241" s="338"/>
      <c r="S241" s="339"/>
      <c r="T241" s="340"/>
      <c r="U241" s="341"/>
      <c r="V241" s="339"/>
      <c r="W241" s="338"/>
    </row>
    <row r="242" spans="12:23" hidden="1">
      <c r="L242" s="323" t="str">
        <f t="shared" si="7"/>
        <v/>
      </c>
      <c r="M242" s="323" t="str">
        <f>IF(OR(L242="",COUNTIF($M$4:M241,IF(ISERROR($R242*1),LEFT($R242,2)*1,$R242*1))&gt;=1),"-",IF(ISERROR($R242*1),LEFT($R242,2)*1,$R242*1))</f>
        <v>-</v>
      </c>
      <c r="N242" s="323" t="str">
        <f>IF(OR(L242="",COUNTIF($N$4:N241,V242*1)&gt;=1),"-",V242*1)</f>
        <v>-</v>
      </c>
      <c r="O242" s="338"/>
      <c r="P242" s="338"/>
      <c r="Q242" s="338"/>
      <c r="R242" s="338"/>
      <c r="S242" s="339"/>
      <c r="T242" s="340"/>
      <c r="U242" s="341"/>
      <c r="V242" s="339"/>
      <c r="W242" s="338"/>
    </row>
    <row r="243" spans="12:23" hidden="1">
      <c r="L243" s="323" t="str">
        <f t="shared" si="7"/>
        <v/>
      </c>
      <c r="M243" s="323" t="str">
        <f>IF(OR(L243="",COUNTIF($M$4:M242,IF(ISERROR($R243*1),LEFT($R243,2)*1,$R243*1))&gt;=1),"-",IF(ISERROR($R243*1),LEFT($R243,2)*1,$R243*1))</f>
        <v>-</v>
      </c>
      <c r="N243" s="323" t="str">
        <f>IF(OR(L243="",COUNTIF($N$4:N242,V243*1)&gt;=1),"-",V243*1)</f>
        <v>-</v>
      </c>
      <c r="O243" s="338"/>
      <c r="P243" s="338"/>
      <c r="Q243" s="338"/>
      <c r="R243" s="338"/>
      <c r="S243" s="339"/>
      <c r="T243" s="340"/>
      <c r="U243" s="341"/>
      <c r="V243" s="339"/>
      <c r="W243" s="338"/>
    </row>
    <row r="244" spans="12:23" hidden="1">
      <c r="L244" s="323" t="str">
        <f t="shared" si="7"/>
        <v/>
      </c>
      <c r="M244" s="323" t="str">
        <f>IF(OR(L244="",COUNTIF($M$4:M243,IF(ISERROR($R244*1),LEFT($R244,2)*1,$R244*1))&gt;=1),"-",IF(ISERROR($R244*1),LEFT($R244,2)*1,$R244*1))</f>
        <v>-</v>
      </c>
      <c r="N244" s="323" t="str">
        <f>IF(OR(L244="",COUNTIF($N$4:N243,V244*1)&gt;=1),"-",V244*1)</f>
        <v>-</v>
      </c>
      <c r="O244" s="338"/>
      <c r="P244" s="338"/>
      <c r="Q244" s="338"/>
      <c r="R244" s="338"/>
      <c r="S244" s="339"/>
      <c r="T244" s="340"/>
      <c r="U244" s="341"/>
      <c r="V244" s="339"/>
      <c r="W244" s="338"/>
    </row>
    <row r="245" spans="12:23" hidden="1">
      <c r="L245" s="323" t="str">
        <f t="shared" si="7"/>
        <v/>
      </c>
      <c r="M245" s="323" t="str">
        <f>IF(OR(L245="",COUNTIF($M$4:M244,IF(ISERROR($R245*1),LEFT($R245,2)*1,$R245*1))&gt;=1),"-",IF(ISERROR($R245*1),LEFT($R245,2)*1,$R245*1))</f>
        <v>-</v>
      </c>
      <c r="N245" s="323" t="str">
        <f>IF(OR(L245="",COUNTIF($N$4:N244,V245*1)&gt;=1),"-",V245*1)</f>
        <v>-</v>
      </c>
      <c r="O245" s="338"/>
      <c r="P245" s="338"/>
      <c r="Q245" s="338"/>
      <c r="R245" s="338"/>
      <c r="S245" s="339"/>
      <c r="T245" s="340"/>
      <c r="U245" s="341"/>
      <c r="V245" s="339"/>
      <c r="W245" s="338"/>
    </row>
    <row r="246" spans="12:23" hidden="1">
      <c r="L246" s="323" t="str">
        <f t="shared" si="7"/>
        <v/>
      </c>
      <c r="M246" s="323" t="str">
        <f>IF(OR(L246="",COUNTIF($M$4:M245,IF(ISERROR($R246*1),LEFT($R246,2)*1,$R246*1))&gt;=1),"-",IF(ISERROR($R246*1),LEFT($R246,2)*1,$R246*1))</f>
        <v>-</v>
      </c>
      <c r="N246" s="323" t="str">
        <f>IF(OR(L246="",COUNTIF($N$4:N245,V246*1)&gt;=1),"-",V246*1)</f>
        <v>-</v>
      </c>
      <c r="O246" s="338"/>
      <c r="P246" s="338"/>
      <c r="Q246" s="338"/>
      <c r="R246" s="338"/>
      <c r="S246" s="339"/>
      <c r="T246" s="340"/>
      <c r="U246" s="341"/>
      <c r="V246" s="339"/>
      <c r="W246" s="338"/>
    </row>
    <row r="247" spans="12:23" hidden="1">
      <c r="L247" s="323" t="str">
        <f t="shared" si="7"/>
        <v/>
      </c>
      <c r="M247" s="323" t="str">
        <f>IF(OR(L247="",COUNTIF($M$4:M246,IF(ISERROR($R247*1),LEFT($R247,2)*1,$R247*1))&gt;=1),"-",IF(ISERROR($R247*1),LEFT($R247,2)*1,$R247*1))</f>
        <v>-</v>
      </c>
      <c r="N247" s="323" t="str">
        <f>IF(OR(L247="",COUNTIF($N$4:N246,V247*1)&gt;=1),"-",V247*1)</f>
        <v>-</v>
      </c>
      <c r="O247" s="338"/>
      <c r="P247" s="338"/>
      <c r="Q247" s="338"/>
      <c r="R247" s="338"/>
      <c r="S247" s="339"/>
      <c r="T247" s="340"/>
      <c r="U247" s="341"/>
      <c r="V247" s="339"/>
      <c r="W247" s="338"/>
    </row>
    <row r="248" spans="12:23" hidden="1">
      <c r="L248" s="323" t="str">
        <f t="shared" si="7"/>
        <v/>
      </c>
      <c r="M248" s="323" t="str">
        <f>IF(OR(L248="",COUNTIF($M$4:M247,IF(ISERROR($R248*1),LEFT($R248,2)*1,$R248*1))&gt;=1),"-",IF(ISERROR($R248*1),LEFT($R248,2)*1,$R248*1))</f>
        <v>-</v>
      </c>
      <c r="N248" s="323" t="str">
        <f>IF(OR(L248="",COUNTIF($N$4:N247,V248*1)&gt;=1),"-",V248*1)</f>
        <v>-</v>
      </c>
      <c r="O248" s="338"/>
      <c r="P248" s="338"/>
      <c r="Q248" s="338"/>
      <c r="R248" s="338"/>
      <c r="S248" s="339"/>
      <c r="T248" s="340"/>
      <c r="U248" s="341"/>
      <c r="V248" s="339"/>
      <c r="W248" s="338"/>
    </row>
    <row r="249" spans="12:23" hidden="1">
      <c r="L249" s="323" t="str">
        <f t="shared" si="7"/>
        <v/>
      </c>
      <c r="M249" s="323" t="str">
        <f>IF(OR(L249="",COUNTIF($M$4:M248,IF(ISERROR($R249*1),LEFT($R249,2)*1,$R249*1))&gt;=1),"-",IF(ISERROR($R249*1),LEFT($R249,2)*1,$R249*1))</f>
        <v>-</v>
      </c>
      <c r="N249" s="323" t="str">
        <f>IF(OR(L249="",COUNTIF($N$4:N248,V249*1)&gt;=1),"-",V249*1)</f>
        <v>-</v>
      </c>
      <c r="O249" s="338"/>
      <c r="P249" s="338"/>
      <c r="Q249" s="338"/>
      <c r="R249" s="338"/>
      <c r="S249" s="339"/>
      <c r="T249" s="340"/>
      <c r="U249" s="341"/>
      <c r="V249" s="339"/>
      <c r="W249" s="338"/>
    </row>
    <row r="250" spans="12:23" hidden="1">
      <c r="L250" s="323" t="str">
        <f t="shared" si="7"/>
        <v/>
      </c>
      <c r="M250" s="323" t="str">
        <f>IF(OR(L250="",COUNTIF($M$4:M249,IF(ISERROR($R250*1),LEFT($R250,2)*1,$R250*1))&gt;=1),"-",IF(ISERROR($R250*1),LEFT($R250,2)*1,$R250*1))</f>
        <v>-</v>
      </c>
      <c r="N250" s="323" t="str">
        <f>IF(OR(L250="",COUNTIF($N$4:N249,V250*1)&gt;=1),"-",V250*1)</f>
        <v>-</v>
      </c>
      <c r="O250" s="338"/>
      <c r="P250" s="338"/>
      <c r="Q250" s="338"/>
      <c r="R250" s="338"/>
      <c r="S250" s="339"/>
      <c r="T250" s="340"/>
      <c r="U250" s="341"/>
      <c r="V250" s="339"/>
      <c r="W250" s="338"/>
    </row>
    <row r="251" spans="12:23" hidden="1">
      <c r="L251" s="323" t="str">
        <f t="shared" si="7"/>
        <v/>
      </c>
      <c r="M251" s="323" t="str">
        <f>IF(OR(L251="",COUNTIF($M$4:M250,IF(ISERROR($R251*1),LEFT($R251,2)*1,$R251*1))&gt;=1),"-",IF(ISERROR($R251*1),LEFT($R251,2)*1,$R251*1))</f>
        <v>-</v>
      </c>
      <c r="N251" s="323" t="str">
        <f>IF(OR(L251="",COUNTIF($N$4:N250,V251*1)&gt;=1),"-",V251*1)</f>
        <v>-</v>
      </c>
      <c r="O251" s="338"/>
      <c r="P251" s="338"/>
      <c r="Q251" s="338"/>
      <c r="R251" s="338"/>
      <c r="S251" s="339"/>
      <c r="T251" s="340"/>
      <c r="U251" s="341"/>
      <c r="V251" s="339"/>
      <c r="W251" s="338"/>
    </row>
    <row r="252" spans="12:23" hidden="1">
      <c r="L252" s="323" t="str">
        <f t="shared" si="7"/>
        <v/>
      </c>
      <c r="M252" s="323" t="str">
        <f>IF(OR(L252="",COUNTIF($M$4:M251,IF(ISERROR($R252*1),LEFT($R252,2)*1,$R252*1))&gt;=1),"-",IF(ISERROR($R252*1),LEFT($R252,2)*1,$R252*1))</f>
        <v>-</v>
      </c>
      <c r="N252" s="323" t="str">
        <f>IF(OR(L252="",COUNTIF($N$4:N251,V252*1)&gt;=1),"-",V252*1)</f>
        <v>-</v>
      </c>
      <c r="O252" s="338"/>
      <c r="P252" s="338"/>
      <c r="Q252" s="338"/>
      <c r="R252" s="338"/>
      <c r="S252" s="339"/>
      <c r="T252" s="340"/>
      <c r="U252" s="341"/>
      <c r="V252" s="339"/>
      <c r="W252" s="338"/>
    </row>
    <row r="253" spans="12:23" hidden="1">
      <c r="L253" s="323" t="str">
        <f t="shared" si="7"/>
        <v/>
      </c>
      <c r="M253" s="323" t="str">
        <f>IF(OR(L253="",COUNTIF($M$4:M252,IF(ISERROR($R253*1),LEFT($R253,2)*1,$R253*1))&gt;=1),"-",IF(ISERROR($R253*1),LEFT($R253,2)*1,$R253*1))</f>
        <v>-</v>
      </c>
      <c r="N253" s="323" t="str">
        <f>IF(OR(L253="",COUNTIF($N$4:N252,V253*1)&gt;=1),"-",V253*1)</f>
        <v>-</v>
      </c>
      <c r="O253" s="338"/>
      <c r="P253" s="338"/>
      <c r="Q253" s="338"/>
      <c r="R253" s="338"/>
      <c r="S253" s="339"/>
      <c r="T253" s="340"/>
      <c r="U253" s="341"/>
      <c r="V253" s="339"/>
      <c r="W253" s="338"/>
    </row>
    <row r="254" spans="12:23" hidden="1">
      <c r="L254" s="323" t="str">
        <f t="shared" si="7"/>
        <v/>
      </c>
      <c r="M254" s="323" t="str">
        <f>IF(OR(L254="",COUNTIF($M$4:M253,IF(ISERROR($R254*1),LEFT($R254,2)*1,$R254*1))&gt;=1),"-",IF(ISERROR($R254*1),LEFT($R254,2)*1,$R254*1))</f>
        <v>-</v>
      </c>
      <c r="N254" s="323" t="str">
        <f>IF(OR(L254="",COUNTIF($N$4:N253,V254*1)&gt;=1),"-",V254*1)</f>
        <v>-</v>
      </c>
      <c r="O254" s="338"/>
      <c r="P254" s="338"/>
      <c r="Q254" s="338"/>
      <c r="R254" s="338"/>
      <c r="S254" s="339"/>
      <c r="T254" s="340"/>
      <c r="U254" s="341"/>
      <c r="V254" s="339"/>
      <c r="W254" s="338"/>
    </row>
    <row r="255" spans="12:23" hidden="1">
      <c r="L255" s="323" t="str">
        <f t="shared" si="7"/>
        <v/>
      </c>
      <c r="M255" s="323" t="str">
        <f>IF(OR(L255="",COUNTIF($M$4:M254,IF(ISERROR($R255*1),LEFT($R255,2)*1,$R255*1))&gt;=1),"-",IF(ISERROR($R255*1),LEFT($R255,2)*1,$R255*1))</f>
        <v>-</v>
      </c>
      <c r="N255" s="323" t="str">
        <f>IF(OR(L255="",COUNTIF($N$4:N254,V255*1)&gt;=1),"-",V255*1)</f>
        <v>-</v>
      </c>
      <c r="O255" s="338"/>
      <c r="P255" s="338"/>
      <c r="Q255" s="338"/>
      <c r="R255" s="338"/>
      <c r="S255" s="339"/>
      <c r="T255" s="340"/>
      <c r="U255" s="341"/>
      <c r="V255" s="339"/>
      <c r="W255" s="338"/>
    </row>
    <row r="256" spans="12:23" hidden="1">
      <c r="L256" s="323" t="str">
        <f t="shared" si="7"/>
        <v/>
      </c>
      <c r="M256" s="323" t="str">
        <f>IF(OR(L256="",COUNTIF($M$4:M255,IF(ISERROR($R256*1),LEFT($R256,2)*1,$R256*1))&gt;=1),"-",IF(ISERROR($R256*1),LEFT($R256,2)*1,$R256*1))</f>
        <v>-</v>
      </c>
      <c r="N256" s="323" t="str">
        <f>IF(OR(L256="",COUNTIF($N$4:N255,V256*1)&gt;=1),"-",V256*1)</f>
        <v>-</v>
      </c>
      <c r="O256" s="338"/>
      <c r="P256" s="338"/>
      <c r="Q256" s="338"/>
      <c r="R256" s="338"/>
      <c r="S256" s="339"/>
      <c r="T256" s="340"/>
      <c r="U256" s="341"/>
      <c r="V256" s="339"/>
      <c r="W256" s="338"/>
    </row>
    <row r="257" spans="12:23" hidden="1">
      <c r="L257" s="323" t="str">
        <f t="shared" si="7"/>
        <v/>
      </c>
      <c r="M257" s="323" t="str">
        <f>IF(OR(L257="",COUNTIF($M$4:M256,IF(ISERROR($R257*1),LEFT($R257,2)*1,$R257*1))&gt;=1),"-",IF(ISERROR($R257*1),LEFT($R257,2)*1,$R257*1))</f>
        <v>-</v>
      </c>
      <c r="N257" s="323" t="str">
        <f>IF(OR(L257="",COUNTIF($N$4:N256,V257*1)&gt;=1),"-",V257*1)</f>
        <v>-</v>
      </c>
      <c r="O257" s="338"/>
      <c r="P257" s="338"/>
      <c r="Q257" s="338"/>
      <c r="R257" s="338"/>
      <c r="S257" s="339"/>
      <c r="T257" s="340"/>
      <c r="U257" s="341"/>
      <c r="V257" s="339"/>
      <c r="W257" s="338"/>
    </row>
    <row r="258" spans="12:23" hidden="1">
      <c r="L258" s="323" t="str">
        <f t="shared" si="7"/>
        <v/>
      </c>
      <c r="M258" s="323" t="str">
        <f>IF(OR(L258="",COUNTIF($M$4:M257,IF(ISERROR($R258*1),LEFT($R258,2)*1,$R258*1))&gt;=1),"-",IF(ISERROR($R258*1),LEFT($R258,2)*1,$R258*1))</f>
        <v>-</v>
      </c>
      <c r="N258" s="323" t="str">
        <f>IF(OR(L258="",COUNTIF($N$4:N257,V258*1)&gt;=1),"-",V258*1)</f>
        <v>-</v>
      </c>
      <c r="O258" s="338"/>
      <c r="P258" s="338"/>
      <c r="Q258" s="338"/>
      <c r="R258" s="338"/>
      <c r="S258" s="339"/>
      <c r="T258" s="340"/>
      <c r="U258" s="341"/>
      <c r="V258" s="339"/>
      <c r="W258" s="338"/>
    </row>
    <row r="259" spans="12:23" hidden="1">
      <c r="L259" s="323" t="str">
        <f t="shared" si="7"/>
        <v/>
      </c>
      <c r="M259" s="323" t="str">
        <f>IF(OR(L259="",COUNTIF($M$4:M258,IF(ISERROR($R259*1),LEFT($R259,2)*1,$R259*1))&gt;=1),"-",IF(ISERROR($R259*1),LEFT($R259,2)*1,$R259*1))</f>
        <v>-</v>
      </c>
      <c r="N259" s="323" t="str">
        <f>IF(OR(L259="",COUNTIF($N$4:N258,V259*1)&gt;=1),"-",V259*1)</f>
        <v>-</v>
      </c>
      <c r="O259" s="338"/>
      <c r="P259" s="338"/>
      <c r="Q259" s="338"/>
      <c r="R259" s="338"/>
      <c r="S259" s="339"/>
      <c r="T259" s="340"/>
      <c r="U259" s="341"/>
      <c r="V259" s="339"/>
      <c r="W259" s="338"/>
    </row>
    <row r="260" spans="12:23" hidden="1">
      <c r="L260" s="323" t="str">
        <f t="shared" ref="L260:L323" si="8">IF(P260&lt;&gt;$B$1,"",P260&amp;Q260&amp;R260&amp;V260)</f>
        <v/>
      </c>
      <c r="M260" s="323" t="str">
        <f>IF(OR(L260="",COUNTIF($M$4:M259,IF(ISERROR($R260*1),LEFT($R260,2)*1,$R260*1))&gt;=1),"-",IF(ISERROR($R260*1),LEFT($R260,2)*1,$R260*1))</f>
        <v>-</v>
      </c>
      <c r="N260" s="323" t="str">
        <f>IF(OR(L260="",COUNTIF($N$4:N259,V260*1)&gt;=1),"-",V260*1)</f>
        <v>-</v>
      </c>
      <c r="O260" s="338"/>
      <c r="P260" s="338"/>
      <c r="Q260" s="338"/>
      <c r="R260" s="338"/>
      <c r="S260" s="339"/>
      <c r="T260" s="340"/>
      <c r="U260" s="341"/>
      <c r="V260" s="339"/>
      <c r="W260" s="338"/>
    </row>
    <row r="261" spans="12:23" hidden="1">
      <c r="L261" s="323" t="str">
        <f t="shared" si="8"/>
        <v/>
      </c>
      <c r="M261" s="323" t="str">
        <f>IF(OR(L261="",COUNTIF($M$4:M260,IF(ISERROR($R261*1),LEFT($R261,2)*1,$R261*1))&gt;=1),"-",IF(ISERROR($R261*1),LEFT($R261,2)*1,$R261*1))</f>
        <v>-</v>
      </c>
      <c r="N261" s="323" t="str">
        <f>IF(OR(L261="",COUNTIF($N$4:N260,V261*1)&gt;=1),"-",V261*1)</f>
        <v>-</v>
      </c>
      <c r="O261" s="338"/>
      <c r="P261" s="338"/>
      <c r="Q261" s="338"/>
      <c r="R261" s="338"/>
      <c r="S261" s="339"/>
      <c r="T261" s="340"/>
      <c r="U261" s="341"/>
      <c r="V261" s="339"/>
      <c r="W261" s="338"/>
    </row>
    <row r="262" spans="12:23" hidden="1">
      <c r="L262" s="323" t="str">
        <f t="shared" si="8"/>
        <v/>
      </c>
      <c r="M262" s="323" t="str">
        <f>IF(OR(L262="",COUNTIF($M$4:M261,IF(ISERROR($R262*1),LEFT($R262,2)*1,$R262*1))&gt;=1),"-",IF(ISERROR($R262*1),LEFT($R262,2)*1,$R262*1))</f>
        <v>-</v>
      </c>
      <c r="N262" s="323" t="str">
        <f>IF(OR(L262="",COUNTIF($N$4:N261,V262*1)&gt;=1),"-",V262*1)</f>
        <v>-</v>
      </c>
      <c r="O262" s="338"/>
      <c r="P262" s="338"/>
      <c r="Q262" s="338"/>
      <c r="R262" s="338"/>
      <c r="S262" s="339"/>
      <c r="T262" s="340"/>
      <c r="U262" s="341"/>
      <c r="V262" s="339"/>
      <c r="W262" s="338"/>
    </row>
    <row r="263" spans="12:23" hidden="1">
      <c r="L263" s="323" t="str">
        <f t="shared" si="8"/>
        <v/>
      </c>
      <c r="M263" s="323" t="str">
        <f>IF(OR(L263="",COUNTIF($M$4:M262,IF(ISERROR($R263*1),LEFT($R263,2)*1,$R263*1))&gt;=1),"-",IF(ISERROR($R263*1),LEFT($R263,2)*1,$R263*1))</f>
        <v>-</v>
      </c>
      <c r="N263" s="323" t="str">
        <f>IF(OR(L263="",COUNTIF($N$4:N262,V263*1)&gt;=1),"-",V263*1)</f>
        <v>-</v>
      </c>
      <c r="O263" s="338"/>
      <c r="P263" s="338"/>
      <c r="Q263" s="338"/>
      <c r="R263" s="338"/>
      <c r="S263" s="339"/>
      <c r="T263" s="340"/>
      <c r="U263" s="341"/>
      <c r="V263" s="339"/>
      <c r="W263" s="338"/>
    </row>
    <row r="264" spans="12:23" hidden="1">
      <c r="L264" s="323" t="str">
        <f t="shared" si="8"/>
        <v/>
      </c>
      <c r="M264" s="323" t="str">
        <f>IF(OR(L264="",COUNTIF($M$4:M263,IF(ISERROR($R264*1),LEFT($R264,2)*1,$R264*1))&gt;=1),"-",IF(ISERROR($R264*1),LEFT($R264,2)*1,$R264*1))</f>
        <v>-</v>
      </c>
      <c r="N264" s="323" t="str">
        <f>IF(OR(L264="",COUNTIF($N$4:N263,V264*1)&gt;=1),"-",V264*1)</f>
        <v>-</v>
      </c>
      <c r="O264" s="338"/>
      <c r="P264" s="338"/>
      <c r="Q264" s="338"/>
      <c r="R264" s="338"/>
      <c r="S264" s="339"/>
      <c r="T264" s="340"/>
      <c r="U264" s="341"/>
      <c r="V264" s="339"/>
      <c r="W264" s="338"/>
    </row>
    <row r="265" spans="12:23" hidden="1">
      <c r="L265" s="323" t="str">
        <f t="shared" si="8"/>
        <v/>
      </c>
      <c r="M265" s="323" t="str">
        <f>IF(OR(L265="",COUNTIF($M$4:M264,IF(ISERROR($R265*1),LEFT($R265,2)*1,$R265*1))&gt;=1),"-",IF(ISERROR($R265*1),LEFT($R265,2)*1,$R265*1))</f>
        <v>-</v>
      </c>
      <c r="N265" s="323" t="str">
        <f>IF(OR(L265="",COUNTIF($N$4:N264,V265*1)&gt;=1),"-",V265*1)</f>
        <v>-</v>
      </c>
      <c r="O265" s="338"/>
      <c r="P265" s="338"/>
      <c r="Q265" s="338"/>
      <c r="R265" s="338"/>
      <c r="S265" s="339"/>
      <c r="T265" s="340"/>
      <c r="U265" s="341"/>
      <c r="V265" s="339"/>
      <c r="W265" s="338"/>
    </row>
    <row r="266" spans="12:23" hidden="1">
      <c r="L266" s="323" t="str">
        <f t="shared" si="8"/>
        <v/>
      </c>
      <c r="M266" s="323" t="str">
        <f>IF(OR(L266="",COUNTIF($M$4:M265,IF(ISERROR($R266*1),LEFT($R266,2)*1,$R266*1))&gt;=1),"-",IF(ISERROR($R266*1),LEFT($R266,2)*1,$R266*1))</f>
        <v>-</v>
      </c>
      <c r="N266" s="323" t="str">
        <f>IF(OR(L266="",COUNTIF($N$4:N265,V266*1)&gt;=1),"-",V266*1)</f>
        <v>-</v>
      </c>
      <c r="O266" s="338"/>
      <c r="P266" s="338"/>
      <c r="Q266" s="338"/>
      <c r="R266" s="338"/>
      <c r="S266" s="339"/>
      <c r="T266" s="340"/>
      <c r="U266" s="341"/>
      <c r="V266" s="339"/>
      <c r="W266" s="338"/>
    </row>
    <row r="267" spans="12:23" hidden="1">
      <c r="L267" s="323" t="str">
        <f t="shared" si="8"/>
        <v/>
      </c>
      <c r="M267" s="323" t="str">
        <f>IF(OR(L267="",COUNTIF($M$4:M266,IF(ISERROR($R267*1),LEFT($R267,2)*1,$R267*1))&gt;=1),"-",IF(ISERROR($R267*1),LEFT($R267,2)*1,$R267*1))</f>
        <v>-</v>
      </c>
      <c r="N267" s="323" t="str">
        <f>IF(OR(L267="",COUNTIF($N$4:N266,V267*1)&gt;=1),"-",V267*1)</f>
        <v>-</v>
      </c>
      <c r="O267" s="338"/>
      <c r="P267" s="338"/>
      <c r="Q267" s="338"/>
      <c r="R267" s="338"/>
      <c r="S267" s="339"/>
      <c r="T267" s="340"/>
      <c r="U267" s="341"/>
      <c r="V267" s="339"/>
      <c r="W267" s="338"/>
    </row>
    <row r="268" spans="12:23" hidden="1">
      <c r="L268" s="323" t="str">
        <f t="shared" si="8"/>
        <v/>
      </c>
      <c r="M268" s="323" t="str">
        <f>IF(OR(L268="",COUNTIF($M$4:M267,IF(ISERROR($R268*1),LEFT($R268,2)*1,$R268*1))&gt;=1),"-",IF(ISERROR($R268*1),LEFT($R268,2)*1,$R268*1))</f>
        <v>-</v>
      </c>
      <c r="N268" s="323" t="str">
        <f>IF(OR(L268="",COUNTIF($N$4:N267,V268*1)&gt;=1),"-",V268*1)</f>
        <v>-</v>
      </c>
      <c r="O268" s="338"/>
      <c r="P268" s="338"/>
      <c r="Q268" s="338"/>
      <c r="R268" s="338"/>
      <c r="S268" s="339"/>
      <c r="T268" s="340"/>
      <c r="U268" s="341"/>
      <c r="V268" s="339"/>
      <c r="W268" s="338"/>
    </row>
    <row r="269" spans="12:23" hidden="1">
      <c r="L269" s="323" t="str">
        <f t="shared" si="8"/>
        <v/>
      </c>
      <c r="M269" s="323" t="str">
        <f>IF(OR(L269="",COUNTIF($M$4:M268,IF(ISERROR($R269*1),LEFT($R269,2)*1,$R269*1))&gt;=1),"-",IF(ISERROR($R269*1),LEFT($R269,2)*1,$R269*1))</f>
        <v>-</v>
      </c>
      <c r="N269" s="323" t="str">
        <f>IF(OR(L269="",COUNTIF($N$4:N268,V269*1)&gt;=1),"-",V269*1)</f>
        <v>-</v>
      </c>
      <c r="O269" s="338"/>
      <c r="P269" s="338"/>
      <c r="Q269" s="338"/>
      <c r="R269" s="338"/>
      <c r="S269" s="339"/>
      <c r="T269" s="340"/>
      <c r="U269" s="341"/>
      <c r="V269" s="339"/>
      <c r="W269" s="338"/>
    </row>
    <row r="270" spans="12:23" hidden="1">
      <c r="L270" s="323" t="str">
        <f t="shared" si="8"/>
        <v/>
      </c>
      <c r="M270" s="323" t="str">
        <f>IF(OR(L270="",COUNTIF($M$4:M269,IF(ISERROR($R270*1),LEFT($R270,2)*1,$R270*1))&gt;=1),"-",IF(ISERROR($R270*1),LEFT($R270,2)*1,$R270*1))</f>
        <v>-</v>
      </c>
      <c r="N270" s="323" t="str">
        <f>IF(OR(L270="",COUNTIF($N$4:N269,V270*1)&gt;=1),"-",V270*1)</f>
        <v>-</v>
      </c>
      <c r="O270" s="338"/>
      <c r="P270" s="338"/>
      <c r="Q270" s="338"/>
      <c r="R270" s="338"/>
      <c r="S270" s="339"/>
      <c r="T270" s="340"/>
      <c r="U270" s="341"/>
      <c r="V270" s="339"/>
      <c r="W270" s="338"/>
    </row>
    <row r="271" spans="12:23" hidden="1">
      <c r="L271" s="323" t="str">
        <f t="shared" si="8"/>
        <v/>
      </c>
      <c r="M271" s="323" t="str">
        <f>IF(OR(L271="",COUNTIF($M$4:M270,IF(ISERROR($R271*1),LEFT($R271,2)*1,$R271*1))&gt;=1),"-",IF(ISERROR($R271*1),LEFT($R271,2)*1,$R271*1))</f>
        <v>-</v>
      </c>
      <c r="N271" s="323" t="str">
        <f>IF(OR(L271="",COUNTIF($N$4:N270,V271*1)&gt;=1),"-",V271*1)</f>
        <v>-</v>
      </c>
      <c r="O271" s="338"/>
      <c r="P271" s="338"/>
      <c r="Q271" s="338"/>
      <c r="R271" s="338"/>
      <c r="S271" s="339"/>
      <c r="T271" s="340"/>
      <c r="U271" s="341"/>
      <c r="V271" s="339"/>
      <c r="W271" s="338"/>
    </row>
    <row r="272" spans="12:23" hidden="1">
      <c r="L272" s="323" t="str">
        <f t="shared" si="8"/>
        <v/>
      </c>
      <c r="M272" s="323" t="str">
        <f>IF(OR(L272="",COUNTIF($M$4:M271,IF(ISERROR($R272*1),LEFT($R272,2)*1,$R272*1))&gt;=1),"-",IF(ISERROR($R272*1),LEFT($R272,2)*1,$R272*1))</f>
        <v>-</v>
      </c>
      <c r="N272" s="323" t="str">
        <f>IF(OR(L272="",COUNTIF($N$4:N271,V272*1)&gt;=1),"-",V272*1)</f>
        <v>-</v>
      </c>
      <c r="O272" s="338"/>
      <c r="P272" s="338"/>
      <c r="Q272" s="338"/>
      <c r="R272" s="338"/>
      <c r="S272" s="339"/>
      <c r="T272" s="340"/>
      <c r="U272" s="341"/>
      <c r="V272" s="339"/>
      <c r="W272" s="338"/>
    </row>
    <row r="273" spans="12:23" hidden="1">
      <c r="L273" s="323" t="str">
        <f t="shared" si="8"/>
        <v/>
      </c>
      <c r="M273" s="323" t="str">
        <f>IF(OR(L273="",COUNTIF($M$4:M272,IF(ISERROR($R273*1),LEFT($R273,2)*1,$R273*1))&gt;=1),"-",IF(ISERROR($R273*1),LEFT($R273,2)*1,$R273*1))</f>
        <v>-</v>
      </c>
      <c r="N273" s="323" t="str">
        <f>IF(OR(L273="",COUNTIF($N$4:N272,V273*1)&gt;=1),"-",V273*1)</f>
        <v>-</v>
      </c>
      <c r="O273" s="338"/>
      <c r="P273" s="338"/>
      <c r="Q273" s="338"/>
      <c r="R273" s="338"/>
      <c r="S273" s="339"/>
      <c r="T273" s="340"/>
      <c r="U273" s="341"/>
      <c r="V273" s="339"/>
      <c r="W273" s="338"/>
    </row>
    <row r="274" spans="12:23" hidden="1">
      <c r="L274" s="323" t="str">
        <f t="shared" si="8"/>
        <v/>
      </c>
      <c r="M274" s="323" t="str">
        <f>IF(OR(L274="",COUNTIF($M$4:M273,IF(ISERROR($R274*1),LEFT($R274,2)*1,$R274*1))&gt;=1),"-",IF(ISERROR($R274*1),LEFT($R274,2)*1,$R274*1))</f>
        <v>-</v>
      </c>
      <c r="N274" s="323" t="str">
        <f>IF(OR(L274="",COUNTIF($N$4:N273,V274*1)&gt;=1),"-",V274*1)</f>
        <v>-</v>
      </c>
      <c r="O274" s="338"/>
      <c r="P274" s="338"/>
      <c r="Q274" s="338"/>
      <c r="R274" s="338"/>
      <c r="S274" s="339"/>
      <c r="T274" s="340"/>
      <c r="U274" s="341"/>
      <c r="V274" s="339"/>
      <c r="W274" s="338"/>
    </row>
    <row r="275" spans="12:23" hidden="1">
      <c r="L275" s="323" t="str">
        <f t="shared" si="8"/>
        <v/>
      </c>
      <c r="M275" s="323" t="str">
        <f>IF(OR(L275="",COUNTIF($M$4:M274,IF(ISERROR($R275*1),LEFT($R275,2)*1,$R275*1))&gt;=1),"-",IF(ISERROR($R275*1),LEFT($R275,2)*1,$R275*1))</f>
        <v>-</v>
      </c>
      <c r="N275" s="323" t="str">
        <f>IF(OR(L275="",COUNTIF($N$4:N274,V275*1)&gt;=1),"-",V275*1)</f>
        <v>-</v>
      </c>
      <c r="O275" s="338"/>
      <c r="P275" s="338"/>
      <c r="Q275" s="338"/>
      <c r="R275" s="338"/>
      <c r="S275" s="339"/>
      <c r="T275" s="340"/>
      <c r="U275" s="341"/>
      <c r="V275" s="339"/>
      <c r="W275" s="338"/>
    </row>
    <row r="276" spans="12:23" hidden="1">
      <c r="L276" s="323" t="str">
        <f t="shared" si="8"/>
        <v/>
      </c>
      <c r="M276" s="323" t="str">
        <f>IF(OR(L276="",COUNTIF($M$4:M275,IF(ISERROR($R276*1),LEFT($R276,2)*1,$R276*1))&gt;=1),"-",IF(ISERROR($R276*1),LEFT($R276,2)*1,$R276*1))</f>
        <v>-</v>
      </c>
      <c r="N276" s="323" t="str">
        <f>IF(OR(L276="",COUNTIF($N$4:N275,V276*1)&gt;=1),"-",V276*1)</f>
        <v>-</v>
      </c>
      <c r="O276" s="338"/>
      <c r="P276" s="338"/>
      <c r="Q276" s="338"/>
      <c r="R276" s="338"/>
      <c r="S276" s="339"/>
      <c r="T276" s="340"/>
      <c r="U276" s="341"/>
      <c r="V276" s="339"/>
      <c r="W276" s="338"/>
    </row>
    <row r="277" spans="12:23" hidden="1">
      <c r="L277" s="323" t="str">
        <f t="shared" si="8"/>
        <v/>
      </c>
      <c r="M277" s="323" t="str">
        <f>IF(OR(L277="",COUNTIF($M$4:M276,IF(ISERROR($R277*1),LEFT($R277,2)*1,$R277*1))&gt;=1),"-",IF(ISERROR($R277*1),LEFT($R277,2)*1,$R277*1))</f>
        <v>-</v>
      </c>
      <c r="N277" s="323" t="str">
        <f>IF(OR(L277="",COUNTIF($N$4:N276,V277*1)&gt;=1),"-",V277*1)</f>
        <v>-</v>
      </c>
      <c r="O277" s="338"/>
      <c r="P277" s="338"/>
      <c r="Q277" s="338"/>
      <c r="R277" s="338"/>
      <c r="S277" s="339"/>
      <c r="T277" s="340"/>
      <c r="U277" s="341"/>
      <c r="V277" s="339"/>
      <c r="W277" s="338"/>
    </row>
    <row r="278" spans="12:23" hidden="1">
      <c r="L278" s="323" t="str">
        <f t="shared" si="8"/>
        <v/>
      </c>
      <c r="M278" s="323" t="str">
        <f>IF(OR(L278="",COUNTIF($M$4:M277,IF(ISERROR($R278*1),LEFT($R278,2)*1,$R278*1))&gt;=1),"-",IF(ISERROR($R278*1),LEFT($R278,2)*1,$R278*1))</f>
        <v>-</v>
      </c>
      <c r="N278" s="323" t="str">
        <f>IF(OR(L278="",COUNTIF($N$4:N277,V278*1)&gt;=1),"-",V278*1)</f>
        <v>-</v>
      </c>
      <c r="O278" s="338"/>
      <c r="P278" s="338"/>
      <c r="Q278" s="338"/>
      <c r="R278" s="338"/>
      <c r="S278" s="339"/>
      <c r="T278" s="340"/>
      <c r="U278" s="341"/>
      <c r="V278" s="339"/>
      <c r="W278" s="338"/>
    </row>
    <row r="279" spans="12:23" hidden="1">
      <c r="L279" s="323" t="str">
        <f t="shared" si="8"/>
        <v/>
      </c>
      <c r="M279" s="323" t="str">
        <f>IF(OR(L279="",COUNTIF($M$4:M278,IF(ISERROR($R279*1),LEFT($R279,2)*1,$R279*1))&gt;=1),"-",IF(ISERROR($R279*1),LEFT($R279,2)*1,$R279*1))</f>
        <v>-</v>
      </c>
      <c r="N279" s="323" t="str">
        <f>IF(OR(L279="",COUNTIF($N$4:N278,V279*1)&gt;=1),"-",V279*1)</f>
        <v>-</v>
      </c>
      <c r="O279" s="338"/>
      <c r="P279" s="338"/>
      <c r="Q279" s="338"/>
      <c r="R279" s="338"/>
      <c r="S279" s="339"/>
      <c r="T279" s="340"/>
      <c r="U279" s="341"/>
      <c r="V279" s="339"/>
      <c r="W279" s="338"/>
    </row>
    <row r="280" spans="12:23" hidden="1">
      <c r="L280" s="323" t="str">
        <f t="shared" si="8"/>
        <v/>
      </c>
      <c r="M280" s="323" t="str">
        <f>IF(OR(L280="",COUNTIF($M$4:M279,IF(ISERROR($R280*1),LEFT($R280,2)*1,$R280*1))&gt;=1),"-",IF(ISERROR($R280*1),LEFT($R280,2)*1,$R280*1))</f>
        <v>-</v>
      </c>
      <c r="N280" s="323" t="str">
        <f>IF(OR(L280="",COUNTIF($N$4:N279,V280*1)&gt;=1),"-",V280*1)</f>
        <v>-</v>
      </c>
      <c r="O280" s="338"/>
      <c r="P280" s="338"/>
      <c r="Q280" s="338"/>
      <c r="R280" s="338"/>
      <c r="S280" s="339"/>
      <c r="T280" s="340"/>
      <c r="U280" s="341"/>
      <c r="V280" s="339"/>
      <c r="W280" s="338"/>
    </row>
    <row r="281" spans="12:23" hidden="1">
      <c r="L281" s="323" t="str">
        <f t="shared" si="8"/>
        <v/>
      </c>
      <c r="M281" s="323" t="str">
        <f>IF(OR(L281="",COUNTIF($M$4:M280,IF(ISERROR($R281*1),LEFT($R281,2)*1,$R281*1))&gt;=1),"-",IF(ISERROR($R281*1),LEFT($R281,2)*1,$R281*1))</f>
        <v>-</v>
      </c>
      <c r="N281" s="323" t="str">
        <f>IF(OR(L281="",COUNTIF($N$4:N280,V281*1)&gt;=1),"-",V281*1)</f>
        <v>-</v>
      </c>
      <c r="O281" s="338"/>
      <c r="P281" s="338"/>
      <c r="Q281" s="338"/>
      <c r="R281" s="338"/>
      <c r="S281" s="339"/>
      <c r="T281" s="340"/>
      <c r="U281" s="341"/>
      <c r="V281" s="339"/>
      <c r="W281" s="338"/>
    </row>
    <row r="282" spans="12:23" hidden="1">
      <c r="L282" s="323" t="str">
        <f t="shared" si="8"/>
        <v/>
      </c>
      <c r="M282" s="323" t="str">
        <f>IF(OR(L282="",COUNTIF($M$4:M281,IF(ISERROR($R282*1),LEFT($R282,2)*1,$R282*1))&gt;=1),"-",IF(ISERROR($R282*1),LEFT($R282,2)*1,$R282*1))</f>
        <v>-</v>
      </c>
      <c r="N282" s="323" t="str">
        <f>IF(OR(L282="",COUNTIF($N$4:N281,V282*1)&gt;=1),"-",V282*1)</f>
        <v>-</v>
      </c>
      <c r="O282" s="338"/>
      <c r="P282" s="338"/>
      <c r="Q282" s="338"/>
      <c r="R282" s="338"/>
      <c r="S282" s="339"/>
      <c r="T282" s="340"/>
      <c r="U282" s="341"/>
      <c r="V282" s="339"/>
      <c r="W282" s="338"/>
    </row>
    <row r="283" spans="12:23" hidden="1">
      <c r="L283" s="323" t="str">
        <f t="shared" si="8"/>
        <v/>
      </c>
      <c r="M283" s="323" t="str">
        <f>IF(OR(L283="",COUNTIF($M$4:M282,IF(ISERROR($R283*1),LEFT($R283,2)*1,$R283*1))&gt;=1),"-",IF(ISERROR($R283*1),LEFT($R283,2)*1,$R283*1))</f>
        <v>-</v>
      </c>
      <c r="N283" s="323" t="str">
        <f>IF(OR(L283="",COUNTIF($N$4:N282,V283*1)&gt;=1),"-",V283*1)</f>
        <v>-</v>
      </c>
      <c r="O283" s="338"/>
      <c r="P283" s="338"/>
      <c r="Q283" s="338"/>
      <c r="R283" s="338"/>
      <c r="S283" s="339"/>
      <c r="T283" s="340"/>
      <c r="U283" s="341"/>
      <c r="V283" s="339"/>
      <c r="W283" s="338"/>
    </row>
    <row r="284" spans="12:23" hidden="1">
      <c r="L284" s="323" t="str">
        <f t="shared" si="8"/>
        <v/>
      </c>
      <c r="M284" s="323" t="str">
        <f>IF(OR(L284="",COUNTIF($M$4:M283,IF(ISERROR($R284*1),LEFT($R284,2)*1,$R284*1))&gt;=1),"-",IF(ISERROR($R284*1),LEFT($R284,2)*1,$R284*1))</f>
        <v>-</v>
      </c>
      <c r="N284" s="323" t="str">
        <f>IF(OR(L284="",COUNTIF($N$4:N283,V284*1)&gt;=1),"-",V284*1)</f>
        <v>-</v>
      </c>
      <c r="O284" s="338"/>
      <c r="P284" s="338"/>
      <c r="Q284" s="338"/>
      <c r="R284" s="338"/>
      <c r="S284" s="339"/>
      <c r="T284" s="340"/>
      <c r="U284" s="341"/>
      <c r="V284" s="339"/>
      <c r="W284" s="338"/>
    </row>
    <row r="285" spans="12:23" hidden="1">
      <c r="L285" s="323" t="str">
        <f t="shared" si="8"/>
        <v/>
      </c>
      <c r="M285" s="323" t="str">
        <f>IF(OR(L285="",COUNTIF($M$4:M284,IF(ISERROR($R285*1),LEFT($R285,2)*1,$R285*1))&gt;=1),"-",IF(ISERROR($R285*1),LEFT($R285,2)*1,$R285*1))</f>
        <v>-</v>
      </c>
      <c r="N285" s="323" t="str">
        <f>IF(OR(L285="",COUNTIF($N$4:N284,V285*1)&gt;=1),"-",V285*1)</f>
        <v>-</v>
      </c>
      <c r="O285" s="338"/>
      <c r="P285" s="338"/>
      <c r="Q285" s="338"/>
      <c r="R285" s="338"/>
      <c r="S285" s="339"/>
      <c r="T285" s="340"/>
      <c r="U285" s="341"/>
      <c r="V285" s="339"/>
      <c r="W285" s="338"/>
    </row>
    <row r="286" spans="12:23" hidden="1">
      <c r="L286" s="323" t="str">
        <f t="shared" si="8"/>
        <v/>
      </c>
      <c r="M286" s="323" t="str">
        <f>IF(OR(L286="",COUNTIF($M$4:M285,IF(ISERROR($R286*1),LEFT($R286,2)*1,$R286*1))&gt;=1),"-",IF(ISERROR($R286*1),LEFT($R286,2)*1,$R286*1))</f>
        <v>-</v>
      </c>
      <c r="N286" s="323" t="str">
        <f>IF(OR(L286="",COUNTIF($N$4:N285,V286*1)&gt;=1),"-",V286*1)</f>
        <v>-</v>
      </c>
      <c r="O286" s="338"/>
      <c r="P286" s="338"/>
      <c r="Q286" s="338"/>
      <c r="R286" s="338"/>
      <c r="S286" s="339"/>
      <c r="T286" s="340"/>
      <c r="U286" s="341"/>
      <c r="V286" s="339"/>
      <c r="W286" s="338"/>
    </row>
    <row r="287" spans="12:23" hidden="1">
      <c r="L287" s="323" t="str">
        <f t="shared" si="8"/>
        <v/>
      </c>
      <c r="M287" s="323" t="str">
        <f>IF(OR(L287="",COUNTIF($M$4:M286,IF(ISERROR($R287*1),LEFT($R287,2)*1,$R287*1))&gt;=1),"-",IF(ISERROR($R287*1),LEFT($R287,2)*1,$R287*1))</f>
        <v>-</v>
      </c>
      <c r="N287" s="323" t="str">
        <f>IF(OR(L287="",COUNTIF($N$4:N286,V287*1)&gt;=1),"-",V287*1)</f>
        <v>-</v>
      </c>
      <c r="O287" s="338"/>
      <c r="P287" s="338"/>
      <c r="Q287" s="338"/>
      <c r="R287" s="338"/>
      <c r="S287" s="339"/>
      <c r="T287" s="340"/>
      <c r="U287" s="341"/>
      <c r="V287" s="339"/>
      <c r="W287" s="338"/>
    </row>
    <row r="288" spans="12:23" hidden="1">
      <c r="L288" s="323" t="str">
        <f t="shared" si="8"/>
        <v/>
      </c>
      <c r="M288" s="323" t="str">
        <f>IF(OR(L288="",COUNTIF($M$4:M287,IF(ISERROR($R288*1),LEFT($R288,2)*1,$R288*1))&gt;=1),"-",IF(ISERROR($R288*1),LEFT($R288,2)*1,$R288*1))</f>
        <v>-</v>
      </c>
      <c r="N288" s="323" t="str">
        <f>IF(OR(L288="",COUNTIF($N$4:N287,V288*1)&gt;=1),"-",V288*1)</f>
        <v>-</v>
      </c>
      <c r="O288" s="338"/>
      <c r="P288" s="338"/>
      <c r="Q288" s="338"/>
      <c r="R288" s="338"/>
      <c r="S288" s="339"/>
      <c r="T288" s="340"/>
      <c r="U288" s="341"/>
      <c r="V288" s="339"/>
      <c r="W288" s="338"/>
    </row>
    <row r="289" spans="12:23" hidden="1">
      <c r="L289" s="323" t="str">
        <f t="shared" si="8"/>
        <v/>
      </c>
      <c r="M289" s="323" t="str">
        <f>IF(OR(L289="",COUNTIF($M$4:M288,IF(ISERROR($R289*1),LEFT($R289,2)*1,$R289*1))&gt;=1),"-",IF(ISERROR($R289*1),LEFT($R289,2)*1,$R289*1))</f>
        <v>-</v>
      </c>
      <c r="N289" s="323" t="str">
        <f>IF(OR(L289="",COUNTIF($N$4:N288,V289*1)&gt;=1),"-",V289*1)</f>
        <v>-</v>
      </c>
      <c r="O289" s="338"/>
      <c r="P289" s="338"/>
      <c r="Q289" s="338"/>
      <c r="R289" s="338"/>
      <c r="S289" s="339"/>
      <c r="T289" s="340"/>
      <c r="U289" s="341"/>
      <c r="V289" s="339"/>
      <c r="W289" s="338"/>
    </row>
    <row r="290" spans="12:23" hidden="1">
      <c r="L290" s="323" t="str">
        <f t="shared" si="8"/>
        <v/>
      </c>
      <c r="M290" s="323" t="str">
        <f>IF(OR(L290="",COUNTIF($M$4:M289,IF(ISERROR($R290*1),LEFT($R290,2)*1,$R290*1))&gt;=1),"-",IF(ISERROR($R290*1),LEFT($R290,2)*1,$R290*1))</f>
        <v>-</v>
      </c>
      <c r="N290" s="323" t="str">
        <f>IF(OR(L290="",COUNTIF($N$4:N289,V290*1)&gt;=1),"-",V290*1)</f>
        <v>-</v>
      </c>
      <c r="O290" s="338"/>
      <c r="P290" s="338"/>
      <c r="Q290" s="338"/>
      <c r="R290" s="338"/>
      <c r="S290" s="339"/>
      <c r="T290" s="340"/>
      <c r="U290" s="341"/>
      <c r="V290" s="339"/>
      <c r="W290" s="338"/>
    </row>
    <row r="291" spans="12:23" hidden="1">
      <c r="L291" s="323" t="str">
        <f t="shared" si="8"/>
        <v/>
      </c>
      <c r="M291" s="323" t="str">
        <f>IF(OR(L291="",COUNTIF($M$4:M290,IF(ISERROR($R291*1),LEFT($R291,2)*1,$R291*1))&gt;=1),"-",IF(ISERROR($R291*1),LEFT($R291,2)*1,$R291*1))</f>
        <v>-</v>
      </c>
      <c r="N291" s="323" t="str">
        <f>IF(OR(L291="",COUNTIF($N$4:N290,V291*1)&gt;=1),"-",V291*1)</f>
        <v>-</v>
      </c>
      <c r="O291" s="338"/>
      <c r="P291" s="338"/>
      <c r="Q291" s="338"/>
      <c r="R291" s="338"/>
      <c r="S291" s="339"/>
      <c r="T291" s="340"/>
      <c r="U291" s="341"/>
      <c r="V291" s="339"/>
      <c r="W291" s="338"/>
    </row>
    <row r="292" spans="12:23" hidden="1">
      <c r="L292" s="323" t="str">
        <f t="shared" si="8"/>
        <v/>
      </c>
      <c r="M292" s="323" t="str">
        <f>IF(OR(L292="",COUNTIF($M$4:M291,IF(ISERROR($R292*1),LEFT($R292,2)*1,$R292*1))&gt;=1),"-",IF(ISERROR($R292*1),LEFT($R292,2)*1,$R292*1))</f>
        <v>-</v>
      </c>
      <c r="N292" s="323" t="str">
        <f>IF(OR(L292="",COUNTIF($N$4:N291,V292*1)&gt;=1),"-",V292*1)</f>
        <v>-</v>
      </c>
      <c r="O292" s="338"/>
      <c r="P292" s="338"/>
      <c r="Q292" s="338"/>
      <c r="R292" s="338"/>
      <c r="S292" s="339"/>
      <c r="T292" s="340"/>
      <c r="U292" s="341"/>
      <c r="V292" s="339"/>
      <c r="W292" s="338"/>
    </row>
    <row r="293" spans="12:23" hidden="1">
      <c r="L293" s="323" t="str">
        <f t="shared" si="8"/>
        <v/>
      </c>
      <c r="M293" s="323" t="str">
        <f>IF(OR(L293="",COUNTIF($M$4:M292,IF(ISERROR($R293*1),LEFT($R293,2)*1,$R293*1))&gt;=1),"-",IF(ISERROR($R293*1),LEFT($R293,2)*1,$R293*1))</f>
        <v>-</v>
      </c>
      <c r="N293" s="323" t="str">
        <f>IF(OR(L293="",COUNTIF($N$4:N292,V293*1)&gt;=1),"-",V293*1)</f>
        <v>-</v>
      </c>
      <c r="O293" s="338"/>
      <c r="P293" s="338"/>
      <c r="Q293" s="338"/>
      <c r="R293" s="338"/>
      <c r="S293" s="339"/>
      <c r="T293" s="340"/>
      <c r="U293" s="341"/>
      <c r="V293" s="339"/>
      <c r="W293" s="338"/>
    </row>
    <row r="294" spans="12:23" hidden="1">
      <c r="L294" s="323" t="str">
        <f t="shared" si="8"/>
        <v/>
      </c>
      <c r="M294" s="323" t="str">
        <f>IF(OR(L294="",COUNTIF($M$4:M293,IF(ISERROR($R294*1),LEFT($R294,2)*1,$R294*1))&gt;=1),"-",IF(ISERROR($R294*1),LEFT($R294,2)*1,$R294*1))</f>
        <v>-</v>
      </c>
      <c r="N294" s="323" t="str">
        <f>IF(OR(L294="",COUNTIF($N$4:N293,V294*1)&gt;=1),"-",V294*1)</f>
        <v>-</v>
      </c>
      <c r="O294" s="338"/>
      <c r="P294" s="338"/>
      <c r="Q294" s="338"/>
      <c r="R294" s="338"/>
      <c r="S294" s="339"/>
      <c r="T294" s="340"/>
      <c r="U294" s="341"/>
      <c r="V294" s="339"/>
      <c r="W294" s="338"/>
    </row>
    <row r="295" spans="12:23" hidden="1">
      <c r="L295" s="323" t="str">
        <f t="shared" si="8"/>
        <v/>
      </c>
      <c r="M295" s="323" t="str">
        <f>IF(OR(L295="",COUNTIF($M$4:M294,IF(ISERROR($R295*1),LEFT($R295,2)*1,$R295*1))&gt;=1),"-",IF(ISERROR($R295*1),LEFT($R295,2)*1,$R295*1))</f>
        <v>-</v>
      </c>
      <c r="N295" s="323" t="str">
        <f>IF(OR(L295="",COUNTIF($N$4:N294,V295*1)&gt;=1),"-",V295*1)</f>
        <v>-</v>
      </c>
      <c r="O295" s="338"/>
      <c r="P295" s="338"/>
      <c r="Q295" s="338"/>
      <c r="R295" s="338"/>
      <c r="S295" s="339"/>
      <c r="T295" s="340"/>
      <c r="U295" s="341"/>
      <c r="V295" s="339"/>
      <c r="W295" s="338"/>
    </row>
    <row r="296" spans="12:23" hidden="1">
      <c r="L296" s="323" t="str">
        <f t="shared" si="8"/>
        <v/>
      </c>
      <c r="M296" s="323" t="str">
        <f>IF(OR(L296="",COUNTIF($M$4:M295,IF(ISERROR($R296*1),LEFT($R296,2)*1,$R296*1))&gt;=1),"-",IF(ISERROR($R296*1),LEFT($R296,2)*1,$R296*1))</f>
        <v>-</v>
      </c>
      <c r="N296" s="323" t="str">
        <f>IF(OR(L296="",COUNTIF($N$4:N295,V296*1)&gt;=1),"-",V296*1)</f>
        <v>-</v>
      </c>
      <c r="O296" s="338"/>
      <c r="P296" s="338"/>
      <c r="Q296" s="338"/>
      <c r="R296" s="338"/>
      <c r="S296" s="339"/>
      <c r="T296" s="340"/>
      <c r="U296" s="341"/>
      <c r="V296" s="339"/>
      <c r="W296" s="338"/>
    </row>
    <row r="297" spans="12:23" hidden="1">
      <c r="L297" s="323" t="str">
        <f t="shared" si="8"/>
        <v/>
      </c>
      <c r="M297" s="323" t="str">
        <f>IF(OR(L297="",COUNTIF($M$4:M296,IF(ISERROR($R297*1),LEFT($R297,2)*1,$R297*1))&gt;=1),"-",IF(ISERROR($R297*1),LEFT($R297,2)*1,$R297*1))</f>
        <v>-</v>
      </c>
      <c r="N297" s="323" t="str">
        <f>IF(OR(L297="",COUNTIF($N$4:N296,V297*1)&gt;=1),"-",V297*1)</f>
        <v>-</v>
      </c>
      <c r="O297" s="338"/>
      <c r="P297" s="338"/>
      <c r="Q297" s="338"/>
      <c r="R297" s="338"/>
      <c r="S297" s="339"/>
      <c r="T297" s="340"/>
      <c r="U297" s="341"/>
      <c r="V297" s="339"/>
      <c r="W297" s="338"/>
    </row>
    <row r="298" spans="12:23" hidden="1">
      <c r="L298" s="323" t="str">
        <f t="shared" si="8"/>
        <v/>
      </c>
      <c r="M298" s="323" t="str">
        <f>IF(OR(L298="",COUNTIF($M$4:M297,IF(ISERROR($R298*1),LEFT($R298,2)*1,$R298*1))&gt;=1),"-",IF(ISERROR($R298*1),LEFT($R298,2)*1,$R298*1))</f>
        <v>-</v>
      </c>
      <c r="N298" s="323" t="str">
        <f>IF(OR(L298="",COUNTIF($N$4:N297,V298*1)&gt;=1),"-",V298*1)</f>
        <v>-</v>
      </c>
      <c r="O298" s="338"/>
      <c r="P298" s="338"/>
      <c r="Q298" s="338"/>
      <c r="R298" s="338"/>
      <c r="S298" s="339"/>
      <c r="T298" s="340"/>
      <c r="U298" s="341"/>
      <c r="V298" s="339"/>
      <c r="W298" s="338"/>
    </row>
    <row r="299" spans="12:23" hidden="1">
      <c r="L299" s="323" t="str">
        <f t="shared" si="8"/>
        <v/>
      </c>
      <c r="M299" s="323" t="str">
        <f>IF(OR(L299="",COUNTIF($M$4:M298,IF(ISERROR($R299*1),LEFT($R299,2)*1,$R299*1))&gt;=1),"-",IF(ISERROR($R299*1),LEFT($R299,2)*1,$R299*1))</f>
        <v>-</v>
      </c>
      <c r="N299" s="323" t="str">
        <f>IF(OR(L299="",COUNTIF($N$4:N298,V299*1)&gt;=1),"-",V299*1)</f>
        <v>-</v>
      </c>
      <c r="O299" s="338"/>
      <c r="P299" s="338"/>
      <c r="Q299" s="338"/>
      <c r="R299" s="338"/>
      <c r="S299" s="339"/>
      <c r="T299" s="340"/>
      <c r="U299" s="341"/>
      <c r="V299" s="339"/>
      <c r="W299" s="338"/>
    </row>
    <row r="300" spans="12:23" hidden="1">
      <c r="L300" s="323" t="str">
        <f t="shared" si="8"/>
        <v/>
      </c>
      <c r="M300" s="323" t="str">
        <f>IF(OR(L300="",COUNTIF($M$4:M299,IF(ISERROR($R300*1),LEFT($R300,2)*1,$R300*1))&gt;=1),"-",IF(ISERROR($R300*1),LEFT($R300,2)*1,$R300*1))</f>
        <v>-</v>
      </c>
      <c r="N300" s="323" t="str">
        <f>IF(OR(L300="",COUNTIF($N$4:N299,V300*1)&gt;=1),"-",V300*1)</f>
        <v>-</v>
      </c>
      <c r="O300" s="338"/>
      <c r="P300" s="338"/>
      <c r="Q300" s="338"/>
      <c r="R300" s="338"/>
      <c r="S300" s="339"/>
      <c r="T300" s="340"/>
      <c r="U300" s="341"/>
      <c r="V300" s="339"/>
      <c r="W300" s="338"/>
    </row>
    <row r="301" spans="12:23" hidden="1">
      <c r="L301" s="323" t="str">
        <f t="shared" si="8"/>
        <v/>
      </c>
      <c r="M301" s="323" t="str">
        <f>IF(OR(L301="",COUNTIF($M$4:M300,IF(ISERROR($R301*1),LEFT($R301,2)*1,$R301*1))&gt;=1),"-",IF(ISERROR($R301*1),LEFT($R301,2)*1,$R301*1))</f>
        <v>-</v>
      </c>
      <c r="N301" s="323" t="str">
        <f>IF(OR(L301="",COUNTIF($N$4:N300,V301*1)&gt;=1),"-",V301*1)</f>
        <v>-</v>
      </c>
      <c r="O301" s="338"/>
      <c r="P301" s="338"/>
      <c r="Q301" s="338"/>
      <c r="R301" s="338"/>
      <c r="S301" s="339"/>
      <c r="T301" s="340"/>
      <c r="U301" s="341"/>
      <c r="V301" s="339"/>
      <c r="W301" s="338"/>
    </row>
    <row r="302" spans="12:23" hidden="1">
      <c r="L302" s="323" t="str">
        <f t="shared" si="8"/>
        <v/>
      </c>
      <c r="M302" s="323" t="str">
        <f>IF(OR(L302="",COUNTIF($M$4:M301,IF(ISERROR($R302*1),LEFT($R302,2)*1,$R302*1))&gt;=1),"-",IF(ISERROR($R302*1),LEFT($R302,2)*1,$R302*1))</f>
        <v>-</v>
      </c>
      <c r="N302" s="323" t="str">
        <f>IF(OR(L302="",COUNTIF($N$4:N301,V302*1)&gt;=1),"-",V302*1)</f>
        <v>-</v>
      </c>
      <c r="O302" s="338"/>
      <c r="P302" s="338"/>
      <c r="Q302" s="338"/>
      <c r="R302" s="338"/>
      <c r="S302" s="339"/>
      <c r="T302" s="340"/>
      <c r="U302" s="341"/>
      <c r="V302" s="339"/>
      <c r="W302" s="338"/>
    </row>
    <row r="303" spans="12:23" hidden="1">
      <c r="L303" s="323" t="str">
        <f t="shared" si="8"/>
        <v/>
      </c>
      <c r="M303" s="323" t="str">
        <f>IF(OR(L303="",COUNTIF($M$4:M302,IF(ISERROR($R303*1),LEFT($R303,2)*1,$R303*1))&gt;=1),"-",IF(ISERROR($R303*1),LEFT($R303,2)*1,$R303*1))</f>
        <v>-</v>
      </c>
      <c r="N303" s="323" t="str">
        <f>IF(OR(L303="",COUNTIF($N$4:N302,V303*1)&gt;=1),"-",V303*1)</f>
        <v>-</v>
      </c>
      <c r="O303" s="338"/>
      <c r="P303" s="338"/>
      <c r="Q303" s="338"/>
      <c r="R303" s="338"/>
      <c r="S303" s="339"/>
      <c r="T303" s="340"/>
      <c r="U303" s="341"/>
      <c r="V303" s="339"/>
      <c r="W303" s="338"/>
    </row>
    <row r="304" spans="12:23" hidden="1">
      <c r="L304" s="323" t="str">
        <f t="shared" si="8"/>
        <v/>
      </c>
      <c r="M304" s="323" t="str">
        <f>IF(OR(L304="",COUNTIF($M$4:M303,IF(ISERROR($R304*1),LEFT($R304,2)*1,$R304*1))&gt;=1),"-",IF(ISERROR($R304*1),LEFT($R304,2)*1,$R304*1))</f>
        <v>-</v>
      </c>
      <c r="N304" s="323" t="str">
        <f>IF(OR(L304="",COUNTIF($N$4:N303,V304*1)&gt;=1),"-",V304*1)</f>
        <v>-</v>
      </c>
      <c r="O304" s="338"/>
      <c r="P304" s="338"/>
      <c r="Q304" s="338"/>
      <c r="R304" s="338"/>
      <c r="S304" s="339"/>
      <c r="T304" s="340"/>
      <c r="U304" s="341"/>
      <c r="V304" s="339"/>
      <c r="W304" s="338"/>
    </row>
    <row r="305" spans="12:23" hidden="1">
      <c r="L305" s="323" t="str">
        <f t="shared" si="8"/>
        <v/>
      </c>
      <c r="M305" s="323" t="str">
        <f>IF(OR(L305="",COUNTIF($M$4:M304,IF(ISERROR($R305*1),LEFT($R305,2)*1,$R305*1))&gt;=1),"-",IF(ISERROR($R305*1),LEFT($R305,2)*1,$R305*1))</f>
        <v>-</v>
      </c>
      <c r="N305" s="323" t="str">
        <f>IF(OR(L305="",COUNTIF($N$4:N304,V305*1)&gt;=1),"-",V305*1)</f>
        <v>-</v>
      </c>
      <c r="O305" s="338"/>
      <c r="P305" s="338"/>
      <c r="Q305" s="338"/>
      <c r="R305" s="338"/>
      <c r="S305" s="339"/>
      <c r="T305" s="340"/>
      <c r="U305" s="341"/>
      <c r="V305" s="339"/>
      <c r="W305" s="338"/>
    </row>
    <row r="306" spans="12:23" hidden="1">
      <c r="L306" s="323" t="str">
        <f t="shared" si="8"/>
        <v/>
      </c>
      <c r="M306" s="323" t="str">
        <f>IF(OR(L306="",COUNTIF($M$4:M305,IF(ISERROR($R306*1),LEFT($R306,2)*1,$R306*1))&gt;=1),"-",IF(ISERROR($R306*1),LEFT($R306,2)*1,$R306*1))</f>
        <v>-</v>
      </c>
      <c r="N306" s="323" t="str">
        <f>IF(OR(L306="",COUNTIF($N$4:N305,V306*1)&gt;=1),"-",V306*1)</f>
        <v>-</v>
      </c>
      <c r="O306" s="338"/>
      <c r="P306" s="338"/>
      <c r="Q306" s="338"/>
      <c r="R306" s="338"/>
      <c r="S306" s="339"/>
      <c r="T306" s="340"/>
      <c r="U306" s="341"/>
      <c r="V306" s="339"/>
      <c r="W306" s="338"/>
    </row>
    <row r="307" spans="12:23" hidden="1">
      <c r="L307" s="323" t="str">
        <f t="shared" si="8"/>
        <v/>
      </c>
      <c r="M307" s="323" t="str">
        <f>IF(OR(L307="",COUNTIF($M$4:M306,IF(ISERROR($R307*1),LEFT($R307,2)*1,$R307*1))&gt;=1),"-",IF(ISERROR($R307*1),LEFT($R307,2)*1,$R307*1))</f>
        <v>-</v>
      </c>
      <c r="N307" s="323" t="str">
        <f>IF(OR(L307="",COUNTIF($N$4:N306,V307*1)&gt;=1),"-",V307*1)</f>
        <v>-</v>
      </c>
      <c r="O307" s="338"/>
      <c r="P307" s="338"/>
      <c r="Q307" s="338"/>
      <c r="R307" s="338"/>
      <c r="S307" s="339"/>
      <c r="T307" s="340"/>
      <c r="U307" s="341"/>
      <c r="V307" s="339"/>
      <c r="W307" s="338"/>
    </row>
    <row r="308" spans="12:23" hidden="1">
      <c r="L308" s="323" t="str">
        <f t="shared" si="8"/>
        <v/>
      </c>
      <c r="M308" s="323" t="str">
        <f>IF(OR(L308="",COUNTIF($M$4:M307,IF(ISERROR($R308*1),LEFT($R308,2)*1,$R308*1))&gt;=1),"-",IF(ISERROR($R308*1),LEFT($R308,2)*1,$R308*1))</f>
        <v>-</v>
      </c>
      <c r="N308" s="323" t="str">
        <f>IF(OR(L308="",COUNTIF($N$4:N307,V308*1)&gt;=1),"-",V308*1)</f>
        <v>-</v>
      </c>
      <c r="O308" s="338"/>
      <c r="P308" s="338"/>
      <c r="Q308" s="338"/>
      <c r="R308" s="338"/>
      <c r="S308" s="339"/>
      <c r="T308" s="340"/>
      <c r="U308" s="341"/>
      <c r="V308" s="339"/>
      <c r="W308" s="338"/>
    </row>
    <row r="309" spans="12:23" hidden="1">
      <c r="L309" s="323" t="str">
        <f t="shared" si="8"/>
        <v/>
      </c>
      <c r="M309" s="323" t="str">
        <f>IF(OR(L309="",COUNTIF($M$4:M308,IF(ISERROR($R309*1),LEFT($R309,2)*1,$R309*1))&gt;=1),"-",IF(ISERROR($R309*1),LEFT($R309,2)*1,$R309*1))</f>
        <v>-</v>
      </c>
      <c r="N309" s="323" t="str">
        <f>IF(OR(L309="",COUNTIF($N$4:N308,V309*1)&gt;=1),"-",V309*1)</f>
        <v>-</v>
      </c>
      <c r="O309" s="338"/>
      <c r="P309" s="338"/>
      <c r="Q309" s="338"/>
      <c r="R309" s="338"/>
      <c r="S309" s="339"/>
      <c r="T309" s="340"/>
      <c r="U309" s="341"/>
      <c r="V309" s="339"/>
      <c r="W309" s="338"/>
    </row>
    <row r="310" spans="12:23" hidden="1">
      <c r="L310" s="323" t="str">
        <f t="shared" si="8"/>
        <v/>
      </c>
      <c r="M310" s="323" t="str">
        <f>IF(OR(L310="",COUNTIF($M$4:M309,IF(ISERROR($R310*1),LEFT($R310,2)*1,$R310*1))&gt;=1),"-",IF(ISERROR($R310*1),LEFT($R310,2)*1,$R310*1))</f>
        <v>-</v>
      </c>
      <c r="N310" s="323" t="str">
        <f>IF(OR(L310="",COUNTIF($N$4:N309,V310*1)&gt;=1),"-",V310*1)</f>
        <v>-</v>
      </c>
      <c r="O310" s="338"/>
      <c r="P310" s="338"/>
      <c r="Q310" s="338"/>
      <c r="R310" s="338"/>
      <c r="S310" s="339"/>
      <c r="T310" s="340"/>
      <c r="U310" s="341"/>
      <c r="V310" s="339"/>
      <c r="W310" s="338"/>
    </row>
    <row r="311" spans="12:23" hidden="1">
      <c r="L311" s="323" t="str">
        <f t="shared" si="8"/>
        <v/>
      </c>
      <c r="M311" s="323" t="str">
        <f>IF(OR(L311="",COUNTIF($M$4:M310,IF(ISERROR($R311*1),LEFT($R311,2)*1,$R311*1))&gt;=1),"-",IF(ISERROR($R311*1),LEFT($R311,2)*1,$R311*1))</f>
        <v>-</v>
      </c>
      <c r="N311" s="323" t="str">
        <f>IF(OR(L311="",COUNTIF($N$4:N310,V311*1)&gt;=1),"-",V311*1)</f>
        <v>-</v>
      </c>
      <c r="O311" s="338"/>
      <c r="P311" s="338"/>
      <c r="Q311" s="338"/>
      <c r="R311" s="338"/>
      <c r="S311" s="339"/>
      <c r="T311" s="340"/>
      <c r="U311" s="341"/>
      <c r="V311" s="339"/>
      <c r="W311" s="338"/>
    </row>
    <row r="312" spans="12:23" hidden="1">
      <c r="L312" s="323" t="str">
        <f t="shared" si="8"/>
        <v/>
      </c>
      <c r="M312" s="323" t="str">
        <f>IF(OR(L312="",COUNTIF($M$4:M311,IF(ISERROR($R312*1),LEFT($R312,2)*1,$R312*1))&gt;=1),"-",IF(ISERROR($R312*1),LEFT($R312,2)*1,$R312*1))</f>
        <v>-</v>
      </c>
      <c r="N312" s="323" t="str">
        <f>IF(OR(L312="",COUNTIF($N$4:N311,V312*1)&gt;=1),"-",V312*1)</f>
        <v>-</v>
      </c>
      <c r="O312" s="338"/>
      <c r="P312" s="338"/>
      <c r="Q312" s="338"/>
      <c r="R312" s="338"/>
      <c r="S312" s="339"/>
      <c r="T312" s="340"/>
      <c r="U312" s="341"/>
      <c r="V312" s="339"/>
      <c r="W312" s="338"/>
    </row>
    <row r="313" spans="12:23" hidden="1">
      <c r="L313" s="323" t="str">
        <f t="shared" si="8"/>
        <v/>
      </c>
      <c r="M313" s="323" t="str">
        <f>IF(OR(L313="",COUNTIF($M$4:M312,IF(ISERROR($R313*1),LEFT($R313,2)*1,$R313*1))&gt;=1),"-",IF(ISERROR($R313*1),LEFT($R313,2)*1,$R313*1))</f>
        <v>-</v>
      </c>
      <c r="N313" s="323" t="str">
        <f>IF(OR(L313="",COUNTIF($N$4:N312,V313*1)&gt;=1),"-",V313*1)</f>
        <v>-</v>
      </c>
      <c r="O313" s="338"/>
      <c r="P313" s="338"/>
      <c r="Q313" s="338"/>
      <c r="R313" s="338"/>
      <c r="S313" s="339"/>
      <c r="T313" s="340"/>
      <c r="U313" s="341"/>
      <c r="V313" s="339"/>
      <c r="W313" s="338"/>
    </row>
    <row r="314" spans="12:23" hidden="1">
      <c r="L314" s="323" t="str">
        <f t="shared" si="8"/>
        <v/>
      </c>
      <c r="M314" s="323" t="str">
        <f>IF(OR(L314="",COUNTIF($M$4:M313,IF(ISERROR($R314*1),LEFT($R314,2)*1,$R314*1))&gt;=1),"-",IF(ISERROR($R314*1),LEFT($R314,2)*1,$R314*1))</f>
        <v>-</v>
      </c>
      <c r="N314" s="323" t="str">
        <f>IF(OR(L314="",COUNTIF($N$4:N313,V314*1)&gt;=1),"-",V314*1)</f>
        <v>-</v>
      </c>
      <c r="O314" s="338"/>
      <c r="P314" s="338"/>
      <c r="Q314" s="338"/>
      <c r="R314" s="338"/>
      <c r="S314" s="339"/>
      <c r="T314" s="340"/>
      <c r="U314" s="341"/>
      <c r="V314" s="339"/>
      <c r="W314" s="338"/>
    </row>
    <row r="315" spans="12:23" hidden="1">
      <c r="L315" s="323" t="str">
        <f t="shared" si="8"/>
        <v/>
      </c>
      <c r="M315" s="323" t="str">
        <f>IF(OR(L315="",COUNTIF($M$4:M314,IF(ISERROR($R315*1),LEFT($R315,2)*1,$R315*1))&gt;=1),"-",IF(ISERROR($R315*1),LEFT($R315,2)*1,$R315*1))</f>
        <v>-</v>
      </c>
      <c r="N315" s="323" t="str">
        <f>IF(OR(L315="",COUNTIF($N$4:N314,V315*1)&gt;=1),"-",V315*1)</f>
        <v>-</v>
      </c>
      <c r="O315" s="338"/>
      <c r="P315" s="338"/>
      <c r="Q315" s="338"/>
      <c r="R315" s="338"/>
      <c r="S315" s="339"/>
      <c r="T315" s="340"/>
      <c r="U315" s="341"/>
      <c r="V315" s="339"/>
      <c r="W315" s="338"/>
    </row>
    <row r="316" spans="12:23" hidden="1">
      <c r="L316" s="323" t="str">
        <f t="shared" si="8"/>
        <v/>
      </c>
      <c r="M316" s="323" t="str">
        <f>IF(OR(L316="",COUNTIF($M$4:M315,IF(ISERROR($R316*1),LEFT($R316,2)*1,$R316*1))&gt;=1),"-",IF(ISERROR($R316*1),LEFT($R316,2)*1,$R316*1))</f>
        <v>-</v>
      </c>
      <c r="N316" s="323" t="str">
        <f>IF(OR(L316="",COUNTIF($N$4:N315,V316*1)&gt;=1),"-",V316*1)</f>
        <v>-</v>
      </c>
      <c r="O316" s="338"/>
      <c r="P316" s="338"/>
      <c r="Q316" s="338"/>
      <c r="R316" s="338"/>
      <c r="S316" s="339"/>
      <c r="T316" s="340"/>
      <c r="U316" s="341"/>
      <c r="V316" s="339"/>
      <c r="W316" s="338"/>
    </row>
    <row r="317" spans="12:23" hidden="1">
      <c r="L317" s="323" t="str">
        <f t="shared" si="8"/>
        <v/>
      </c>
      <c r="M317" s="323" t="str">
        <f>IF(OR(L317="",COUNTIF($M$4:M316,IF(ISERROR($R317*1),LEFT($R317,2)*1,$R317*1))&gt;=1),"-",IF(ISERROR($R317*1),LEFT($R317,2)*1,$R317*1))</f>
        <v>-</v>
      </c>
      <c r="N317" s="323" t="str">
        <f>IF(OR(L317="",COUNTIF($N$4:N316,V317*1)&gt;=1),"-",V317*1)</f>
        <v>-</v>
      </c>
      <c r="O317" s="338"/>
      <c r="P317" s="338"/>
      <c r="Q317" s="338"/>
      <c r="R317" s="338"/>
      <c r="S317" s="339"/>
      <c r="T317" s="340"/>
      <c r="U317" s="341"/>
      <c r="V317" s="339"/>
      <c r="W317" s="338"/>
    </row>
    <row r="318" spans="12:23" hidden="1">
      <c r="L318" s="323" t="str">
        <f t="shared" si="8"/>
        <v/>
      </c>
      <c r="M318" s="323" t="str">
        <f>IF(OR(L318="",COUNTIF($M$4:M317,IF(ISERROR($R318*1),LEFT($R318,2)*1,$R318*1))&gt;=1),"-",IF(ISERROR($R318*1),LEFT($R318,2)*1,$R318*1))</f>
        <v>-</v>
      </c>
      <c r="N318" s="323" t="str">
        <f>IF(OR(L318="",COUNTIF($N$4:N317,V318*1)&gt;=1),"-",V318*1)</f>
        <v>-</v>
      </c>
      <c r="O318" s="338"/>
      <c r="P318" s="338"/>
      <c r="Q318" s="338"/>
      <c r="R318" s="338"/>
      <c r="S318" s="339"/>
      <c r="T318" s="340"/>
      <c r="U318" s="341"/>
      <c r="V318" s="339"/>
      <c r="W318" s="338"/>
    </row>
    <row r="319" spans="12:23" hidden="1">
      <c r="L319" s="323" t="str">
        <f t="shared" si="8"/>
        <v/>
      </c>
      <c r="M319" s="323" t="str">
        <f>IF(OR(L319="",COUNTIF($M$4:M318,IF(ISERROR($R319*1),LEFT($R319,2)*1,$R319*1))&gt;=1),"-",IF(ISERROR($R319*1),LEFT($R319,2)*1,$R319*1))</f>
        <v>-</v>
      </c>
      <c r="N319" s="323" t="str">
        <f>IF(OR(L319="",COUNTIF($N$4:N318,V319*1)&gt;=1),"-",V319*1)</f>
        <v>-</v>
      </c>
      <c r="O319" s="338"/>
      <c r="P319" s="338"/>
      <c r="Q319" s="338"/>
      <c r="R319" s="338"/>
      <c r="S319" s="339"/>
      <c r="T319" s="340"/>
      <c r="U319" s="341"/>
      <c r="V319" s="339"/>
      <c r="W319" s="338"/>
    </row>
    <row r="320" spans="12:23" hidden="1">
      <c r="L320" s="323" t="str">
        <f t="shared" si="8"/>
        <v/>
      </c>
      <c r="M320" s="323" t="str">
        <f>IF(OR(L320="",COUNTIF($M$4:M319,IF(ISERROR($R320*1),LEFT($R320,2)*1,$R320*1))&gt;=1),"-",IF(ISERROR($R320*1),LEFT($R320,2)*1,$R320*1))</f>
        <v>-</v>
      </c>
      <c r="N320" s="323" t="str">
        <f>IF(OR(L320="",COUNTIF($N$4:N319,V320*1)&gt;=1),"-",V320*1)</f>
        <v>-</v>
      </c>
      <c r="O320" s="338"/>
      <c r="P320" s="338"/>
      <c r="Q320" s="338"/>
      <c r="R320" s="338"/>
      <c r="S320" s="339"/>
      <c r="T320" s="340"/>
      <c r="U320" s="341"/>
      <c r="V320" s="339"/>
      <c r="W320" s="338"/>
    </row>
    <row r="321" spans="12:23" hidden="1">
      <c r="L321" s="323" t="str">
        <f t="shared" si="8"/>
        <v/>
      </c>
      <c r="M321" s="323" t="str">
        <f>IF(OR(L321="",COUNTIF($M$4:M320,IF(ISERROR($R321*1),LEFT($R321,2)*1,$R321*1))&gt;=1),"-",IF(ISERROR($R321*1),LEFT($R321,2)*1,$R321*1))</f>
        <v>-</v>
      </c>
      <c r="N321" s="323" t="str">
        <f>IF(OR(L321="",COUNTIF($N$4:N320,V321*1)&gt;=1),"-",V321*1)</f>
        <v>-</v>
      </c>
      <c r="O321" s="338"/>
      <c r="P321" s="338"/>
      <c r="Q321" s="338"/>
      <c r="R321" s="338"/>
      <c r="S321" s="339"/>
      <c r="T321" s="340"/>
      <c r="U321" s="341"/>
      <c r="V321" s="339"/>
      <c r="W321" s="338"/>
    </row>
    <row r="322" spans="12:23" hidden="1">
      <c r="L322" s="323" t="str">
        <f t="shared" si="8"/>
        <v/>
      </c>
      <c r="M322" s="323" t="str">
        <f>IF(OR(L322="",COUNTIF($M$4:M321,IF(ISERROR($R322*1),LEFT($R322,2)*1,$R322*1))&gt;=1),"-",IF(ISERROR($R322*1),LEFT($R322,2)*1,$R322*1))</f>
        <v>-</v>
      </c>
      <c r="N322" s="323" t="str">
        <f>IF(OR(L322="",COUNTIF($N$4:N321,V322*1)&gt;=1),"-",V322*1)</f>
        <v>-</v>
      </c>
      <c r="O322" s="338"/>
      <c r="P322" s="338"/>
      <c r="Q322" s="338"/>
      <c r="R322" s="338"/>
      <c r="S322" s="339"/>
      <c r="T322" s="340"/>
      <c r="U322" s="341"/>
      <c r="V322" s="339"/>
      <c r="W322" s="338"/>
    </row>
    <row r="323" spans="12:23" hidden="1">
      <c r="L323" s="323" t="str">
        <f t="shared" si="8"/>
        <v/>
      </c>
      <c r="M323" s="323" t="str">
        <f>IF(OR(L323="",COUNTIF($M$4:M322,IF(ISERROR($R323*1),LEFT($R323,2)*1,$R323*1))&gt;=1),"-",IF(ISERROR($R323*1),LEFT($R323,2)*1,$R323*1))</f>
        <v>-</v>
      </c>
      <c r="N323" s="323" t="str">
        <f>IF(OR(L323="",COUNTIF($N$4:N322,V323*1)&gt;=1),"-",V323*1)</f>
        <v>-</v>
      </c>
      <c r="O323" s="338"/>
      <c r="P323" s="338"/>
      <c r="Q323" s="338"/>
      <c r="R323" s="338"/>
      <c r="S323" s="339"/>
      <c r="T323" s="340"/>
      <c r="U323" s="341"/>
      <c r="V323" s="339"/>
      <c r="W323" s="338"/>
    </row>
    <row r="324" spans="12:23" hidden="1">
      <c r="L324" s="323" t="str">
        <f t="shared" ref="L324:L339" si="9">IF(P324&lt;&gt;$B$1,"",P324&amp;Q324&amp;R324&amp;V324)</f>
        <v/>
      </c>
      <c r="M324" s="323" t="str">
        <f>IF(OR(L324="",COUNTIF($M$4:M323,IF(ISERROR($R324*1),LEFT($R324,2)*1,$R324*1))&gt;=1),"-",IF(ISERROR($R324*1),LEFT($R324,2)*1,$R324*1))</f>
        <v>-</v>
      </c>
      <c r="N324" s="323" t="str">
        <f>IF(OR(L324="",COUNTIF($N$4:N323,V324*1)&gt;=1),"-",V324*1)</f>
        <v>-</v>
      </c>
      <c r="O324" s="338"/>
      <c r="P324" s="338"/>
      <c r="Q324" s="338"/>
      <c r="R324" s="338"/>
      <c r="S324" s="339"/>
      <c r="T324" s="340"/>
      <c r="U324" s="341"/>
      <c r="V324" s="339"/>
      <c r="W324" s="338"/>
    </row>
    <row r="325" spans="12:23" hidden="1">
      <c r="L325" s="323" t="str">
        <f t="shared" si="9"/>
        <v/>
      </c>
      <c r="M325" s="323" t="str">
        <f>IF(OR(L325="",COUNTIF($M$4:M324,IF(ISERROR($R325*1),LEFT($R325,2)*1,$R325*1))&gt;=1),"-",IF(ISERROR($R325*1),LEFT($R325,2)*1,$R325*1))</f>
        <v>-</v>
      </c>
      <c r="N325" s="323" t="str">
        <f>IF(OR(L325="",COUNTIF($N$4:N324,V325*1)&gt;=1),"-",V325*1)</f>
        <v>-</v>
      </c>
      <c r="O325" s="338"/>
      <c r="P325" s="338"/>
      <c r="Q325" s="338"/>
      <c r="R325" s="338"/>
      <c r="S325" s="339"/>
      <c r="T325" s="340"/>
      <c r="U325" s="341"/>
      <c r="V325" s="339"/>
      <c r="W325" s="338"/>
    </row>
    <row r="326" spans="12:23" hidden="1">
      <c r="L326" s="323" t="str">
        <f t="shared" si="9"/>
        <v/>
      </c>
      <c r="M326" s="323" t="str">
        <f>IF(OR(L326="",COUNTIF($M$4:M325,IF(ISERROR($R326*1),LEFT($R326,2)*1,$R326*1))&gt;=1),"-",IF(ISERROR($R326*1),LEFT($R326,2)*1,$R326*1))</f>
        <v>-</v>
      </c>
      <c r="N326" s="323" t="str">
        <f>IF(OR(L326="",COUNTIF($N$4:N325,V326*1)&gt;=1),"-",V326*1)</f>
        <v>-</v>
      </c>
      <c r="O326" s="338"/>
      <c r="P326" s="338"/>
      <c r="Q326" s="338"/>
      <c r="R326" s="338"/>
      <c r="S326" s="339"/>
      <c r="T326" s="340"/>
      <c r="U326" s="341"/>
      <c r="V326" s="339"/>
      <c r="W326" s="338"/>
    </row>
    <row r="327" spans="12:23" hidden="1">
      <c r="L327" s="323" t="str">
        <f t="shared" si="9"/>
        <v/>
      </c>
      <c r="M327" s="323" t="str">
        <f>IF(OR(L327="",COUNTIF($M$4:M326,IF(ISERROR($R327*1),LEFT($R327,2)*1,$R327*1))&gt;=1),"-",IF(ISERROR($R327*1),LEFT($R327,2)*1,$R327*1))</f>
        <v>-</v>
      </c>
      <c r="N327" s="323" t="str">
        <f>IF(OR(L327="",COUNTIF($N$4:N326,V327*1)&gt;=1),"-",V327*1)</f>
        <v>-</v>
      </c>
      <c r="O327" s="338"/>
      <c r="P327" s="338"/>
      <c r="Q327" s="338"/>
      <c r="R327" s="338"/>
      <c r="S327" s="339"/>
      <c r="T327" s="340"/>
      <c r="U327" s="341"/>
      <c r="V327" s="339"/>
      <c r="W327" s="338"/>
    </row>
    <row r="328" spans="12:23" hidden="1">
      <c r="L328" s="323" t="str">
        <f t="shared" si="9"/>
        <v/>
      </c>
      <c r="M328" s="323" t="str">
        <f>IF(OR(L328="",COUNTIF($M$4:M327,IF(ISERROR($R328*1),LEFT($R328,2)*1,$R328*1))&gt;=1),"-",IF(ISERROR($R328*1),LEFT($R328,2)*1,$R328*1))</f>
        <v>-</v>
      </c>
      <c r="N328" s="323" t="str">
        <f>IF(OR(L328="",COUNTIF($N$4:N327,V328*1)&gt;=1),"-",V328*1)</f>
        <v>-</v>
      </c>
      <c r="O328" s="338"/>
      <c r="P328" s="338"/>
      <c r="Q328" s="338"/>
      <c r="R328" s="338"/>
      <c r="S328" s="339"/>
      <c r="T328" s="340"/>
      <c r="U328" s="341"/>
      <c r="V328" s="339"/>
      <c r="W328" s="338"/>
    </row>
    <row r="329" spans="12:23" hidden="1">
      <c r="L329" s="323" t="str">
        <f t="shared" si="9"/>
        <v/>
      </c>
      <c r="M329" s="323" t="str">
        <f>IF(OR(L329="",COUNTIF($M$4:M328,IF(ISERROR($R329*1),LEFT($R329,2)*1,$R329*1))&gt;=1),"-",IF(ISERROR($R329*1),LEFT($R329,2)*1,$R329*1))</f>
        <v>-</v>
      </c>
      <c r="N329" s="323" t="str">
        <f>IF(OR(L329="",COUNTIF($N$4:N328,V329*1)&gt;=1),"-",V329*1)</f>
        <v>-</v>
      </c>
      <c r="O329" s="338"/>
      <c r="P329" s="338"/>
      <c r="Q329" s="338"/>
      <c r="R329" s="338"/>
      <c r="S329" s="339"/>
      <c r="T329" s="340"/>
      <c r="U329" s="341"/>
      <c r="V329" s="339"/>
      <c r="W329" s="338"/>
    </row>
    <row r="330" spans="12:23" hidden="1">
      <c r="L330" s="323" t="str">
        <f t="shared" si="9"/>
        <v/>
      </c>
      <c r="M330" s="323" t="str">
        <f>IF(OR(L330="",COUNTIF($M$4:M329,IF(ISERROR($R330*1),LEFT($R330,2)*1,$R330*1))&gt;=1),"-",IF(ISERROR($R330*1),LEFT($R330,2)*1,$R330*1))</f>
        <v>-</v>
      </c>
      <c r="N330" s="323" t="str">
        <f>IF(OR(L330="",COUNTIF($N$4:N329,V330*1)&gt;=1),"-",V330*1)</f>
        <v>-</v>
      </c>
      <c r="O330" s="338"/>
      <c r="P330" s="338"/>
      <c r="Q330" s="338"/>
      <c r="R330" s="338"/>
      <c r="S330" s="339"/>
      <c r="T330" s="340"/>
      <c r="U330" s="341"/>
      <c r="V330" s="339"/>
      <c r="W330" s="338"/>
    </row>
    <row r="331" spans="12:23" hidden="1">
      <c r="L331" s="323" t="str">
        <f t="shared" si="9"/>
        <v/>
      </c>
      <c r="M331" s="323" t="str">
        <f>IF(OR(L331="",COUNTIF($M$4:M330,IF(ISERROR($R331*1),LEFT($R331,2)*1,$R331*1))&gt;=1),"-",IF(ISERROR($R331*1),LEFT($R331,2)*1,$R331*1))</f>
        <v>-</v>
      </c>
      <c r="N331" s="323" t="str">
        <f>IF(OR(L331="",COUNTIF($N$4:N330,V331*1)&gt;=1),"-",V331*1)</f>
        <v>-</v>
      </c>
      <c r="O331" s="338"/>
      <c r="P331" s="338"/>
      <c r="Q331" s="338"/>
      <c r="R331" s="338"/>
      <c r="S331" s="339"/>
      <c r="T331" s="340"/>
      <c r="U331" s="341"/>
      <c r="V331" s="339"/>
      <c r="W331" s="338"/>
    </row>
    <row r="332" spans="12:23" hidden="1">
      <c r="L332" s="323" t="str">
        <f t="shared" si="9"/>
        <v/>
      </c>
      <c r="M332" s="323" t="str">
        <f>IF(OR(L332="",COUNTIF($M$4:M331,IF(ISERROR($R332*1),LEFT($R332,2)*1,$R332*1))&gt;=1),"-",IF(ISERROR($R332*1),LEFT($R332,2)*1,$R332*1))</f>
        <v>-</v>
      </c>
      <c r="N332" s="323" t="str">
        <f>IF(OR(L332="",COUNTIF($N$4:N331,V332*1)&gt;=1),"-",V332*1)</f>
        <v>-</v>
      </c>
      <c r="O332" s="338"/>
      <c r="P332" s="338"/>
      <c r="Q332" s="338"/>
      <c r="R332" s="338"/>
      <c r="S332" s="339"/>
      <c r="T332" s="340"/>
      <c r="U332" s="341"/>
      <c r="V332" s="339"/>
      <c r="W332" s="338"/>
    </row>
    <row r="333" spans="12:23" hidden="1">
      <c r="L333" s="323" t="str">
        <f t="shared" si="9"/>
        <v/>
      </c>
      <c r="M333" s="323" t="str">
        <f>IF(OR(L333="",COUNTIF($M$4:M332,IF(ISERROR($R333*1),LEFT($R333,2)*1,$R333*1))&gt;=1),"-",IF(ISERROR($R333*1),LEFT($R333,2)*1,$R333*1))</f>
        <v>-</v>
      </c>
      <c r="N333" s="323" t="str">
        <f>IF(OR(L333="",COUNTIF($N$4:N332,V333*1)&gt;=1),"-",V333*1)</f>
        <v>-</v>
      </c>
      <c r="O333" s="338"/>
      <c r="P333" s="338"/>
      <c r="Q333" s="338"/>
      <c r="R333" s="338"/>
      <c r="S333" s="339"/>
      <c r="T333" s="340"/>
      <c r="U333" s="341"/>
      <c r="V333" s="339"/>
      <c r="W333" s="338"/>
    </row>
    <row r="334" spans="12:23" hidden="1">
      <c r="L334" s="323" t="str">
        <f t="shared" si="9"/>
        <v/>
      </c>
      <c r="M334" s="323" t="str">
        <f>IF(OR(L334="",COUNTIF($M$4:M333,IF(ISERROR($R334*1),LEFT($R334,2)*1,$R334*1))&gt;=1),"-",IF(ISERROR($R334*1),LEFT($R334,2)*1,$R334*1))</f>
        <v>-</v>
      </c>
      <c r="N334" s="323" t="str">
        <f>IF(OR(L334="",COUNTIF($N$4:N333,V334*1)&gt;=1),"-",V334*1)</f>
        <v>-</v>
      </c>
      <c r="O334" s="338"/>
      <c r="P334" s="338"/>
      <c r="Q334" s="338"/>
      <c r="R334" s="338"/>
      <c r="S334" s="339"/>
      <c r="T334" s="340"/>
      <c r="U334" s="341"/>
      <c r="V334" s="339"/>
      <c r="W334" s="338"/>
    </row>
    <row r="335" spans="12:23" hidden="1">
      <c r="L335" s="323" t="str">
        <f t="shared" si="9"/>
        <v/>
      </c>
      <c r="M335" s="323" t="str">
        <f>IF(OR(L335="",COUNTIF($M$4:M334,IF(ISERROR($R335*1),LEFT($R335,2)*1,$R335*1))&gt;=1),"-",IF(ISERROR($R335*1),LEFT($R335,2)*1,$R335*1))</f>
        <v>-</v>
      </c>
      <c r="N335" s="323" t="str">
        <f>IF(OR(L335="",COUNTIF($N$4:N334,V335*1)&gt;=1),"-",V335*1)</f>
        <v>-</v>
      </c>
      <c r="O335" s="338"/>
      <c r="P335" s="338"/>
      <c r="Q335" s="338"/>
      <c r="R335" s="338"/>
      <c r="S335" s="339"/>
      <c r="T335" s="340"/>
      <c r="U335" s="341"/>
      <c r="V335" s="339"/>
      <c r="W335" s="338"/>
    </row>
    <row r="336" spans="12:23" hidden="1">
      <c r="L336" s="323" t="str">
        <f t="shared" si="9"/>
        <v/>
      </c>
      <c r="M336" s="323" t="str">
        <f>IF(OR(L336="",COUNTIF($M$4:M335,IF(ISERROR($R336*1),LEFT($R336,2)*1,$R336*1))&gt;=1),"-",IF(ISERROR($R336*1),LEFT($R336,2)*1,$R336*1))</f>
        <v>-</v>
      </c>
      <c r="N336" s="323" t="str">
        <f>IF(OR(L336="",COUNTIF($N$4:N335,V336*1)&gt;=1),"-",V336*1)</f>
        <v>-</v>
      </c>
      <c r="O336" s="338"/>
      <c r="P336" s="338"/>
      <c r="Q336" s="338"/>
      <c r="R336" s="338"/>
      <c r="S336" s="339"/>
      <c r="T336" s="340"/>
      <c r="U336" s="341"/>
      <c r="V336" s="339"/>
      <c r="W336" s="338"/>
    </row>
    <row r="337" spans="12:23" hidden="1">
      <c r="L337" s="323" t="str">
        <f t="shared" si="9"/>
        <v/>
      </c>
      <c r="M337" s="323" t="str">
        <f>IF(OR(L337="",COUNTIF($M$4:M336,IF(ISERROR($R337*1),LEFT($R337,2)*1,$R337*1))&gt;=1),"-",IF(ISERROR($R337*1),LEFT($R337,2)*1,$R337*1))</f>
        <v>-</v>
      </c>
      <c r="N337" s="323" t="str">
        <f>IF(OR(L337="",COUNTIF($N$4:N336,V337*1)&gt;=1),"-",V337*1)</f>
        <v>-</v>
      </c>
      <c r="O337" s="338"/>
      <c r="P337" s="338"/>
      <c r="Q337" s="338"/>
      <c r="R337" s="338"/>
      <c r="S337" s="339"/>
      <c r="T337" s="340"/>
      <c r="U337" s="341"/>
      <c r="V337" s="339"/>
      <c r="W337" s="338"/>
    </row>
    <row r="338" spans="12:23" hidden="1">
      <c r="L338" s="323" t="str">
        <f t="shared" si="9"/>
        <v/>
      </c>
      <c r="M338" s="323" t="str">
        <f>IF(OR(L338="",COUNTIF($M$4:M337,IF(ISERROR($R338*1),LEFT($R338,2)*1,$R338*1))&gt;=1),"-",IF(ISERROR($R338*1),LEFT($R338,2)*1,$R338*1))</f>
        <v>-</v>
      </c>
      <c r="N338" s="323" t="str">
        <f>IF(OR(L338="",COUNTIF($N$4:N337,V338*1)&gt;=1),"-",V338*1)</f>
        <v>-</v>
      </c>
      <c r="O338" s="338"/>
      <c r="P338" s="338"/>
      <c r="Q338" s="338"/>
      <c r="R338" s="338"/>
      <c r="S338" s="339"/>
      <c r="T338" s="340"/>
      <c r="U338" s="341"/>
      <c r="V338" s="339"/>
      <c r="W338" s="338"/>
    </row>
    <row r="339" spans="12:23" hidden="1">
      <c r="L339" s="323" t="str">
        <f t="shared" si="9"/>
        <v/>
      </c>
      <c r="M339" s="323" t="str">
        <f>IF(OR(L339="",COUNTIF($M$4:M338,IF(ISERROR($R339*1),LEFT($R339,2)*1,$R339*1))&gt;=1),"-",IF(ISERROR($R339*1),LEFT($R339,2)*1,$R339*1))</f>
        <v>-</v>
      </c>
      <c r="N339" s="323" t="str">
        <f>IF(OR(L339="",COUNTIF($N$4:N338,V339*1)&gt;=1),"-",V339*1)</f>
        <v>-</v>
      </c>
      <c r="O339" s="338"/>
      <c r="P339" s="338"/>
      <c r="Q339" s="338"/>
      <c r="R339" s="338"/>
      <c r="S339" s="339"/>
      <c r="T339" s="340"/>
      <c r="U339" s="341"/>
      <c r="V339" s="339"/>
      <c r="W339" s="338"/>
    </row>
  </sheetData>
  <sheetProtection algorithmName="SHA-512" hashValue="hS2Tu3XM1Mo7eeuaUpiKadn//+WV7elD+8/saPpFtu5BHkcrAW8zy4VtkLFmYH7mMK0JRgIBQzFjniazydeWeQ==" saltValue="VKqpSFLruhZeFk0/YoGzBA==" spinCount="100000" sheet="1" objects="1" scenarios="1"/>
  <mergeCells count="1">
    <mergeCell ref="L2:N2"/>
  </mergeCells>
  <phoneticPr fontId="5"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K429"/>
  <sheetViews>
    <sheetView topLeftCell="XFD1048576" workbookViewId="0"/>
  </sheetViews>
  <sheetFormatPr defaultColWidth="0" defaultRowHeight="14.25" zeroHeight="1"/>
  <cols>
    <col min="1" max="9" width="9.33203125" hidden="1"/>
    <col min="10" max="11" width="12.83203125" hidden="1"/>
    <col min="12" max="16" width="9.33203125" hidden="1"/>
    <col min="17" max="17" width="14.6640625" hidden="1"/>
    <col min="18" max="115" width="9.33203125" hidden="1"/>
    <col min="116" max="116" width="10" hidden="1"/>
    <col min="117" max="128" width="9.33203125" hidden="1"/>
    <col min="129" max="129" width="9.33203125" style="130" hidden="1"/>
    <col min="130" max="133" width="9.33203125" hidden="1"/>
    <col min="134" max="134" width="14.33203125" hidden="1"/>
    <col min="135" max="16384" width="9.33203125" hidden="1"/>
  </cols>
  <sheetData>
    <row r="1" spans="1:245" hidden="1">
      <c r="A1" t="s">
        <v>111</v>
      </c>
      <c r="B1" s="183" t="s">
        <v>1011</v>
      </c>
      <c r="C1" s="183"/>
      <c r="D1" s="183"/>
      <c r="E1" s="183"/>
      <c r="J1" t="str">
        <f>B1&amp;TEXT(F1,"00")&amp;TEXT(H1,"00")</f>
        <v>SDJ0000</v>
      </c>
      <c r="K1" s="129"/>
      <c r="M1" t="s">
        <v>197</v>
      </c>
      <c r="Q1" s="184" t="str">
        <f>N1&amp;TEXT(O1,"00")&amp;TEXT(P1,"00")</f>
        <v>0000</v>
      </c>
      <c r="DZ1" t="s">
        <v>196</v>
      </c>
      <c r="ED1" s="184" t="str">
        <f>EA1&amp;TEXT(EB1,"00")&amp;TEXT(EC1,"00")</f>
        <v>0000</v>
      </c>
    </row>
    <row r="2" spans="1:245" ht="24" hidden="1">
      <c r="A2" s="342" t="s">
        <v>110</v>
      </c>
      <c r="B2" s="342" t="s">
        <v>15</v>
      </c>
      <c r="C2" s="342" t="s">
        <v>370</v>
      </c>
      <c r="D2" s="342" t="s">
        <v>371</v>
      </c>
      <c r="E2" s="342" t="s">
        <v>399</v>
      </c>
      <c r="F2" s="342" t="s">
        <v>17</v>
      </c>
      <c r="G2" s="342" t="s">
        <v>400</v>
      </c>
      <c r="H2" s="342" t="s">
        <v>16</v>
      </c>
      <c r="I2" s="342" t="s">
        <v>372</v>
      </c>
      <c r="J2" t="str">
        <f t="shared" ref="J2:J65" si="0">B2&amp;TEXT(F2,"00")&amp;TEXT(H2,"00")</f>
        <v>商品代號性別年齡</v>
      </c>
      <c r="K2" s="342" t="s">
        <v>373</v>
      </c>
      <c r="M2" s="342" t="s">
        <v>110</v>
      </c>
      <c r="N2" s="342" t="s">
        <v>15</v>
      </c>
      <c r="O2" s="342" t="s">
        <v>17</v>
      </c>
      <c r="P2" s="342" t="s">
        <v>16</v>
      </c>
      <c r="Q2" s="184" t="str">
        <f t="shared" ref="Q2:Q65" si="1">N2&amp;TEXT(O2,"00")&amp;TEXT(P2,"00")</f>
        <v>商品代號性別年齡</v>
      </c>
      <c r="R2" s="342" t="s">
        <v>827</v>
      </c>
      <c r="S2" s="342" t="s">
        <v>828</v>
      </c>
      <c r="T2" s="342" t="s">
        <v>829</v>
      </c>
      <c r="U2" s="342" t="s">
        <v>830</v>
      </c>
      <c r="V2" s="342" t="s">
        <v>831</v>
      </c>
      <c r="W2" s="342" t="s">
        <v>832</v>
      </c>
      <c r="X2" s="342" t="s">
        <v>833</v>
      </c>
      <c r="Y2" s="342" t="s">
        <v>834</v>
      </c>
      <c r="Z2" s="342" t="s">
        <v>835</v>
      </c>
      <c r="AA2" s="342" t="s">
        <v>836</v>
      </c>
      <c r="AB2" s="342" t="s">
        <v>837</v>
      </c>
      <c r="AC2" s="342" t="s">
        <v>838</v>
      </c>
      <c r="AD2" s="342" t="s">
        <v>839</v>
      </c>
      <c r="AE2" s="342" t="s">
        <v>840</v>
      </c>
      <c r="AF2" s="342" t="s">
        <v>841</v>
      </c>
      <c r="AG2" s="342" t="s">
        <v>842</v>
      </c>
      <c r="AH2" s="342" t="s">
        <v>843</v>
      </c>
      <c r="AI2" s="342" t="s">
        <v>844</v>
      </c>
      <c r="AJ2" s="342" t="s">
        <v>845</v>
      </c>
      <c r="AK2" s="342" t="s">
        <v>846</v>
      </c>
      <c r="AL2" s="342" t="s">
        <v>847</v>
      </c>
      <c r="AM2" s="342" t="s">
        <v>848</v>
      </c>
      <c r="AN2" s="342" t="s">
        <v>849</v>
      </c>
      <c r="AO2" s="342" t="s">
        <v>850</v>
      </c>
      <c r="AP2" s="342" t="s">
        <v>851</v>
      </c>
      <c r="AQ2" s="342" t="s">
        <v>852</v>
      </c>
      <c r="AR2" s="342" t="s">
        <v>853</v>
      </c>
      <c r="AS2" s="342" t="s">
        <v>854</v>
      </c>
      <c r="AT2" s="342" t="s">
        <v>855</v>
      </c>
      <c r="AU2" s="342" t="s">
        <v>856</v>
      </c>
      <c r="AV2" s="342" t="s">
        <v>857</v>
      </c>
      <c r="AW2" s="342" t="s">
        <v>858</v>
      </c>
      <c r="AX2" s="342" t="s">
        <v>859</v>
      </c>
      <c r="AY2" s="342" t="s">
        <v>860</v>
      </c>
      <c r="AZ2" s="342" t="s">
        <v>861</v>
      </c>
      <c r="BA2" s="342" t="s">
        <v>862</v>
      </c>
      <c r="BB2" s="342" t="s">
        <v>863</v>
      </c>
      <c r="BC2" s="342" t="s">
        <v>864</v>
      </c>
      <c r="BD2" s="342" t="s">
        <v>865</v>
      </c>
      <c r="BE2" s="342" t="s">
        <v>866</v>
      </c>
      <c r="BF2" s="342" t="s">
        <v>867</v>
      </c>
      <c r="BG2" s="342" t="s">
        <v>868</v>
      </c>
      <c r="BH2" s="342" t="s">
        <v>869</v>
      </c>
      <c r="BI2" s="342" t="s">
        <v>870</v>
      </c>
      <c r="BJ2" s="342" t="s">
        <v>871</v>
      </c>
      <c r="BK2" s="342" t="s">
        <v>872</v>
      </c>
      <c r="BL2" s="342" t="s">
        <v>873</v>
      </c>
      <c r="BM2" s="342" t="s">
        <v>874</v>
      </c>
      <c r="BN2" s="342" t="s">
        <v>875</v>
      </c>
      <c r="BO2" s="342" t="s">
        <v>876</v>
      </c>
      <c r="BP2" s="342" t="s">
        <v>877</v>
      </c>
      <c r="BQ2" s="342" t="s">
        <v>878</v>
      </c>
      <c r="BR2" s="342" t="s">
        <v>879</v>
      </c>
      <c r="BS2" s="342" t="s">
        <v>880</v>
      </c>
      <c r="BT2" s="342" t="s">
        <v>881</v>
      </c>
      <c r="BU2" s="342" t="s">
        <v>882</v>
      </c>
      <c r="BV2" s="342" t="s">
        <v>883</v>
      </c>
      <c r="BW2" s="342" t="s">
        <v>884</v>
      </c>
      <c r="BX2" s="342" t="s">
        <v>885</v>
      </c>
      <c r="BY2" s="342" t="s">
        <v>886</v>
      </c>
      <c r="BZ2" s="342" t="s">
        <v>887</v>
      </c>
      <c r="CA2" s="342" t="s">
        <v>888</v>
      </c>
      <c r="CB2" s="342" t="s">
        <v>889</v>
      </c>
      <c r="CC2" s="342" t="s">
        <v>890</v>
      </c>
      <c r="CD2" s="342" t="s">
        <v>891</v>
      </c>
      <c r="CE2" s="342" t="s">
        <v>892</v>
      </c>
      <c r="CF2" s="342" t="s">
        <v>893</v>
      </c>
      <c r="CG2" s="342" t="s">
        <v>894</v>
      </c>
      <c r="CH2" s="342" t="s">
        <v>895</v>
      </c>
      <c r="CI2" s="342" t="s">
        <v>896</v>
      </c>
      <c r="CJ2" s="342" t="s">
        <v>897</v>
      </c>
      <c r="CK2" s="342" t="s">
        <v>898</v>
      </c>
      <c r="CL2" s="342" t="s">
        <v>899</v>
      </c>
      <c r="CM2" s="342" t="s">
        <v>900</v>
      </c>
      <c r="CN2" s="342" t="s">
        <v>901</v>
      </c>
      <c r="CO2" s="342" t="s">
        <v>902</v>
      </c>
      <c r="CP2" s="342" t="s">
        <v>903</v>
      </c>
      <c r="CQ2" s="342" t="s">
        <v>904</v>
      </c>
      <c r="CR2" s="342" t="s">
        <v>905</v>
      </c>
      <c r="CS2" s="342" t="s">
        <v>906</v>
      </c>
      <c r="CT2" s="342" t="s">
        <v>907</v>
      </c>
      <c r="CU2" s="342" t="s">
        <v>908</v>
      </c>
      <c r="CV2" s="342" t="s">
        <v>909</v>
      </c>
      <c r="CW2" s="342" t="s">
        <v>910</v>
      </c>
      <c r="CX2" s="342" t="s">
        <v>911</v>
      </c>
      <c r="CY2" s="342" t="s">
        <v>912</v>
      </c>
      <c r="CZ2" s="342" t="s">
        <v>913</v>
      </c>
      <c r="DA2" s="342" t="s">
        <v>914</v>
      </c>
      <c r="DB2" s="342" t="s">
        <v>915</v>
      </c>
      <c r="DC2" s="342" t="s">
        <v>916</v>
      </c>
      <c r="DD2" s="342" t="s">
        <v>917</v>
      </c>
      <c r="DE2" s="342" t="s">
        <v>918</v>
      </c>
      <c r="DF2" s="342" t="s">
        <v>919</v>
      </c>
      <c r="DG2" s="342" t="s">
        <v>920</v>
      </c>
      <c r="DH2" s="342" t="s">
        <v>921</v>
      </c>
      <c r="DI2" s="342" t="s">
        <v>922</v>
      </c>
      <c r="DJ2" s="342" t="s">
        <v>923</v>
      </c>
      <c r="DK2" s="342" t="s">
        <v>924</v>
      </c>
      <c r="DL2" s="342" t="s">
        <v>925</v>
      </c>
      <c r="DM2" s="342" t="s">
        <v>926</v>
      </c>
      <c r="DN2" s="342" t="s">
        <v>927</v>
      </c>
      <c r="DO2" s="342" t="s">
        <v>928</v>
      </c>
      <c r="DP2" s="342" t="s">
        <v>929</v>
      </c>
      <c r="DQ2" s="342" t="s">
        <v>930</v>
      </c>
      <c r="DR2" s="342" t="s">
        <v>931</v>
      </c>
      <c r="DS2" s="342" t="s">
        <v>932</v>
      </c>
      <c r="DT2" s="342" t="s">
        <v>933</v>
      </c>
      <c r="DU2" s="342" t="s">
        <v>934</v>
      </c>
      <c r="DV2" s="342" t="s">
        <v>935</v>
      </c>
      <c r="DW2" s="342" t="s">
        <v>936</v>
      </c>
      <c r="DX2" s="342" t="s">
        <v>937</v>
      </c>
      <c r="DY2" s="131"/>
      <c r="DZ2" s="342" t="s">
        <v>110</v>
      </c>
      <c r="EA2" s="342" t="s">
        <v>15</v>
      </c>
      <c r="EB2" s="342" t="s">
        <v>17</v>
      </c>
      <c r="EC2" s="342" t="s">
        <v>16</v>
      </c>
      <c r="ED2" s="184" t="str">
        <f t="shared" ref="ED2:ED65" si="2">EA2&amp;TEXT(EB2,"00")&amp;TEXT(EC2,"00")</f>
        <v>商品代號性別年齡</v>
      </c>
      <c r="EE2" s="342" t="s">
        <v>112</v>
      </c>
      <c r="EF2" s="342" t="s">
        <v>113</v>
      </c>
      <c r="EG2" s="342" t="s">
        <v>114</v>
      </c>
      <c r="EH2" s="342" t="s">
        <v>115</v>
      </c>
      <c r="EI2" s="342" t="s">
        <v>116</v>
      </c>
      <c r="EJ2" s="342" t="s">
        <v>117</v>
      </c>
      <c r="EK2" s="342" t="s">
        <v>118</v>
      </c>
      <c r="EL2" s="342" t="s">
        <v>119</v>
      </c>
      <c r="EM2" s="342" t="s">
        <v>120</v>
      </c>
      <c r="EN2" s="342" t="s">
        <v>121</v>
      </c>
      <c r="EO2" s="342" t="s">
        <v>122</v>
      </c>
      <c r="EP2" s="342" t="s">
        <v>123</v>
      </c>
      <c r="EQ2" s="342" t="s">
        <v>124</v>
      </c>
      <c r="ER2" s="342" t="s">
        <v>125</v>
      </c>
      <c r="ES2" s="342" t="s">
        <v>126</v>
      </c>
      <c r="ET2" s="342" t="s">
        <v>127</v>
      </c>
      <c r="EU2" s="342" t="s">
        <v>128</v>
      </c>
      <c r="EV2" s="342" t="s">
        <v>129</v>
      </c>
      <c r="EW2" s="342" t="s">
        <v>130</v>
      </c>
      <c r="EX2" s="342" t="s">
        <v>131</v>
      </c>
      <c r="EY2" s="342" t="s">
        <v>132</v>
      </c>
      <c r="EZ2" s="342" t="s">
        <v>133</v>
      </c>
      <c r="FA2" s="342" t="s">
        <v>134</v>
      </c>
      <c r="FB2" s="342" t="s">
        <v>135</v>
      </c>
      <c r="FC2" s="342" t="s">
        <v>136</v>
      </c>
      <c r="FD2" s="342" t="s">
        <v>137</v>
      </c>
      <c r="FE2" s="342" t="s">
        <v>138</v>
      </c>
      <c r="FF2" s="342" t="s">
        <v>139</v>
      </c>
      <c r="FG2" s="342" t="s">
        <v>140</v>
      </c>
      <c r="FH2" s="342" t="s">
        <v>141</v>
      </c>
      <c r="FI2" s="342" t="s">
        <v>142</v>
      </c>
      <c r="FJ2" s="342" t="s">
        <v>143</v>
      </c>
      <c r="FK2" s="342" t="s">
        <v>144</v>
      </c>
      <c r="FL2" s="342" t="s">
        <v>145</v>
      </c>
      <c r="FM2" s="342" t="s">
        <v>146</v>
      </c>
      <c r="FN2" s="342" t="s">
        <v>147</v>
      </c>
      <c r="FO2" s="342" t="s">
        <v>148</v>
      </c>
      <c r="FP2" s="342" t="s">
        <v>149</v>
      </c>
      <c r="FQ2" s="342" t="s">
        <v>150</v>
      </c>
      <c r="FR2" s="342" t="s">
        <v>151</v>
      </c>
      <c r="FS2" s="342" t="s">
        <v>152</v>
      </c>
      <c r="FT2" s="342" t="s">
        <v>153</v>
      </c>
      <c r="FU2" s="342" t="s">
        <v>154</v>
      </c>
      <c r="FV2" s="342" t="s">
        <v>155</v>
      </c>
      <c r="FW2" s="342" t="s">
        <v>156</v>
      </c>
      <c r="FX2" s="342" t="s">
        <v>157</v>
      </c>
      <c r="FY2" s="342" t="s">
        <v>158</v>
      </c>
      <c r="FZ2" s="342" t="s">
        <v>159</v>
      </c>
      <c r="GA2" s="342" t="s">
        <v>160</v>
      </c>
      <c r="GB2" s="342" t="s">
        <v>161</v>
      </c>
      <c r="GC2" s="342" t="s">
        <v>162</v>
      </c>
      <c r="GD2" s="342" t="s">
        <v>163</v>
      </c>
      <c r="GE2" s="342" t="s">
        <v>164</v>
      </c>
      <c r="GF2" s="342" t="s">
        <v>165</v>
      </c>
      <c r="GG2" s="342" t="s">
        <v>166</v>
      </c>
      <c r="GH2" s="342" t="s">
        <v>167</v>
      </c>
      <c r="GI2" s="342" t="s">
        <v>168</v>
      </c>
      <c r="GJ2" s="342" t="s">
        <v>169</v>
      </c>
      <c r="GK2" s="342" t="s">
        <v>170</v>
      </c>
      <c r="GL2" s="342" t="s">
        <v>171</v>
      </c>
      <c r="GM2" s="342" t="s">
        <v>172</v>
      </c>
      <c r="GN2" s="342" t="s">
        <v>173</v>
      </c>
      <c r="GO2" s="342" t="s">
        <v>174</v>
      </c>
      <c r="GP2" s="342" t="s">
        <v>175</v>
      </c>
      <c r="GQ2" s="342" t="s">
        <v>176</v>
      </c>
      <c r="GR2" s="342" t="s">
        <v>177</v>
      </c>
      <c r="GS2" s="342" t="s">
        <v>178</v>
      </c>
      <c r="GT2" s="342" t="s">
        <v>179</v>
      </c>
      <c r="GU2" s="342" t="s">
        <v>180</v>
      </c>
      <c r="GV2" s="342" t="s">
        <v>181</v>
      </c>
      <c r="GW2" s="342" t="s">
        <v>182</v>
      </c>
      <c r="GX2" s="342" t="s">
        <v>183</v>
      </c>
      <c r="GY2" s="342" t="s">
        <v>184</v>
      </c>
      <c r="GZ2" s="342" t="s">
        <v>185</v>
      </c>
      <c r="HA2" s="342" t="s">
        <v>186</v>
      </c>
      <c r="HB2" s="342" t="s">
        <v>187</v>
      </c>
      <c r="HC2" s="342" t="s">
        <v>188</v>
      </c>
      <c r="HD2" s="342" t="s">
        <v>189</v>
      </c>
      <c r="HE2" s="342" t="s">
        <v>190</v>
      </c>
      <c r="HF2" s="342" t="s">
        <v>191</v>
      </c>
      <c r="HG2" s="342" t="s">
        <v>192</v>
      </c>
      <c r="HH2" s="342" t="s">
        <v>193</v>
      </c>
      <c r="HI2" s="342" t="s">
        <v>194</v>
      </c>
      <c r="HJ2" s="342" t="s">
        <v>195</v>
      </c>
      <c r="HK2" s="342" t="s">
        <v>199</v>
      </c>
      <c r="HL2" s="342" t="s">
        <v>200</v>
      </c>
      <c r="HM2" s="342" t="s">
        <v>201</v>
      </c>
      <c r="HN2" s="342" t="s">
        <v>202</v>
      </c>
      <c r="HO2" s="342" t="s">
        <v>203</v>
      </c>
      <c r="HP2" s="342" t="s">
        <v>204</v>
      </c>
      <c r="HQ2" s="342" t="s">
        <v>205</v>
      </c>
      <c r="HR2" s="342" t="s">
        <v>206</v>
      </c>
      <c r="HS2" s="342" t="s">
        <v>207</v>
      </c>
      <c r="HT2" s="342" t="s">
        <v>208</v>
      </c>
      <c r="HU2" s="342" t="s">
        <v>209</v>
      </c>
      <c r="HV2" s="342" t="s">
        <v>210</v>
      </c>
      <c r="HW2" s="342" t="s">
        <v>211</v>
      </c>
      <c r="HX2" s="342" t="s">
        <v>212</v>
      </c>
      <c r="HY2" s="342" t="s">
        <v>213</v>
      </c>
      <c r="HZ2" s="342" t="s">
        <v>214</v>
      </c>
      <c r="IA2" s="342" t="s">
        <v>215</v>
      </c>
      <c r="IB2" s="342" t="s">
        <v>216</v>
      </c>
      <c r="IC2" s="342" t="s">
        <v>217</v>
      </c>
      <c r="ID2" s="342" t="s">
        <v>218</v>
      </c>
      <c r="IE2" s="342" t="s">
        <v>219</v>
      </c>
      <c r="IF2" s="342" t="s">
        <v>220</v>
      </c>
      <c r="IG2" s="342" t="s">
        <v>221</v>
      </c>
      <c r="IH2" s="342" t="s">
        <v>222</v>
      </c>
      <c r="II2" s="342" t="s">
        <v>223</v>
      </c>
      <c r="IJ2" s="342" t="s">
        <v>224</v>
      </c>
      <c r="IK2" s="342" t="s">
        <v>225</v>
      </c>
    </row>
    <row r="3" spans="1:245" hidden="1">
      <c r="A3" s="343" t="s">
        <v>633</v>
      </c>
      <c r="B3" t="s">
        <v>1010</v>
      </c>
      <c r="F3">
        <v>1</v>
      </c>
      <c r="G3" s="431"/>
      <c r="H3" s="431">
        <v>0</v>
      </c>
      <c r="J3" t="str">
        <f t="shared" si="0"/>
        <v>SDJ200100</v>
      </c>
      <c r="K3">
        <v>239</v>
      </c>
      <c r="M3" s="343" t="s">
        <v>633</v>
      </c>
      <c r="N3" t="s">
        <v>1010</v>
      </c>
      <c r="O3">
        <v>1</v>
      </c>
      <c r="P3">
        <v>0</v>
      </c>
      <c r="Q3" s="184" t="str">
        <f t="shared" si="1"/>
        <v>SDJ200100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10000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s="132"/>
      <c r="DZ3" s="343" t="s">
        <v>633</v>
      </c>
      <c r="EA3" t="s">
        <v>1010</v>
      </c>
      <c r="EB3">
        <v>1</v>
      </c>
      <c r="EC3" s="431">
        <v>0</v>
      </c>
      <c r="ED3" s="184" t="str">
        <f t="shared" si="2"/>
        <v>SDJ200100</v>
      </c>
      <c r="EE3">
        <v>10000</v>
      </c>
      <c r="EF3">
        <v>10000</v>
      </c>
      <c r="EG3">
        <v>10000</v>
      </c>
      <c r="EH3">
        <v>10000</v>
      </c>
      <c r="EI3">
        <v>10000</v>
      </c>
      <c r="EJ3">
        <v>10000</v>
      </c>
      <c r="EK3">
        <v>10000</v>
      </c>
      <c r="EL3">
        <v>10000</v>
      </c>
      <c r="EM3">
        <v>10000</v>
      </c>
      <c r="EN3">
        <v>10000</v>
      </c>
      <c r="EO3">
        <v>10000</v>
      </c>
      <c r="EP3">
        <v>10000</v>
      </c>
      <c r="EQ3">
        <v>10000</v>
      </c>
      <c r="ER3">
        <v>10000</v>
      </c>
      <c r="ES3">
        <v>10000</v>
      </c>
      <c r="ET3">
        <v>10000</v>
      </c>
      <c r="EU3">
        <v>10000</v>
      </c>
      <c r="EV3">
        <v>10000</v>
      </c>
      <c r="EW3">
        <v>10000</v>
      </c>
      <c r="EX3">
        <v>10000</v>
      </c>
      <c r="EY3">
        <v>10000</v>
      </c>
      <c r="EZ3">
        <v>10000</v>
      </c>
      <c r="FA3">
        <v>10000</v>
      </c>
      <c r="FB3">
        <v>10000</v>
      </c>
      <c r="FC3">
        <v>10000</v>
      </c>
      <c r="FD3">
        <v>10000</v>
      </c>
      <c r="FE3">
        <v>10000</v>
      </c>
      <c r="FF3">
        <v>10000</v>
      </c>
      <c r="FG3">
        <v>10000</v>
      </c>
      <c r="FH3">
        <v>10000</v>
      </c>
      <c r="FI3">
        <v>10000</v>
      </c>
      <c r="FJ3">
        <v>10000</v>
      </c>
      <c r="FK3">
        <v>10000</v>
      </c>
      <c r="FL3">
        <v>10000</v>
      </c>
      <c r="FM3">
        <v>10000</v>
      </c>
      <c r="FN3">
        <v>10000</v>
      </c>
      <c r="FO3">
        <v>10000</v>
      </c>
      <c r="FP3">
        <v>10000</v>
      </c>
      <c r="FQ3">
        <v>10000</v>
      </c>
      <c r="FR3">
        <v>10000</v>
      </c>
      <c r="FS3">
        <v>10000</v>
      </c>
      <c r="FT3">
        <v>10000</v>
      </c>
      <c r="FU3">
        <v>10000</v>
      </c>
      <c r="FV3">
        <v>10000</v>
      </c>
      <c r="FW3">
        <v>10000</v>
      </c>
      <c r="FX3">
        <v>10000</v>
      </c>
      <c r="FY3">
        <v>10000</v>
      </c>
      <c r="FZ3">
        <v>10000</v>
      </c>
      <c r="GA3">
        <v>10000</v>
      </c>
      <c r="GB3">
        <v>10000</v>
      </c>
      <c r="GC3">
        <v>10000</v>
      </c>
      <c r="GD3">
        <v>10000</v>
      </c>
      <c r="GE3">
        <v>10000</v>
      </c>
      <c r="GF3">
        <v>10000</v>
      </c>
      <c r="GG3">
        <v>10000</v>
      </c>
      <c r="GH3">
        <v>10000</v>
      </c>
      <c r="GI3">
        <v>10000</v>
      </c>
      <c r="GJ3">
        <v>10000</v>
      </c>
      <c r="GK3">
        <v>10000</v>
      </c>
      <c r="GL3">
        <v>10000</v>
      </c>
      <c r="GM3">
        <v>10000</v>
      </c>
      <c r="GN3">
        <v>10000</v>
      </c>
      <c r="GO3">
        <v>10000</v>
      </c>
      <c r="GP3">
        <v>10000</v>
      </c>
      <c r="GQ3">
        <v>10000</v>
      </c>
      <c r="GR3">
        <v>10000</v>
      </c>
      <c r="GS3">
        <v>10000</v>
      </c>
      <c r="GT3">
        <v>10000</v>
      </c>
      <c r="GU3">
        <v>10000</v>
      </c>
      <c r="GV3">
        <v>10000</v>
      </c>
      <c r="GW3">
        <v>10000</v>
      </c>
      <c r="GX3">
        <v>10000</v>
      </c>
      <c r="GY3">
        <v>10000</v>
      </c>
      <c r="GZ3">
        <v>10000</v>
      </c>
      <c r="HA3">
        <v>10000</v>
      </c>
      <c r="HB3">
        <v>10000</v>
      </c>
      <c r="HC3">
        <v>10000</v>
      </c>
      <c r="HD3">
        <v>10000</v>
      </c>
      <c r="HE3">
        <v>10000</v>
      </c>
      <c r="HF3">
        <v>10000</v>
      </c>
      <c r="HG3">
        <v>10000</v>
      </c>
      <c r="HH3">
        <v>10000</v>
      </c>
      <c r="HI3">
        <v>10000</v>
      </c>
      <c r="HJ3">
        <v>10000</v>
      </c>
      <c r="HK3">
        <v>10000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row>
    <row r="4" spans="1:245" hidden="1">
      <c r="A4" s="343" t="s">
        <v>633</v>
      </c>
      <c r="B4" t="s">
        <v>1010</v>
      </c>
      <c r="F4">
        <v>1</v>
      </c>
      <c r="G4" s="431"/>
      <c r="H4">
        <v>1</v>
      </c>
      <c r="J4" t="str">
        <f t="shared" si="0"/>
        <v>SDJ200101</v>
      </c>
      <c r="K4">
        <v>243</v>
      </c>
      <c r="M4" s="343" t="s">
        <v>633</v>
      </c>
      <c r="N4" t="s">
        <v>1010</v>
      </c>
      <c r="O4">
        <v>1</v>
      </c>
      <c r="P4">
        <v>1</v>
      </c>
      <c r="Q4" s="184" t="str">
        <f t="shared" si="1"/>
        <v>SDJ200101</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10000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s="132"/>
      <c r="DZ4" s="343" t="s">
        <v>633</v>
      </c>
      <c r="EA4" t="s">
        <v>1010</v>
      </c>
      <c r="EB4">
        <v>1</v>
      </c>
      <c r="EC4">
        <v>1</v>
      </c>
      <c r="ED4" s="184" t="str">
        <f t="shared" si="2"/>
        <v>SDJ200101</v>
      </c>
      <c r="EE4">
        <v>10000</v>
      </c>
      <c r="EF4">
        <v>10000</v>
      </c>
      <c r="EG4">
        <v>10000</v>
      </c>
      <c r="EH4">
        <v>10000</v>
      </c>
      <c r="EI4">
        <v>10000</v>
      </c>
      <c r="EJ4">
        <v>10000</v>
      </c>
      <c r="EK4">
        <v>10000</v>
      </c>
      <c r="EL4">
        <v>10000</v>
      </c>
      <c r="EM4">
        <v>10000</v>
      </c>
      <c r="EN4">
        <v>10000</v>
      </c>
      <c r="EO4">
        <v>10000</v>
      </c>
      <c r="EP4">
        <v>10000</v>
      </c>
      <c r="EQ4">
        <v>10000</v>
      </c>
      <c r="ER4">
        <v>10000</v>
      </c>
      <c r="ES4">
        <v>10000</v>
      </c>
      <c r="ET4">
        <v>10000</v>
      </c>
      <c r="EU4">
        <v>10000</v>
      </c>
      <c r="EV4">
        <v>10000</v>
      </c>
      <c r="EW4">
        <v>10000</v>
      </c>
      <c r="EX4">
        <v>10000</v>
      </c>
      <c r="EY4">
        <v>10000</v>
      </c>
      <c r="EZ4">
        <v>10000</v>
      </c>
      <c r="FA4">
        <v>10000</v>
      </c>
      <c r="FB4">
        <v>10000</v>
      </c>
      <c r="FC4">
        <v>10000</v>
      </c>
      <c r="FD4">
        <v>10000</v>
      </c>
      <c r="FE4">
        <v>10000</v>
      </c>
      <c r="FF4">
        <v>10000</v>
      </c>
      <c r="FG4">
        <v>10000</v>
      </c>
      <c r="FH4">
        <v>10000</v>
      </c>
      <c r="FI4">
        <v>10000</v>
      </c>
      <c r="FJ4">
        <v>10000</v>
      </c>
      <c r="FK4">
        <v>10000</v>
      </c>
      <c r="FL4">
        <v>10000</v>
      </c>
      <c r="FM4">
        <v>10000</v>
      </c>
      <c r="FN4">
        <v>10000</v>
      </c>
      <c r="FO4">
        <v>10000</v>
      </c>
      <c r="FP4">
        <v>10000</v>
      </c>
      <c r="FQ4">
        <v>10000</v>
      </c>
      <c r="FR4">
        <v>10000</v>
      </c>
      <c r="FS4">
        <v>10000</v>
      </c>
      <c r="FT4">
        <v>10000</v>
      </c>
      <c r="FU4">
        <v>10000</v>
      </c>
      <c r="FV4">
        <v>10000</v>
      </c>
      <c r="FW4">
        <v>10000</v>
      </c>
      <c r="FX4">
        <v>10000</v>
      </c>
      <c r="FY4">
        <v>10000</v>
      </c>
      <c r="FZ4">
        <v>10000</v>
      </c>
      <c r="GA4">
        <v>10000</v>
      </c>
      <c r="GB4">
        <v>10000</v>
      </c>
      <c r="GC4">
        <v>10000</v>
      </c>
      <c r="GD4">
        <v>10000</v>
      </c>
      <c r="GE4">
        <v>10000</v>
      </c>
      <c r="GF4">
        <v>10000</v>
      </c>
      <c r="GG4">
        <v>10000</v>
      </c>
      <c r="GH4">
        <v>10000</v>
      </c>
      <c r="GI4">
        <v>10000</v>
      </c>
      <c r="GJ4">
        <v>10000</v>
      </c>
      <c r="GK4">
        <v>10000</v>
      </c>
      <c r="GL4">
        <v>10000</v>
      </c>
      <c r="GM4">
        <v>10000</v>
      </c>
      <c r="GN4">
        <v>10000</v>
      </c>
      <c r="GO4">
        <v>10000</v>
      </c>
      <c r="GP4">
        <v>10000</v>
      </c>
      <c r="GQ4">
        <v>10000</v>
      </c>
      <c r="GR4">
        <v>10000</v>
      </c>
      <c r="GS4">
        <v>10000</v>
      </c>
      <c r="GT4">
        <v>10000</v>
      </c>
      <c r="GU4">
        <v>10000</v>
      </c>
      <c r="GV4">
        <v>10000</v>
      </c>
      <c r="GW4">
        <v>10000</v>
      </c>
      <c r="GX4">
        <v>10000</v>
      </c>
      <c r="GY4">
        <v>10000</v>
      </c>
      <c r="GZ4">
        <v>10000</v>
      </c>
      <c r="HA4">
        <v>10000</v>
      </c>
      <c r="HB4">
        <v>10000</v>
      </c>
      <c r="HC4">
        <v>10000</v>
      </c>
      <c r="HD4">
        <v>10000</v>
      </c>
      <c r="HE4">
        <v>10000</v>
      </c>
      <c r="HF4">
        <v>10000</v>
      </c>
      <c r="HG4">
        <v>10000</v>
      </c>
      <c r="HH4">
        <v>10000</v>
      </c>
      <c r="HI4">
        <v>10000</v>
      </c>
      <c r="HJ4">
        <v>10000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row>
    <row r="5" spans="1:245" hidden="1">
      <c r="A5" s="343" t="s">
        <v>633</v>
      </c>
      <c r="B5" t="s">
        <v>1010</v>
      </c>
      <c r="F5">
        <v>1</v>
      </c>
      <c r="G5" s="431"/>
      <c r="H5">
        <v>2</v>
      </c>
      <c r="J5" t="str">
        <f t="shared" si="0"/>
        <v>SDJ200102</v>
      </c>
      <c r="K5">
        <v>247</v>
      </c>
      <c r="M5" s="343" t="s">
        <v>633</v>
      </c>
      <c r="N5" t="s">
        <v>1010</v>
      </c>
      <c r="O5">
        <v>1</v>
      </c>
      <c r="P5">
        <v>2</v>
      </c>
      <c r="Q5" s="184" t="str">
        <f t="shared" si="1"/>
        <v>SDJ200102</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10000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s="132"/>
      <c r="DZ5" s="343" t="s">
        <v>633</v>
      </c>
      <c r="EA5" t="s">
        <v>1010</v>
      </c>
      <c r="EB5">
        <v>1</v>
      </c>
      <c r="EC5">
        <v>2</v>
      </c>
      <c r="ED5" s="184" t="str">
        <f t="shared" si="2"/>
        <v>SDJ200102</v>
      </c>
      <c r="EE5">
        <v>10000</v>
      </c>
      <c r="EF5">
        <v>10000</v>
      </c>
      <c r="EG5">
        <v>10000</v>
      </c>
      <c r="EH5">
        <v>10000</v>
      </c>
      <c r="EI5">
        <v>10000</v>
      </c>
      <c r="EJ5">
        <v>10000</v>
      </c>
      <c r="EK5">
        <v>10000</v>
      </c>
      <c r="EL5">
        <v>10000</v>
      </c>
      <c r="EM5">
        <v>10000</v>
      </c>
      <c r="EN5">
        <v>10000</v>
      </c>
      <c r="EO5">
        <v>10000</v>
      </c>
      <c r="EP5">
        <v>10000</v>
      </c>
      <c r="EQ5">
        <v>10000</v>
      </c>
      <c r="ER5">
        <v>10000</v>
      </c>
      <c r="ES5">
        <v>10000</v>
      </c>
      <c r="ET5">
        <v>10000</v>
      </c>
      <c r="EU5">
        <v>10000</v>
      </c>
      <c r="EV5">
        <v>10000</v>
      </c>
      <c r="EW5">
        <v>10000</v>
      </c>
      <c r="EX5">
        <v>10000</v>
      </c>
      <c r="EY5">
        <v>10000</v>
      </c>
      <c r="EZ5">
        <v>10000</v>
      </c>
      <c r="FA5">
        <v>10000</v>
      </c>
      <c r="FB5">
        <v>10000</v>
      </c>
      <c r="FC5">
        <v>10000</v>
      </c>
      <c r="FD5">
        <v>10000</v>
      </c>
      <c r="FE5">
        <v>10000</v>
      </c>
      <c r="FF5">
        <v>10000</v>
      </c>
      <c r="FG5">
        <v>10000</v>
      </c>
      <c r="FH5">
        <v>10000</v>
      </c>
      <c r="FI5">
        <v>10000</v>
      </c>
      <c r="FJ5">
        <v>10000</v>
      </c>
      <c r="FK5">
        <v>10000</v>
      </c>
      <c r="FL5">
        <v>10000</v>
      </c>
      <c r="FM5">
        <v>10000</v>
      </c>
      <c r="FN5">
        <v>10000</v>
      </c>
      <c r="FO5">
        <v>10000</v>
      </c>
      <c r="FP5">
        <v>10000</v>
      </c>
      <c r="FQ5">
        <v>10000</v>
      </c>
      <c r="FR5">
        <v>10000</v>
      </c>
      <c r="FS5">
        <v>10000</v>
      </c>
      <c r="FT5">
        <v>10000</v>
      </c>
      <c r="FU5">
        <v>10000</v>
      </c>
      <c r="FV5">
        <v>10000</v>
      </c>
      <c r="FW5">
        <v>10000</v>
      </c>
      <c r="FX5">
        <v>10000</v>
      </c>
      <c r="FY5">
        <v>10000</v>
      </c>
      <c r="FZ5">
        <v>10000</v>
      </c>
      <c r="GA5">
        <v>10000</v>
      </c>
      <c r="GB5">
        <v>10000</v>
      </c>
      <c r="GC5">
        <v>10000</v>
      </c>
      <c r="GD5">
        <v>10000</v>
      </c>
      <c r="GE5">
        <v>10000</v>
      </c>
      <c r="GF5">
        <v>10000</v>
      </c>
      <c r="GG5">
        <v>10000</v>
      </c>
      <c r="GH5">
        <v>10000</v>
      </c>
      <c r="GI5">
        <v>10000</v>
      </c>
      <c r="GJ5">
        <v>10000</v>
      </c>
      <c r="GK5">
        <v>10000</v>
      </c>
      <c r="GL5">
        <v>10000</v>
      </c>
      <c r="GM5">
        <v>10000</v>
      </c>
      <c r="GN5">
        <v>10000</v>
      </c>
      <c r="GO5">
        <v>10000</v>
      </c>
      <c r="GP5">
        <v>10000</v>
      </c>
      <c r="GQ5">
        <v>10000</v>
      </c>
      <c r="GR5">
        <v>10000</v>
      </c>
      <c r="GS5">
        <v>10000</v>
      </c>
      <c r="GT5">
        <v>10000</v>
      </c>
      <c r="GU5">
        <v>10000</v>
      </c>
      <c r="GV5">
        <v>10000</v>
      </c>
      <c r="GW5">
        <v>10000</v>
      </c>
      <c r="GX5">
        <v>10000</v>
      </c>
      <c r="GY5">
        <v>10000</v>
      </c>
      <c r="GZ5">
        <v>10000</v>
      </c>
      <c r="HA5">
        <v>10000</v>
      </c>
      <c r="HB5">
        <v>10000</v>
      </c>
      <c r="HC5">
        <v>10000</v>
      </c>
      <c r="HD5">
        <v>10000</v>
      </c>
      <c r="HE5">
        <v>10000</v>
      </c>
      <c r="HF5">
        <v>10000</v>
      </c>
      <c r="HG5">
        <v>10000</v>
      </c>
      <c r="HH5">
        <v>10000</v>
      </c>
      <c r="HI5">
        <v>10000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c r="IK5">
        <v>0</v>
      </c>
    </row>
    <row r="6" spans="1:245" hidden="1">
      <c r="A6" s="343" t="s">
        <v>633</v>
      </c>
      <c r="B6" t="s">
        <v>1010</v>
      </c>
      <c r="F6">
        <v>1</v>
      </c>
      <c r="G6" s="431"/>
      <c r="H6">
        <v>3</v>
      </c>
      <c r="J6" t="str">
        <f t="shared" si="0"/>
        <v>SDJ200103</v>
      </c>
      <c r="K6">
        <v>251</v>
      </c>
      <c r="M6" s="343" t="s">
        <v>633</v>
      </c>
      <c r="N6" t="s">
        <v>1010</v>
      </c>
      <c r="O6">
        <v>1</v>
      </c>
      <c r="P6">
        <v>3</v>
      </c>
      <c r="Q6" s="184" t="str">
        <f t="shared" si="1"/>
        <v>SDJ200103</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10000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s="132"/>
      <c r="DZ6" s="343" t="s">
        <v>633</v>
      </c>
      <c r="EA6" t="s">
        <v>1010</v>
      </c>
      <c r="EB6">
        <v>1</v>
      </c>
      <c r="EC6">
        <v>3</v>
      </c>
      <c r="ED6" s="184" t="str">
        <f t="shared" si="2"/>
        <v>SDJ200103</v>
      </c>
      <c r="EE6">
        <v>10000</v>
      </c>
      <c r="EF6">
        <v>10000</v>
      </c>
      <c r="EG6">
        <v>10000</v>
      </c>
      <c r="EH6">
        <v>10000</v>
      </c>
      <c r="EI6">
        <v>10000</v>
      </c>
      <c r="EJ6">
        <v>10000</v>
      </c>
      <c r="EK6">
        <v>10000</v>
      </c>
      <c r="EL6">
        <v>10000</v>
      </c>
      <c r="EM6">
        <v>10000</v>
      </c>
      <c r="EN6">
        <v>10000</v>
      </c>
      <c r="EO6">
        <v>10000</v>
      </c>
      <c r="EP6">
        <v>10000</v>
      </c>
      <c r="EQ6">
        <v>10000</v>
      </c>
      <c r="ER6">
        <v>10000</v>
      </c>
      <c r="ES6">
        <v>10000</v>
      </c>
      <c r="ET6">
        <v>10000</v>
      </c>
      <c r="EU6">
        <v>10000</v>
      </c>
      <c r="EV6">
        <v>10000</v>
      </c>
      <c r="EW6">
        <v>10000</v>
      </c>
      <c r="EX6">
        <v>10000</v>
      </c>
      <c r="EY6">
        <v>10000</v>
      </c>
      <c r="EZ6">
        <v>10000</v>
      </c>
      <c r="FA6">
        <v>10000</v>
      </c>
      <c r="FB6">
        <v>10000</v>
      </c>
      <c r="FC6">
        <v>10000</v>
      </c>
      <c r="FD6">
        <v>10000</v>
      </c>
      <c r="FE6">
        <v>10000</v>
      </c>
      <c r="FF6">
        <v>10000</v>
      </c>
      <c r="FG6">
        <v>10000</v>
      </c>
      <c r="FH6">
        <v>10000</v>
      </c>
      <c r="FI6">
        <v>10000</v>
      </c>
      <c r="FJ6">
        <v>10000</v>
      </c>
      <c r="FK6">
        <v>10000</v>
      </c>
      <c r="FL6">
        <v>10000</v>
      </c>
      <c r="FM6">
        <v>10000</v>
      </c>
      <c r="FN6">
        <v>10000</v>
      </c>
      <c r="FO6">
        <v>10000</v>
      </c>
      <c r="FP6">
        <v>10000</v>
      </c>
      <c r="FQ6">
        <v>10000</v>
      </c>
      <c r="FR6">
        <v>10000</v>
      </c>
      <c r="FS6">
        <v>10000</v>
      </c>
      <c r="FT6">
        <v>10000</v>
      </c>
      <c r="FU6">
        <v>10000</v>
      </c>
      <c r="FV6">
        <v>10000</v>
      </c>
      <c r="FW6">
        <v>10000</v>
      </c>
      <c r="FX6">
        <v>10000</v>
      </c>
      <c r="FY6">
        <v>10000</v>
      </c>
      <c r="FZ6">
        <v>10000</v>
      </c>
      <c r="GA6">
        <v>10000</v>
      </c>
      <c r="GB6">
        <v>10000</v>
      </c>
      <c r="GC6">
        <v>10000</v>
      </c>
      <c r="GD6">
        <v>10000</v>
      </c>
      <c r="GE6">
        <v>10000</v>
      </c>
      <c r="GF6">
        <v>10000</v>
      </c>
      <c r="GG6">
        <v>10000</v>
      </c>
      <c r="GH6">
        <v>10000</v>
      </c>
      <c r="GI6">
        <v>10000</v>
      </c>
      <c r="GJ6">
        <v>10000</v>
      </c>
      <c r="GK6">
        <v>10000</v>
      </c>
      <c r="GL6">
        <v>10000</v>
      </c>
      <c r="GM6">
        <v>10000</v>
      </c>
      <c r="GN6">
        <v>10000</v>
      </c>
      <c r="GO6">
        <v>10000</v>
      </c>
      <c r="GP6">
        <v>10000</v>
      </c>
      <c r="GQ6">
        <v>10000</v>
      </c>
      <c r="GR6">
        <v>10000</v>
      </c>
      <c r="GS6">
        <v>10000</v>
      </c>
      <c r="GT6">
        <v>10000</v>
      </c>
      <c r="GU6">
        <v>10000</v>
      </c>
      <c r="GV6">
        <v>10000</v>
      </c>
      <c r="GW6">
        <v>10000</v>
      </c>
      <c r="GX6">
        <v>10000</v>
      </c>
      <c r="GY6">
        <v>10000</v>
      </c>
      <c r="GZ6">
        <v>10000</v>
      </c>
      <c r="HA6">
        <v>10000</v>
      </c>
      <c r="HB6">
        <v>10000</v>
      </c>
      <c r="HC6">
        <v>10000</v>
      </c>
      <c r="HD6">
        <v>10000</v>
      </c>
      <c r="HE6">
        <v>10000</v>
      </c>
      <c r="HF6">
        <v>10000</v>
      </c>
      <c r="HG6">
        <v>10000</v>
      </c>
      <c r="HH6">
        <v>10000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0</v>
      </c>
    </row>
    <row r="7" spans="1:245" hidden="1">
      <c r="A7" s="343" t="s">
        <v>633</v>
      </c>
      <c r="B7" t="s">
        <v>1010</v>
      </c>
      <c r="F7">
        <v>1</v>
      </c>
      <c r="G7" s="431"/>
      <c r="H7">
        <v>4</v>
      </c>
      <c r="J7" t="str">
        <f t="shared" si="0"/>
        <v>SDJ200104</v>
      </c>
      <c r="K7">
        <v>255</v>
      </c>
      <c r="M7" s="343" t="s">
        <v>633</v>
      </c>
      <c r="N7" t="s">
        <v>1010</v>
      </c>
      <c r="O7">
        <v>1</v>
      </c>
      <c r="P7">
        <v>4</v>
      </c>
      <c r="Q7" s="184" t="str">
        <f t="shared" si="1"/>
        <v>SDJ200104</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10000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s="132"/>
      <c r="DZ7" s="343" t="s">
        <v>633</v>
      </c>
      <c r="EA7" t="s">
        <v>1010</v>
      </c>
      <c r="EB7">
        <v>1</v>
      </c>
      <c r="EC7">
        <v>4</v>
      </c>
      <c r="ED7" s="184" t="str">
        <f t="shared" si="2"/>
        <v>SDJ200104</v>
      </c>
      <c r="EE7">
        <v>10000</v>
      </c>
      <c r="EF7">
        <v>10000</v>
      </c>
      <c r="EG7">
        <v>10000</v>
      </c>
      <c r="EH7">
        <v>10000</v>
      </c>
      <c r="EI7">
        <v>10000</v>
      </c>
      <c r="EJ7">
        <v>10000</v>
      </c>
      <c r="EK7">
        <v>10000</v>
      </c>
      <c r="EL7">
        <v>10000</v>
      </c>
      <c r="EM7">
        <v>10000</v>
      </c>
      <c r="EN7">
        <v>10000</v>
      </c>
      <c r="EO7">
        <v>10000</v>
      </c>
      <c r="EP7">
        <v>10000</v>
      </c>
      <c r="EQ7">
        <v>10000</v>
      </c>
      <c r="ER7">
        <v>10000</v>
      </c>
      <c r="ES7">
        <v>10000</v>
      </c>
      <c r="ET7">
        <v>10000</v>
      </c>
      <c r="EU7">
        <v>10000</v>
      </c>
      <c r="EV7">
        <v>10000</v>
      </c>
      <c r="EW7">
        <v>10000</v>
      </c>
      <c r="EX7">
        <v>10000</v>
      </c>
      <c r="EY7">
        <v>10000</v>
      </c>
      <c r="EZ7">
        <v>10000</v>
      </c>
      <c r="FA7">
        <v>10000</v>
      </c>
      <c r="FB7">
        <v>10000</v>
      </c>
      <c r="FC7">
        <v>10000</v>
      </c>
      <c r="FD7">
        <v>10000</v>
      </c>
      <c r="FE7">
        <v>10000</v>
      </c>
      <c r="FF7">
        <v>10000</v>
      </c>
      <c r="FG7">
        <v>10000</v>
      </c>
      <c r="FH7">
        <v>10000</v>
      </c>
      <c r="FI7">
        <v>10000</v>
      </c>
      <c r="FJ7">
        <v>10000</v>
      </c>
      <c r="FK7">
        <v>10000</v>
      </c>
      <c r="FL7">
        <v>10000</v>
      </c>
      <c r="FM7">
        <v>10000</v>
      </c>
      <c r="FN7">
        <v>10000</v>
      </c>
      <c r="FO7">
        <v>10000</v>
      </c>
      <c r="FP7">
        <v>10000</v>
      </c>
      <c r="FQ7">
        <v>10000</v>
      </c>
      <c r="FR7">
        <v>10000</v>
      </c>
      <c r="FS7">
        <v>10000</v>
      </c>
      <c r="FT7">
        <v>10000</v>
      </c>
      <c r="FU7">
        <v>10000</v>
      </c>
      <c r="FV7">
        <v>10000</v>
      </c>
      <c r="FW7">
        <v>10000</v>
      </c>
      <c r="FX7">
        <v>10000</v>
      </c>
      <c r="FY7">
        <v>10000</v>
      </c>
      <c r="FZ7">
        <v>10000</v>
      </c>
      <c r="GA7">
        <v>10000</v>
      </c>
      <c r="GB7">
        <v>10000</v>
      </c>
      <c r="GC7">
        <v>10000</v>
      </c>
      <c r="GD7">
        <v>10000</v>
      </c>
      <c r="GE7">
        <v>10000</v>
      </c>
      <c r="GF7">
        <v>10000</v>
      </c>
      <c r="GG7">
        <v>10000</v>
      </c>
      <c r="GH7">
        <v>10000</v>
      </c>
      <c r="GI7">
        <v>10000</v>
      </c>
      <c r="GJ7">
        <v>10000</v>
      </c>
      <c r="GK7">
        <v>10000</v>
      </c>
      <c r="GL7">
        <v>10000</v>
      </c>
      <c r="GM7">
        <v>10000</v>
      </c>
      <c r="GN7">
        <v>10000</v>
      </c>
      <c r="GO7">
        <v>10000</v>
      </c>
      <c r="GP7">
        <v>10000</v>
      </c>
      <c r="GQ7">
        <v>10000</v>
      </c>
      <c r="GR7">
        <v>10000</v>
      </c>
      <c r="GS7">
        <v>10000</v>
      </c>
      <c r="GT7">
        <v>10000</v>
      </c>
      <c r="GU7">
        <v>10000</v>
      </c>
      <c r="GV7">
        <v>10000</v>
      </c>
      <c r="GW7">
        <v>10000</v>
      </c>
      <c r="GX7">
        <v>10000</v>
      </c>
      <c r="GY7">
        <v>10000</v>
      </c>
      <c r="GZ7">
        <v>10000</v>
      </c>
      <c r="HA7">
        <v>10000</v>
      </c>
      <c r="HB7">
        <v>10000</v>
      </c>
      <c r="HC7">
        <v>10000</v>
      </c>
      <c r="HD7">
        <v>10000</v>
      </c>
      <c r="HE7">
        <v>10000</v>
      </c>
      <c r="HF7">
        <v>10000</v>
      </c>
      <c r="HG7">
        <v>10000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row>
    <row r="8" spans="1:245" hidden="1">
      <c r="A8" s="343" t="s">
        <v>633</v>
      </c>
      <c r="B8" t="s">
        <v>1010</v>
      </c>
      <c r="F8">
        <v>1</v>
      </c>
      <c r="G8" s="431"/>
      <c r="H8">
        <v>5</v>
      </c>
      <c r="J8" t="str">
        <f t="shared" si="0"/>
        <v>SDJ200105</v>
      </c>
      <c r="K8">
        <v>259</v>
      </c>
      <c r="M8" s="343" t="s">
        <v>633</v>
      </c>
      <c r="N8" t="s">
        <v>1010</v>
      </c>
      <c r="O8">
        <v>1</v>
      </c>
      <c r="P8">
        <v>5</v>
      </c>
      <c r="Q8" s="184" t="str">
        <f t="shared" si="1"/>
        <v>SDJ200105</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10000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s="132"/>
      <c r="DZ8" s="343" t="s">
        <v>633</v>
      </c>
      <c r="EA8" t="s">
        <v>1010</v>
      </c>
      <c r="EB8">
        <v>1</v>
      </c>
      <c r="EC8">
        <v>5</v>
      </c>
      <c r="ED8" s="184" t="str">
        <f t="shared" si="2"/>
        <v>SDJ200105</v>
      </c>
      <c r="EE8">
        <v>10000</v>
      </c>
      <c r="EF8">
        <v>10000</v>
      </c>
      <c r="EG8">
        <v>10000</v>
      </c>
      <c r="EH8">
        <v>10000</v>
      </c>
      <c r="EI8">
        <v>10000</v>
      </c>
      <c r="EJ8">
        <v>10000</v>
      </c>
      <c r="EK8">
        <v>10000</v>
      </c>
      <c r="EL8">
        <v>10000</v>
      </c>
      <c r="EM8">
        <v>10000</v>
      </c>
      <c r="EN8">
        <v>10000</v>
      </c>
      <c r="EO8">
        <v>10000</v>
      </c>
      <c r="EP8">
        <v>10000</v>
      </c>
      <c r="EQ8">
        <v>10000</v>
      </c>
      <c r="ER8">
        <v>10000</v>
      </c>
      <c r="ES8">
        <v>10000</v>
      </c>
      <c r="ET8">
        <v>10000</v>
      </c>
      <c r="EU8">
        <v>10000</v>
      </c>
      <c r="EV8">
        <v>10000</v>
      </c>
      <c r="EW8">
        <v>10000</v>
      </c>
      <c r="EX8">
        <v>10000</v>
      </c>
      <c r="EY8">
        <v>10000</v>
      </c>
      <c r="EZ8">
        <v>10000</v>
      </c>
      <c r="FA8">
        <v>10000</v>
      </c>
      <c r="FB8">
        <v>10000</v>
      </c>
      <c r="FC8">
        <v>10000</v>
      </c>
      <c r="FD8">
        <v>10000</v>
      </c>
      <c r="FE8">
        <v>10000</v>
      </c>
      <c r="FF8">
        <v>10000</v>
      </c>
      <c r="FG8">
        <v>10000</v>
      </c>
      <c r="FH8">
        <v>10000</v>
      </c>
      <c r="FI8">
        <v>10000</v>
      </c>
      <c r="FJ8">
        <v>10000</v>
      </c>
      <c r="FK8">
        <v>10000</v>
      </c>
      <c r="FL8">
        <v>10000</v>
      </c>
      <c r="FM8">
        <v>10000</v>
      </c>
      <c r="FN8">
        <v>10000</v>
      </c>
      <c r="FO8">
        <v>10000</v>
      </c>
      <c r="FP8">
        <v>10000</v>
      </c>
      <c r="FQ8">
        <v>10000</v>
      </c>
      <c r="FR8">
        <v>10000</v>
      </c>
      <c r="FS8">
        <v>10000</v>
      </c>
      <c r="FT8">
        <v>10000</v>
      </c>
      <c r="FU8">
        <v>10000</v>
      </c>
      <c r="FV8">
        <v>10000</v>
      </c>
      <c r="FW8">
        <v>10000</v>
      </c>
      <c r="FX8">
        <v>10000</v>
      </c>
      <c r="FY8">
        <v>10000</v>
      </c>
      <c r="FZ8">
        <v>10000</v>
      </c>
      <c r="GA8">
        <v>10000</v>
      </c>
      <c r="GB8">
        <v>10000</v>
      </c>
      <c r="GC8">
        <v>10000</v>
      </c>
      <c r="GD8">
        <v>10000</v>
      </c>
      <c r="GE8">
        <v>10000</v>
      </c>
      <c r="GF8">
        <v>10000</v>
      </c>
      <c r="GG8">
        <v>10000</v>
      </c>
      <c r="GH8">
        <v>10000</v>
      </c>
      <c r="GI8">
        <v>10000</v>
      </c>
      <c r="GJ8">
        <v>10000</v>
      </c>
      <c r="GK8">
        <v>10000</v>
      </c>
      <c r="GL8">
        <v>10000</v>
      </c>
      <c r="GM8">
        <v>10000</v>
      </c>
      <c r="GN8">
        <v>10000</v>
      </c>
      <c r="GO8">
        <v>10000</v>
      </c>
      <c r="GP8">
        <v>10000</v>
      </c>
      <c r="GQ8">
        <v>10000</v>
      </c>
      <c r="GR8">
        <v>10000</v>
      </c>
      <c r="GS8">
        <v>10000</v>
      </c>
      <c r="GT8">
        <v>10000</v>
      </c>
      <c r="GU8">
        <v>10000</v>
      </c>
      <c r="GV8">
        <v>10000</v>
      </c>
      <c r="GW8">
        <v>10000</v>
      </c>
      <c r="GX8">
        <v>10000</v>
      </c>
      <c r="GY8">
        <v>10000</v>
      </c>
      <c r="GZ8">
        <v>10000</v>
      </c>
      <c r="HA8">
        <v>10000</v>
      </c>
      <c r="HB8">
        <v>10000</v>
      </c>
      <c r="HC8">
        <v>10000</v>
      </c>
      <c r="HD8">
        <v>10000</v>
      </c>
      <c r="HE8">
        <v>10000</v>
      </c>
      <c r="HF8">
        <v>10000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row>
    <row r="9" spans="1:245" hidden="1">
      <c r="A9" s="343" t="s">
        <v>633</v>
      </c>
      <c r="B9" t="s">
        <v>1010</v>
      </c>
      <c r="F9">
        <v>1</v>
      </c>
      <c r="G9" s="431"/>
      <c r="H9">
        <v>6</v>
      </c>
      <c r="J9" t="str">
        <f t="shared" si="0"/>
        <v>SDJ200106</v>
      </c>
      <c r="K9">
        <v>263</v>
      </c>
      <c r="M9" s="343" t="s">
        <v>633</v>
      </c>
      <c r="N9" t="s">
        <v>1010</v>
      </c>
      <c r="O9">
        <v>1</v>
      </c>
      <c r="P9">
        <v>6</v>
      </c>
      <c r="Q9" s="184" t="str">
        <f t="shared" si="1"/>
        <v>SDJ200106</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10000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s="132"/>
      <c r="DZ9" s="343" t="s">
        <v>633</v>
      </c>
      <c r="EA9" t="s">
        <v>1010</v>
      </c>
      <c r="EB9">
        <v>1</v>
      </c>
      <c r="EC9">
        <v>6</v>
      </c>
      <c r="ED9" s="184" t="str">
        <f t="shared" si="2"/>
        <v>SDJ200106</v>
      </c>
      <c r="EE9">
        <v>10000</v>
      </c>
      <c r="EF9">
        <v>10000</v>
      </c>
      <c r="EG9">
        <v>10000</v>
      </c>
      <c r="EH9">
        <v>10000</v>
      </c>
      <c r="EI9">
        <v>10000</v>
      </c>
      <c r="EJ9">
        <v>10000</v>
      </c>
      <c r="EK9">
        <v>10000</v>
      </c>
      <c r="EL9">
        <v>10000</v>
      </c>
      <c r="EM9">
        <v>10000</v>
      </c>
      <c r="EN9">
        <v>10000</v>
      </c>
      <c r="EO9">
        <v>10000</v>
      </c>
      <c r="EP9">
        <v>10000</v>
      </c>
      <c r="EQ9">
        <v>10000</v>
      </c>
      <c r="ER9">
        <v>10000</v>
      </c>
      <c r="ES9">
        <v>10000</v>
      </c>
      <c r="ET9">
        <v>10000</v>
      </c>
      <c r="EU9">
        <v>10000</v>
      </c>
      <c r="EV9">
        <v>10000</v>
      </c>
      <c r="EW9">
        <v>10000</v>
      </c>
      <c r="EX9">
        <v>10000</v>
      </c>
      <c r="EY9">
        <v>10000</v>
      </c>
      <c r="EZ9">
        <v>10000</v>
      </c>
      <c r="FA9">
        <v>10000</v>
      </c>
      <c r="FB9">
        <v>10000</v>
      </c>
      <c r="FC9">
        <v>10000</v>
      </c>
      <c r="FD9">
        <v>10000</v>
      </c>
      <c r="FE9">
        <v>10000</v>
      </c>
      <c r="FF9">
        <v>10000</v>
      </c>
      <c r="FG9">
        <v>10000</v>
      </c>
      <c r="FH9">
        <v>10000</v>
      </c>
      <c r="FI9">
        <v>10000</v>
      </c>
      <c r="FJ9">
        <v>10000</v>
      </c>
      <c r="FK9">
        <v>10000</v>
      </c>
      <c r="FL9">
        <v>10000</v>
      </c>
      <c r="FM9">
        <v>10000</v>
      </c>
      <c r="FN9">
        <v>10000</v>
      </c>
      <c r="FO9">
        <v>10000</v>
      </c>
      <c r="FP9">
        <v>10000</v>
      </c>
      <c r="FQ9">
        <v>10000</v>
      </c>
      <c r="FR9">
        <v>10000</v>
      </c>
      <c r="FS9">
        <v>10000</v>
      </c>
      <c r="FT9">
        <v>10000</v>
      </c>
      <c r="FU9">
        <v>10000</v>
      </c>
      <c r="FV9">
        <v>10000</v>
      </c>
      <c r="FW9">
        <v>10000</v>
      </c>
      <c r="FX9">
        <v>10000</v>
      </c>
      <c r="FY9">
        <v>10000</v>
      </c>
      <c r="FZ9">
        <v>10000</v>
      </c>
      <c r="GA9">
        <v>10000</v>
      </c>
      <c r="GB9">
        <v>10000</v>
      </c>
      <c r="GC9">
        <v>10000</v>
      </c>
      <c r="GD9">
        <v>10000</v>
      </c>
      <c r="GE9">
        <v>10000</v>
      </c>
      <c r="GF9">
        <v>10000</v>
      </c>
      <c r="GG9">
        <v>10000</v>
      </c>
      <c r="GH9">
        <v>10000</v>
      </c>
      <c r="GI9">
        <v>10000</v>
      </c>
      <c r="GJ9">
        <v>10000</v>
      </c>
      <c r="GK9">
        <v>10000</v>
      </c>
      <c r="GL9">
        <v>10000</v>
      </c>
      <c r="GM9">
        <v>10000</v>
      </c>
      <c r="GN9">
        <v>10000</v>
      </c>
      <c r="GO9">
        <v>10000</v>
      </c>
      <c r="GP9">
        <v>10000</v>
      </c>
      <c r="GQ9">
        <v>10000</v>
      </c>
      <c r="GR9">
        <v>10000</v>
      </c>
      <c r="GS9">
        <v>10000</v>
      </c>
      <c r="GT9">
        <v>10000</v>
      </c>
      <c r="GU9">
        <v>10000</v>
      </c>
      <c r="GV9">
        <v>10000</v>
      </c>
      <c r="GW9">
        <v>10000</v>
      </c>
      <c r="GX9">
        <v>10000</v>
      </c>
      <c r="GY9">
        <v>10000</v>
      </c>
      <c r="GZ9">
        <v>10000</v>
      </c>
      <c r="HA9">
        <v>10000</v>
      </c>
      <c r="HB9">
        <v>10000</v>
      </c>
      <c r="HC9">
        <v>10000</v>
      </c>
      <c r="HD9">
        <v>10000</v>
      </c>
      <c r="HE9">
        <v>10000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0</v>
      </c>
      <c r="IK9">
        <v>0</v>
      </c>
    </row>
    <row r="10" spans="1:245" hidden="1">
      <c r="A10" s="343" t="s">
        <v>633</v>
      </c>
      <c r="B10" t="s">
        <v>1010</v>
      </c>
      <c r="F10">
        <v>1</v>
      </c>
      <c r="G10" s="431"/>
      <c r="H10">
        <v>7</v>
      </c>
      <c r="J10" t="str">
        <f t="shared" si="0"/>
        <v>SDJ200107</v>
      </c>
      <c r="K10">
        <v>268</v>
      </c>
      <c r="M10" s="343" t="s">
        <v>633</v>
      </c>
      <c r="N10" t="s">
        <v>1010</v>
      </c>
      <c r="O10">
        <v>1</v>
      </c>
      <c r="P10">
        <v>7</v>
      </c>
      <c r="Q10" s="184" t="str">
        <f t="shared" si="1"/>
        <v>SDJ200107</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10000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s="132"/>
      <c r="DZ10" s="343" t="s">
        <v>633</v>
      </c>
      <c r="EA10" t="s">
        <v>1010</v>
      </c>
      <c r="EB10">
        <v>1</v>
      </c>
      <c r="EC10">
        <v>7</v>
      </c>
      <c r="ED10" s="184" t="str">
        <f t="shared" si="2"/>
        <v>SDJ200107</v>
      </c>
      <c r="EE10">
        <v>10000</v>
      </c>
      <c r="EF10">
        <v>10000</v>
      </c>
      <c r="EG10">
        <v>10000</v>
      </c>
      <c r="EH10">
        <v>10000</v>
      </c>
      <c r="EI10">
        <v>10000</v>
      </c>
      <c r="EJ10">
        <v>10000</v>
      </c>
      <c r="EK10">
        <v>10000</v>
      </c>
      <c r="EL10">
        <v>10000</v>
      </c>
      <c r="EM10">
        <v>10000</v>
      </c>
      <c r="EN10">
        <v>10000</v>
      </c>
      <c r="EO10">
        <v>10000</v>
      </c>
      <c r="EP10">
        <v>10000</v>
      </c>
      <c r="EQ10">
        <v>10000</v>
      </c>
      <c r="ER10">
        <v>10000</v>
      </c>
      <c r="ES10">
        <v>10000</v>
      </c>
      <c r="ET10">
        <v>10000</v>
      </c>
      <c r="EU10">
        <v>10000</v>
      </c>
      <c r="EV10">
        <v>10000</v>
      </c>
      <c r="EW10">
        <v>10000</v>
      </c>
      <c r="EX10">
        <v>10000</v>
      </c>
      <c r="EY10">
        <v>10000</v>
      </c>
      <c r="EZ10">
        <v>10000</v>
      </c>
      <c r="FA10">
        <v>10000</v>
      </c>
      <c r="FB10">
        <v>10000</v>
      </c>
      <c r="FC10">
        <v>10000</v>
      </c>
      <c r="FD10">
        <v>10000</v>
      </c>
      <c r="FE10">
        <v>10000</v>
      </c>
      <c r="FF10">
        <v>10000</v>
      </c>
      <c r="FG10">
        <v>10000</v>
      </c>
      <c r="FH10">
        <v>10000</v>
      </c>
      <c r="FI10">
        <v>10000</v>
      </c>
      <c r="FJ10">
        <v>10000</v>
      </c>
      <c r="FK10">
        <v>10000</v>
      </c>
      <c r="FL10">
        <v>10000</v>
      </c>
      <c r="FM10">
        <v>10000</v>
      </c>
      <c r="FN10">
        <v>10000</v>
      </c>
      <c r="FO10">
        <v>10000</v>
      </c>
      <c r="FP10">
        <v>10000</v>
      </c>
      <c r="FQ10">
        <v>10000</v>
      </c>
      <c r="FR10">
        <v>10000</v>
      </c>
      <c r="FS10">
        <v>10000</v>
      </c>
      <c r="FT10">
        <v>10000</v>
      </c>
      <c r="FU10">
        <v>10000</v>
      </c>
      <c r="FV10">
        <v>10000</v>
      </c>
      <c r="FW10">
        <v>10000</v>
      </c>
      <c r="FX10">
        <v>10000</v>
      </c>
      <c r="FY10">
        <v>10000</v>
      </c>
      <c r="FZ10">
        <v>10000</v>
      </c>
      <c r="GA10">
        <v>10000</v>
      </c>
      <c r="GB10">
        <v>10000</v>
      </c>
      <c r="GC10">
        <v>10000</v>
      </c>
      <c r="GD10">
        <v>10000</v>
      </c>
      <c r="GE10">
        <v>10000</v>
      </c>
      <c r="GF10">
        <v>10000</v>
      </c>
      <c r="GG10">
        <v>10000</v>
      </c>
      <c r="GH10">
        <v>10000</v>
      </c>
      <c r="GI10">
        <v>10000</v>
      </c>
      <c r="GJ10">
        <v>10000</v>
      </c>
      <c r="GK10">
        <v>10000</v>
      </c>
      <c r="GL10">
        <v>10000</v>
      </c>
      <c r="GM10">
        <v>10000</v>
      </c>
      <c r="GN10">
        <v>10000</v>
      </c>
      <c r="GO10">
        <v>10000</v>
      </c>
      <c r="GP10">
        <v>10000</v>
      </c>
      <c r="GQ10">
        <v>10000</v>
      </c>
      <c r="GR10">
        <v>10000</v>
      </c>
      <c r="GS10">
        <v>10000</v>
      </c>
      <c r="GT10">
        <v>10000</v>
      </c>
      <c r="GU10">
        <v>10000</v>
      </c>
      <c r="GV10">
        <v>10000</v>
      </c>
      <c r="GW10">
        <v>10000</v>
      </c>
      <c r="GX10">
        <v>10000</v>
      </c>
      <c r="GY10">
        <v>10000</v>
      </c>
      <c r="GZ10">
        <v>10000</v>
      </c>
      <c r="HA10">
        <v>10000</v>
      </c>
      <c r="HB10">
        <v>10000</v>
      </c>
      <c r="HC10">
        <v>10000</v>
      </c>
      <c r="HD10">
        <v>10000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row>
    <row r="11" spans="1:245" hidden="1">
      <c r="A11" s="343" t="s">
        <v>633</v>
      </c>
      <c r="B11" t="s">
        <v>1010</v>
      </c>
      <c r="F11">
        <v>1</v>
      </c>
      <c r="G11" s="431"/>
      <c r="H11">
        <v>8</v>
      </c>
      <c r="J11" t="str">
        <f t="shared" si="0"/>
        <v>SDJ200108</v>
      </c>
      <c r="K11">
        <v>273</v>
      </c>
      <c r="M11" s="343" t="s">
        <v>633</v>
      </c>
      <c r="N11" t="s">
        <v>1010</v>
      </c>
      <c r="O11">
        <v>1</v>
      </c>
      <c r="P11">
        <v>8</v>
      </c>
      <c r="Q11" s="184" t="str">
        <f t="shared" si="1"/>
        <v>SDJ200108</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10000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s="132"/>
      <c r="DZ11" s="343" t="s">
        <v>633</v>
      </c>
      <c r="EA11" t="s">
        <v>1010</v>
      </c>
      <c r="EB11">
        <v>1</v>
      </c>
      <c r="EC11">
        <v>8</v>
      </c>
      <c r="ED11" s="184" t="str">
        <f t="shared" si="2"/>
        <v>SDJ200108</v>
      </c>
      <c r="EE11">
        <v>10000</v>
      </c>
      <c r="EF11">
        <v>10000</v>
      </c>
      <c r="EG11">
        <v>10000</v>
      </c>
      <c r="EH11">
        <v>10000</v>
      </c>
      <c r="EI11">
        <v>10000</v>
      </c>
      <c r="EJ11">
        <v>10000</v>
      </c>
      <c r="EK11">
        <v>10000</v>
      </c>
      <c r="EL11">
        <v>10000</v>
      </c>
      <c r="EM11">
        <v>10000</v>
      </c>
      <c r="EN11">
        <v>10000</v>
      </c>
      <c r="EO11">
        <v>10000</v>
      </c>
      <c r="EP11">
        <v>10000</v>
      </c>
      <c r="EQ11">
        <v>10000</v>
      </c>
      <c r="ER11">
        <v>10000</v>
      </c>
      <c r="ES11">
        <v>10000</v>
      </c>
      <c r="ET11">
        <v>10000</v>
      </c>
      <c r="EU11">
        <v>10000</v>
      </c>
      <c r="EV11">
        <v>10000</v>
      </c>
      <c r="EW11">
        <v>10000</v>
      </c>
      <c r="EX11">
        <v>10000</v>
      </c>
      <c r="EY11">
        <v>10000</v>
      </c>
      <c r="EZ11">
        <v>10000</v>
      </c>
      <c r="FA11">
        <v>10000</v>
      </c>
      <c r="FB11">
        <v>10000</v>
      </c>
      <c r="FC11">
        <v>10000</v>
      </c>
      <c r="FD11">
        <v>10000</v>
      </c>
      <c r="FE11">
        <v>10000</v>
      </c>
      <c r="FF11">
        <v>10000</v>
      </c>
      <c r="FG11">
        <v>10000</v>
      </c>
      <c r="FH11">
        <v>10000</v>
      </c>
      <c r="FI11">
        <v>10000</v>
      </c>
      <c r="FJ11">
        <v>10000</v>
      </c>
      <c r="FK11">
        <v>10000</v>
      </c>
      <c r="FL11">
        <v>10000</v>
      </c>
      <c r="FM11">
        <v>10000</v>
      </c>
      <c r="FN11">
        <v>10000</v>
      </c>
      <c r="FO11">
        <v>10000</v>
      </c>
      <c r="FP11">
        <v>10000</v>
      </c>
      <c r="FQ11">
        <v>10000</v>
      </c>
      <c r="FR11">
        <v>10000</v>
      </c>
      <c r="FS11">
        <v>10000</v>
      </c>
      <c r="FT11">
        <v>10000</v>
      </c>
      <c r="FU11">
        <v>10000</v>
      </c>
      <c r="FV11">
        <v>10000</v>
      </c>
      <c r="FW11">
        <v>10000</v>
      </c>
      <c r="FX11">
        <v>10000</v>
      </c>
      <c r="FY11">
        <v>10000</v>
      </c>
      <c r="FZ11">
        <v>10000</v>
      </c>
      <c r="GA11">
        <v>10000</v>
      </c>
      <c r="GB11">
        <v>10000</v>
      </c>
      <c r="GC11">
        <v>10000</v>
      </c>
      <c r="GD11">
        <v>10000</v>
      </c>
      <c r="GE11">
        <v>10000</v>
      </c>
      <c r="GF11">
        <v>10000</v>
      </c>
      <c r="GG11">
        <v>10000</v>
      </c>
      <c r="GH11">
        <v>10000</v>
      </c>
      <c r="GI11">
        <v>10000</v>
      </c>
      <c r="GJ11">
        <v>10000</v>
      </c>
      <c r="GK11">
        <v>10000</v>
      </c>
      <c r="GL11">
        <v>10000</v>
      </c>
      <c r="GM11">
        <v>10000</v>
      </c>
      <c r="GN11">
        <v>10000</v>
      </c>
      <c r="GO11">
        <v>10000</v>
      </c>
      <c r="GP11">
        <v>10000</v>
      </c>
      <c r="GQ11">
        <v>10000</v>
      </c>
      <c r="GR11">
        <v>10000</v>
      </c>
      <c r="GS11">
        <v>10000</v>
      </c>
      <c r="GT11">
        <v>10000</v>
      </c>
      <c r="GU11">
        <v>10000</v>
      </c>
      <c r="GV11">
        <v>10000</v>
      </c>
      <c r="GW11">
        <v>10000</v>
      </c>
      <c r="GX11">
        <v>10000</v>
      </c>
      <c r="GY11">
        <v>10000</v>
      </c>
      <c r="GZ11">
        <v>10000</v>
      </c>
      <c r="HA11">
        <v>10000</v>
      </c>
      <c r="HB11">
        <v>10000</v>
      </c>
      <c r="HC11">
        <v>10000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row>
    <row r="12" spans="1:245" hidden="1">
      <c r="A12" s="343" t="s">
        <v>633</v>
      </c>
      <c r="B12" t="s">
        <v>1010</v>
      </c>
      <c r="F12">
        <v>1</v>
      </c>
      <c r="G12" s="431"/>
      <c r="H12">
        <v>9</v>
      </c>
      <c r="J12" t="str">
        <f t="shared" si="0"/>
        <v>SDJ200109</v>
      </c>
      <c r="K12">
        <v>278</v>
      </c>
      <c r="M12" s="343" t="s">
        <v>633</v>
      </c>
      <c r="N12" t="s">
        <v>1010</v>
      </c>
      <c r="O12">
        <v>1</v>
      </c>
      <c r="P12">
        <v>9</v>
      </c>
      <c r="Q12" s="184" t="str">
        <f t="shared" si="1"/>
        <v>SDJ200109</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10000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s="132"/>
      <c r="DZ12" s="343" t="s">
        <v>633</v>
      </c>
      <c r="EA12" t="s">
        <v>1010</v>
      </c>
      <c r="EB12">
        <v>1</v>
      </c>
      <c r="EC12">
        <v>9</v>
      </c>
      <c r="ED12" s="184" t="str">
        <f t="shared" si="2"/>
        <v>SDJ200109</v>
      </c>
      <c r="EE12">
        <v>10000</v>
      </c>
      <c r="EF12">
        <v>10000</v>
      </c>
      <c r="EG12">
        <v>10000</v>
      </c>
      <c r="EH12">
        <v>10000</v>
      </c>
      <c r="EI12">
        <v>10000</v>
      </c>
      <c r="EJ12">
        <v>10000</v>
      </c>
      <c r="EK12">
        <v>10000</v>
      </c>
      <c r="EL12">
        <v>10000</v>
      </c>
      <c r="EM12">
        <v>10000</v>
      </c>
      <c r="EN12">
        <v>10000</v>
      </c>
      <c r="EO12">
        <v>10000</v>
      </c>
      <c r="EP12">
        <v>10000</v>
      </c>
      <c r="EQ12">
        <v>10000</v>
      </c>
      <c r="ER12">
        <v>10000</v>
      </c>
      <c r="ES12">
        <v>10000</v>
      </c>
      <c r="ET12">
        <v>10000</v>
      </c>
      <c r="EU12">
        <v>10000</v>
      </c>
      <c r="EV12">
        <v>10000</v>
      </c>
      <c r="EW12">
        <v>10000</v>
      </c>
      <c r="EX12">
        <v>10000</v>
      </c>
      <c r="EY12">
        <v>10000</v>
      </c>
      <c r="EZ12">
        <v>10000</v>
      </c>
      <c r="FA12">
        <v>10000</v>
      </c>
      <c r="FB12">
        <v>10000</v>
      </c>
      <c r="FC12">
        <v>10000</v>
      </c>
      <c r="FD12">
        <v>10000</v>
      </c>
      <c r="FE12">
        <v>10000</v>
      </c>
      <c r="FF12">
        <v>10000</v>
      </c>
      <c r="FG12">
        <v>10000</v>
      </c>
      <c r="FH12">
        <v>10000</v>
      </c>
      <c r="FI12">
        <v>10000</v>
      </c>
      <c r="FJ12">
        <v>10000</v>
      </c>
      <c r="FK12">
        <v>10000</v>
      </c>
      <c r="FL12">
        <v>10000</v>
      </c>
      <c r="FM12">
        <v>10000</v>
      </c>
      <c r="FN12">
        <v>10000</v>
      </c>
      <c r="FO12">
        <v>10000</v>
      </c>
      <c r="FP12">
        <v>10000</v>
      </c>
      <c r="FQ12">
        <v>10000</v>
      </c>
      <c r="FR12">
        <v>10000</v>
      </c>
      <c r="FS12">
        <v>10000</v>
      </c>
      <c r="FT12">
        <v>10000</v>
      </c>
      <c r="FU12">
        <v>10000</v>
      </c>
      <c r="FV12">
        <v>10000</v>
      </c>
      <c r="FW12">
        <v>10000</v>
      </c>
      <c r="FX12">
        <v>10000</v>
      </c>
      <c r="FY12">
        <v>10000</v>
      </c>
      <c r="FZ12">
        <v>10000</v>
      </c>
      <c r="GA12">
        <v>10000</v>
      </c>
      <c r="GB12">
        <v>10000</v>
      </c>
      <c r="GC12">
        <v>10000</v>
      </c>
      <c r="GD12">
        <v>10000</v>
      </c>
      <c r="GE12">
        <v>10000</v>
      </c>
      <c r="GF12">
        <v>10000</v>
      </c>
      <c r="GG12">
        <v>10000</v>
      </c>
      <c r="GH12">
        <v>10000</v>
      </c>
      <c r="GI12">
        <v>10000</v>
      </c>
      <c r="GJ12">
        <v>10000</v>
      </c>
      <c r="GK12">
        <v>10000</v>
      </c>
      <c r="GL12">
        <v>10000</v>
      </c>
      <c r="GM12">
        <v>10000</v>
      </c>
      <c r="GN12">
        <v>10000</v>
      </c>
      <c r="GO12">
        <v>10000</v>
      </c>
      <c r="GP12">
        <v>10000</v>
      </c>
      <c r="GQ12">
        <v>10000</v>
      </c>
      <c r="GR12">
        <v>10000</v>
      </c>
      <c r="GS12">
        <v>10000</v>
      </c>
      <c r="GT12">
        <v>10000</v>
      </c>
      <c r="GU12">
        <v>10000</v>
      </c>
      <c r="GV12">
        <v>10000</v>
      </c>
      <c r="GW12">
        <v>10000</v>
      </c>
      <c r="GX12">
        <v>10000</v>
      </c>
      <c r="GY12">
        <v>10000</v>
      </c>
      <c r="GZ12">
        <v>10000</v>
      </c>
      <c r="HA12">
        <v>10000</v>
      </c>
      <c r="HB12">
        <v>10000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row>
    <row r="13" spans="1:245" hidden="1">
      <c r="A13" s="343" t="s">
        <v>633</v>
      </c>
      <c r="B13" t="s">
        <v>1010</v>
      </c>
      <c r="F13">
        <v>1</v>
      </c>
      <c r="G13" s="431"/>
      <c r="H13">
        <v>10</v>
      </c>
      <c r="J13" t="str">
        <f t="shared" si="0"/>
        <v>SDJ200110</v>
      </c>
      <c r="K13">
        <v>283</v>
      </c>
      <c r="M13" s="343" t="s">
        <v>633</v>
      </c>
      <c r="N13" t="s">
        <v>1010</v>
      </c>
      <c r="O13">
        <v>1</v>
      </c>
      <c r="P13">
        <v>10</v>
      </c>
      <c r="Q13" s="184" t="str">
        <f t="shared" si="1"/>
        <v>SDJ200110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10000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s="132"/>
      <c r="DZ13" s="343" t="s">
        <v>633</v>
      </c>
      <c r="EA13" t="s">
        <v>1010</v>
      </c>
      <c r="EB13">
        <v>1</v>
      </c>
      <c r="EC13">
        <v>10</v>
      </c>
      <c r="ED13" s="184" t="str">
        <f t="shared" si="2"/>
        <v>SDJ200110</v>
      </c>
      <c r="EE13">
        <v>10000</v>
      </c>
      <c r="EF13">
        <v>10000</v>
      </c>
      <c r="EG13">
        <v>10000</v>
      </c>
      <c r="EH13">
        <v>10000</v>
      </c>
      <c r="EI13">
        <v>10000</v>
      </c>
      <c r="EJ13">
        <v>10000</v>
      </c>
      <c r="EK13">
        <v>10000</v>
      </c>
      <c r="EL13">
        <v>10000</v>
      </c>
      <c r="EM13">
        <v>10000</v>
      </c>
      <c r="EN13">
        <v>10000</v>
      </c>
      <c r="EO13">
        <v>10000</v>
      </c>
      <c r="EP13">
        <v>10000</v>
      </c>
      <c r="EQ13">
        <v>10000</v>
      </c>
      <c r="ER13">
        <v>10000</v>
      </c>
      <c r="ES13">
        <v>10000</v>
      </c>
      <c r="ET13">
        <v>10000</v>
      </c>
      <c r="EU13">
        <v>10000</v>
      </c>
      <c r="EV13">
        <v>10000</v>
      </c>
      <c r="EW13">
        <v>10000</v>
      </c>
      <c r="EX13">
        <v>10000</v>
      </c>
      <c r="EY13">
        <v>10000</v>
      </c>
      <c r="EZ13">
        <v>10000</v>
      </c>
      <c r="FA13">
        <v>10000</v>
      </c>
      <c r="FB13">
        <v>10000</v>
      </c>
      <c r="FC13">
        <v>10000</v>
      </c>
      <c r="FD13">
        <v>10000</v>
      </c>
      <c r="FE13">
        <v>10000</v>
      </c>
      <c r="FF13">
        <v>10000</v>
      </c>
      <c r="FG13">
        <v>10000</v>
      </c>
      <c r="FH13">
        <v>10000</v>
      </c>
      <c r="FI13">
        <v>10000</v>
      </c>
      <c r="FJ13">
        <v>10000</v>
      </c>
      <c r="FK13">
        <v>10000</v>
      </c>
      <c r="FL13">
        <v>10000</v>
      </c>
      <c r="FM13">
        <v>10000</v>
      </c>
      <c r="FN13">
        <v>10000</v>
      </c>
      <c r="FO13">
        <v>10000</v>
      </c>
      <c r="FP13">
        <v>10000</v>
      </c>
      <c r="FQ13">
        <v>10000</v>
      </c>
      <c r="FR13">
        <v>10000</v>
      </c>
      <c r="FS13">
        <v>10000</v>
      </c>
      <c r="FT13">
        <v>10000</v>
      </c>
      <c r="FU13">
        <v>10000</v>
      </c>
      <c r="FV13">
        <v>10000</v>
      </c>
      <c r="FW13">
        <v>10000</v>
      </c>
      <c r="FX13">
        <v>10000</v>
      </c>
      <c r="FY13">
        <v>10000</v>
      </c>
      <c r="FZ13">
        <v>10000</v>
      </c>
      <c r="GA13">
        <v>10000</v>
      </c>
      <c r="GB13">
        <v>10000</v>
      </c>
      <c r="GC13">
        <v>10000</v>
      </c>
      <c r="GD13">
        <v>10000</v>
      </c>
      <c r="GE13">
        <v>10000</v>
      </c>
      <c r="GF13">
        <v>10000</v>
      </c>
      <c r="GG13">
        <v>10000</v>
      </c>
      <c r="GH13">
        <v>10000</v>
      </c>
      <c r="GI13">
        <v>10000</v>
      </c>
      <c r="GJ13">
        <v>10000</v>
      </c>
      <c r="GK13">
        <v>10000</v>
      </c>
      <c r="GL13">
        <v>10000</v>
      </c>
      <c r="GM13">
        <v>10000</v>
      </c>
      <c r="GN13">
        <v>10000</v>
      </c>
      <c r="GO13">
        <v>10000</v>
      </c>
      <c r="GP13">
        <v>10000</v>
      </c>
      <c r="GQ13">
        <v>10000</v>
      </c>
      <c r="GR13">
        <v>10000</v>
      </c>
      <c r="GS13">
        <v>10000</v>
      </c>
      <c r="GT13">
        <v>10000</v>
      </c>
      <c r="GU13">
        <v>10000</v>
      </c>
      <c r="GV13">
        <v>10000</v>
      </c>
      <c r="GW13">
        <v>10000</v>
      </c>
      <c r="GX13">
        <v>10000</v>
      </c>
      <c r="GY13">
        <v>10000</v>
      </c>
      <c r="GZ13">
        <v>10000</v>
      </c>
      <c r="HA13">
        <v>10000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row>
    <row r="14" spans="1:245" hidden="1">
      <c r="A14" s="343" t="s">
        <v>633</v>
      </c>
      <c r="B14" t="s">
        <v>1010</v>
      </c>
      <c r="F14">
        <v>1</v>
      </c>
      <c r="G14" s="431"/>
      <c r="H14">
        <v>11</v>
      </c>
      <c r="J14" t="str">
        <f t="shared" si="0"/>
        <v>SDJ200111</v>
      </c>
      <c r="K14">
        <v>289</v>
      </c>
      <c r="M14" s="343" t="s">
        <v>633</v>
      </c>
      <c r="N14" t="s">
        <v>1010</v>
      </c>
      <c r="O14">
        <v>1</v>
      </c>
      <c r="P14">
        <v>11</v>
      </c>
      <c r="Q14" s="184" t="str">
        <f t="shared" si="1"/>
        <v>SDJ200111</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10000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s="132"/>
      <c r="DZ14" s="343" t="s">
        <v>633</v>
      </c>
      <c r="EA14" t="s">
        <v>1010</v>
      </c>
      <c r="EB14">
        <v>1</v>
      </c>
      <c r="EC14">
        <v>11</v>
      </c>
      <c r="ED14" s="184" t="str">
        <f t="shared" si="2"/>
        <v>SDJ200111</v>
      </c>
      <c r="EE14">
        <v>10000</v>
      </c>
      <c r="EF14">
        <v>10000</v>
      </c>
      <c r="EG14">
        <v>10000</v>
      </c>
      <c r="EH14">
        <v>10000</v>
      </c>
      <c r="EI14">
        <v>10000</v>
      </c>
      <c r="EJ14">
        <v>10000</v>
      </c>
      <c r="EK14">
        <v>10000</v>
      </c>
      <c r="EL14">
        <v>10000</v>
      </c>
      <c r="EM14">
        <v>10000</v>
      </c>
      <c r="EN14">
        <v>10000</v>
      </c>
      <c r="EO14">
        <v>10000</v>
      </c>
      <c r="EP14">
        <v>10000</v>
      </c>
      <c r="EQ14">
        <v>10000</v>
      </c>
      <c r="ER14">
        <v>10000</v>
      </c>
      <c r="ES14">
        <v>10000</v>
      </c>
      <c r="ET14">
        <v>10000</v>
      </c>
      <c r="EU14">
        <v>10000</v>
      </c>
      <c r="EV14">
        <v>10000</v>
      </c>
      <c r="EW14">
        <v>10000</v>
      </c>
      <c r="EX14">
        <v>10000</v>
      </c>
      <c r="EY14">
        <v>10000</v>
      </c>
      <c r="EZ14">
        <v>10000</v>
      </c>
      <c r="FA14">
        <v>10000</v>
      </c>
      <c r="FB14">
        <v>10000</v>
      </c>
      <c r="FC14">
        <v>10000</v>
      </c>
      <c r="FD14">
        <v>10000</v>
      </c>
      <c r="FE14">
        <v>10000</v>
      </c>
      <c r="FF14">
        <v>10000</v>
      </c>
      <c r="FG14">
        <v>10000</v>
      </c>
      <c r="FH14">
        <v>10000</v>
      </c>
      <c r="FI14">
        <v>10000</v>
      </c>
      <c r="FJ14">
        <v>10000</v>
      </c>
      <c r="FK14">
        <v>10000</v>
      </c>
      <c r="FL14">
        <v>10000</v>
      </c>
      <c r="FM14">
        <v>10000</v>
      </c>
      <c r="FN14">
        <v>10000</v>
      </c>
      <c r="FO14">
        <v>10000</v>
      </c>
      <c r="FP14">
        <v>10000</v>
      </c>
      <c r="FQ14">
        <v>10000</v>
      </c>
      <c r="FR14">
        <v>10000</v>
      </c>
      <c r="FS14">
        <v>10000</v>
      </c>
      <c r="FT14">
        <v>10000</v>
      </c>
      <c r="FU14">
        <v>10000</v>
      </c>
      <c r="FV14">
        <v>10000</v>
      </c>
      <c r="FW14">
        <v>10000</v>
      </c>
      <c r="FX14">
        <v>10000</v>
      </c>
      <c r="FY14">
        <v>10000</v>
      </c>
      <c r="FZ14">
        <v>10000</v>
      </c>
      <c r="GA14">
        <v>10000</v>
      </c>
      <c r="GB14">
        <v>10000</v>
      </c>
      <c r="GC14">
        <v>10000</v>
      </c>
      <c r="GD14">
        <v>10000</v>
      </c>
      <c r="GE14">
        <v>10000</v>
      </c>
      <c r="GF14">
        <v>10000</v>
      </c>
      <c r="GG14">
        <v>10000</v>
      </c>
      <c r="GH14">
        <v>10000</v>
      </c>
      <c r="GI14">
        <v>10000</v>
      </c>
      <c r="GJ14">
        <v>10000</v>
      </c>
      <c r="GK14">
        <v>10000</v>
      </c>
      <c r="GL14">
        <v>10000</v>
      </c>
      <c r="GM14">
        <v>10000</v>
      </c>
      <c r="GN14">
        <v>10000</v>
      </c>
      <c r="GO14">
        <v>10000</v>
      </c>
      <c r="GP14">
        <v>10000</v>
      </c>
      <c r="GQ14">
        <v>10000</v>
      </c>
      <c r="GR14">
        <v>10000</v>
      </c>
      <c r="GS14">
        <v>10000</v>
      </c>
      <c r="GT14">
        <v>10000</v>
      </c>
      <c r="GU14">
        <v>10000</v>
      </c>
      <c r="GV14">
        <v>10000</v>
      </c>
      <c r="GW14">
        <v>10000</v>
      </c>
      <c r="GX14">
        <v>10000</v>
      </c>
      <c r="GY14">
        <v>10000</v>
      </c>
      <c r="GZ14">
        <v>10000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row>
    <row r="15" spans="1:245" hidden="1">
      <c r="A15" s="343" t="s">
        <v>633</v>
      </c>
      <c r="B15" t="s">
        <v>1010</v>
      </c>
      <c r="F15">
        <v>1</v>
      </c>
      <c r="G15" s="431"/>
      <c r="H15">
        <v>12</v>
      </c>
      <c r="J15" t="str">
        <f t="shared" si="0"/>
        <v>SDJ200112</v>
      </c>
      <c r="K15">
        <v>295</v>
      </c>
      <c r="M15" s="343" t="s">
        <v>633</v>
      </c>
      <c r="N15" t="s">
        <v>1010</v>
      </c>
      <c r="O15">
        <v>1</v>
      </c>
      <c r="P15">
        <v>12</v>
      </c>
      <c r="Q15" s="184" t="str">
        <f t="shared" si="1"/>
        <v>SDJ200112</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10000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s="132"/>
      <c r="DZ15" s="343" t="s">
        <v>633</v>
      </c>
      <c r="EA15" t="s">
        <v>1010</v>
      </c>
      <c r="EB15">
        <v>1</v>
      </c>
      <c r="EC15">
        <v>12</v>
      </c>
      <c r="ED15" s="184" t="str">
        <f t="shared" si="2"/>
        <v>SDJ200112</v>
      </c>
      <c r="EE15">
        <v>10000</v>
      </c>
      <c r="EF15">
        <v>10000</v>
      </c>
      <c r="EG15">
        <v>10000</v>
      </c>
      <c r="EH15">
        <v>10000</v>
      </c>
      <c r="EI15">
        <v>10000</v>
      </c>
      <c r="EJ15">
        <v>10000</v>
      </c>
      <c r="EK15">
        <v>10000</v>
      </c>
      <c r="EL15">
        <v>10000</v>
      </c>
      <c r="EM15">
        <v>10000</v>
      </c>
      <c r="EN15">
        <v>10000</v>
      </c>
      <c r="EO15">
        <v>10000</v>
      </c>
      <c r="EP15">
        <v>10000</v>
      </c>
      <c r="EQ15">
        <v>10000</v>
      </c>
      <c r="ER15">
        <v>10000</v>
      </c>
      <c r="ES15">
        <v>10000</v>
      </c>
      <c r="ET15">
        <v>10000</v>
      </c>
      <c r="EU15">
        <v>10000</v>
      </c>
      <c r="EV15">
        <v>10000</v>
      </c>
      <c r="EW15">
        <v>10000</v>
      </c>
      <c r="EX15">
        <v>10000</v>
      </c>
      <c r="EY15">
        <v>10000</v>
      </c>
      <c r="EZ15">
        <v>10000</v>
      </c>
      <c r="FA15">
        <v>10000</v>
      </c>
      <c r="FB15">
        <v>10000</v>
      </c>
      <c r="FC15">
        <v>10000</v>
      </c>
      <c r="FD15">
        <v>10000</v>
      </c>
      <c r="FE15">
        <v>10000</v>
      </c>
      <c r="FF15">
        <v>10000</v>
      </c>
      <c r="FG15">
        <v>10000</v>
      </c>
      <c r="FH15">
        <v>10000</v>
      </c>
      <c r="FI15">
        <v>10000</v>
      </c>
      <c r="FJ15">
        <v>10000</v>
      </c>
      <c r="FK15">
        <v>10000</v>
      </c>
      <c r="FL15">
        <v>10000</v>
      </c>
      <c r="FM15">
        <v>10000</v>
      </c>
      <c r="FN15">
        <v>10000</v>
      </c>
      <c r="FO15">
        <v>10000</v>
      </c>
      <c r="FP15">
        <v>10000</v>
      </c>
      <c r="FQ15">
        <v>10000</v>
      </c>
      <c r="FR15">
        <v>10000</v>
      </c>
      <c r="FS15">
        <v>10000</v>
      </c>
      <c r="FT15">
        <v>10000</v>
      </c>
      <c r="FU15">
        <v>10000</v>
      </c>
      <c r="FV15">
        <v>10000</v>
      </c>
      <c r="FW15">
        <v>10000</v>
      </c>
      <c r="FX15">
        <v>10000</v>
      </c>
      <c r="FY15">
        <v>10000</v>
      </c>
      <c r="FZ15">
        <v>10000</v>
      </c>
      <c r="GA15">
        <v>10000</v>
      </c>
      <c r="GB15">
        <v>10000</v>
      </c>
      <c r="GC15">
        <v>10000</v>
      </c>
      <c r="GD15">
        <v>10000</v>
      </c>
      <c r="GE15">
        <v>10000</v>
      </c>
      <c r="GF15">
        <v>10000</v>
      </c>
      <c r="GG15">
        <v>10000</v>
      </c>
      <c r="GH15">
        <v>10000</v>
      </c>
      <c r="GI15">
        <v>10000</v>
      </c>
      <c r="GJ15">
        <v>10000</v>
      </c>
      <c r="GK15">
        <v>10000</v>
      </c>
      <c r="GL15">
        <v>10000</v>
      </c>
      <c r="GM15">
        <v>10000</v>
      </c>
      <c r="GN15">
        <v>10000</v>
      </c>
      <c r="GO15">
        <v>10000</v>
      </c>
      <c r="GP15">
        <v>10000</v>
      </c>
      <c r="GQ15">
        <v>10000</v>
      </c>
      <c r="GR15">
        <v>10000</v>
      </c>
      <c r="GS15">
        <v>10000</v>
      </c>
      <c r="GT15">
        <v>10000</v>
      </c>
      <c r="GU15">
        <v>10000</v>
      </c>
      <c r="GV15">
        <v>10000</v>
      </c>
      <c r="GW15">
        <v>10000</v>
      </c>
      <c r="GX15">
        <v>10000</v>
      </c>
      <c r="GY15">
        <v>10000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0</v>
      </c>
    </row>
    <row r="16" spans="1:245" hidden="1">
      <c r="A16" s="343" t="s">
        <v>633</v>
      </c>
      <c r="B16" t="s">
        <v>1010</v>
      </c>
      <c r="F16">
        <v>1</v>
      </c>
      <c r="G16" s="431"/>
      <c r="H16">
        <v>13</v>
      </c>
      <c r="J16" t="str">
        <f t="shared" si="0"/>
        <v>SDJ200113</v>
      </c>
      <c r="K16">
        <v>301</v>
      </c>
      <c r="M16" s="343" t="s">
        <v>633</v>
      </c>
      <c r="N16" t="s">
        <v>1010</v>
      </c>
      <c r="O16">
        <v>1</v>
      </c>
      <c r="P16">
        <v>13</v>
      </c>
      <c r="Q16" s="184" t="str">
        <f t="shared" si="1"/>
        <v>SDJ200113</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10000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s="132"/>
      <c r="DZ16" s="343" t="s">
        <v>633</v>
      </c>
      <c r="EA16" t="s">
        <v>1010</v>
      </c>
      <c r="EB16">
        <v>1</v>
      </c>
      <c r="EC16">
        <v>13</v>
      </c>
      <c r="ED16" s="184" t="str">
        <f t="shared" si="2"/>
        <v>SDJ200113</v>
      </c>
      <c r="EE16">
        <v>10000</v>
      </c>
      <c r="EF16">
        <v>10000</v>
      </c>
      <c r="EG16">
        <v>10000</v>
      </c>
      <c r="EH16">
        <v>10000</v>
      </c>
      <c r="EI16">
        <v>10000</v>
      </c>
      <c r="EJ16">
        <v>10000</v>
      </c>
      <c r="EK16">
        <v>10000</v>
      </c>
      <c r="EL16">
        <v>10000</v>
      </c>
      <c r="EM16">
        <v>10000</v>
      </c>
      <c r="EN16">
        <v>10000</v>
      </c>
      <c r="EO16">
        <v>10000</v>
      </c>
      <c r="EP16">
        <v>10000</v>
      </c>
      <c r="EQ16">
        <v>10000</v>
      </c>
      <c r="ER16">
        <v>10000</v>
      </c>
      <c r="ES16">
        <v>10000</v>
      </c>
      <c r="ET16">
        <v>10000</v>
      </c>
      <c r="EU16">
        <v>10000</v>
      </c>
      <c r="EV16">
        <v>10000</v>
      </c>
      <c r="EW16">
        <v>10000</v>
      </c>
      <c r="EX16">
        <v>10000</v>
      </c>
      <c r="EY16">
        <v>10000</v>
      </c>
      <c r="EZ16">
        <v>10000</v>
      </c>
      <c r="FA16">
        <v>10000</v>
      </c>
      <c r="FB16">
        <v>10000</v>
      </c>
      <c r="FC16">
        <v>10000</v>
      </c>
      <c r="FD16">
        <v>10000</v>
      </c>
      <c r="FE16">
        <v>10000</v>
      </c>
      <c r="FF16">
        <v>10000</v>
      </c>
      <c r="FG16">
        <v>10000</v>
      </c>
      <c r="FH16">
        <v>10000</v>
      </c>
      <c r="FI16">
        <v>10000</v>
      </c>
      <c r="FJ16">
        <v>10000</v>
      </c>
      <c r="FK16">
        <v>10000</v>
      </c>
      <c r="FL16">
        <v>10000</v>
      </c>
      <c r="FM16">
        <v>10000</v>
      </c>
      <c r="FN16">
        <v>10000</v>
      </c>
      <c r="FO16">
        <v>10000</v>
      </c>
      <c r="FP16">
        <v>10000</v>
      </c>
      <c r="FQ16">
        <v>10000</v>
      </c>
      <c r="FR16">
        <v>10000</v>
      </c>
      <c r="FS16">
        <v>10000</v>
      </c>
      <c r="FT16">
        <v>10000</v>
      </c>
      <c r="FU16">
        <v>10000</v>
      </c>
      <c r="FV16">
        <v>10000</v>
      </c>
      <c r="FW16">
        <v>10000</v>
      </c>
      <c r="FX16">
        <v>10000</v>
      </c>
      <c r="FY16">
        <v>10000</v>
      </c>
      <c r="FZ16">
        <v>10000</v>
      </c>
      <c r="GA16">
        <v>10000</v>
      </c>
      <c r="GB16">
        <v>10000</v>
      </c>
      <c r="GC16">
        <v>10000</v>
      </c>
      <c r="GD16">
        <v>10000</v>
      </c>
      <c r="GE16">
        <v>10000</v>
      </c>
      <c r="GF16">
        <v>10000</v>
      </c>
      <c r="GG16">
        <v>10000</v>
      </c>
      <c r="GH16">
        <v>10000</v>
      </c>
      <c r="GI16">
        <v>10000</v>
      </c>
      <c r="GJ16">
        <v>10000</v>
      </c>
      <c r="GK16">
        <v>10000</v>
      </c>
      <c r="GL16">
        <v>10000</v>
      </c>
      <c r="GM16">
        <v>10000</v>
      </c>
      <c r="GN16">
        <v>10000</v>
      </c>
      <c r="GO16">
        <v>10000</v>
      </c>
      <c r="GP16">
        <v>10000</v>
      </c>
      <c r="GQ16">
        <v>10000</v>
      </c>
      <c r="GR16">
        <v>10000</v>
      </c>
      <c r="GS16">
        <v>10000</v>
      </c>
      <c r="GT16">
        <v>10000</v>
      </c>
      <c r="GU16">
        <v>10000</v>
      </c>
      <c r="GV16">
        <v>10000</v>
      </c>
      <c r="GW16">
        <v>10000</v>
      </c>
      <c r="GX16">
        <v>10000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row>
    <row r="17" spans="1:245" hidden="1">
      <c r="A17" s="343" t="s">
        <v>633</v>
      </c>
      <c r="B17" t="s">
        <v>1010</v>
      </c>
      <c r="F17">
        <v>1</v>
      </c>
      <c r="G17" s="431"/>
      <c r="H17">
        <v>14</v>
      </c>
      <c r="J17" t="str">
        <f t="shared" si="0"/>
        <v>SDJ200114</v>
      </c>
      <c r="K17">
        <v>307</v>
      </c>
      <c r="M17" s="343" t="s">
        <v>633</v>
      </c>
      <c r="N17" t="s">
        <v>1010</v>
      </c>
      <c r="O17">
        <v>1</v>
      </c>
      <c r="P17">
        <v>14</v>
      </c>
      <c r="Q17" s="184" t="str">
        <f t="shared" si="1"/>
        <v>SDJ200114</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10000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s="132"/>
      <c r="DZ17" s="343" t="s">
        <v>633</v>
      </c>
      <c r="EA17" t="s">
        <v>1010</v>
      </c>
      <c r="EB17">
        <v>1</v>
      </c>
      <c r="EC17">
        <v>14</v>
      </c>
      <c r="ED17" s="184" t="str">
        <f t="shared" si="2"/>
        <v>SDJ200114</v>
      </c>
      <c r="EE17">
        <v>10000</v>
      </c>
      <c r="EF17">
        <v>10000</v>
      </c>
      <c r="EG17">
        <v>10000</v>
      </c>
      <c r="EH17">
        <v>10000</v>
      </c>
      <c r="EI17">
        <v>10000</v>
      </c>
      <c r="EJ17">
        <v>10000</v>
      </c>
      <c r="EK17">
        <v>10000</v>
      </c>
      <c r="EL17">
        <v>10000</v>
      </c>
      <c r="EM17">
        <v>10000</v>
      </c>
      <c r="EN17">
        <v>10000</v>
      </c>
      <c r="EO17">
        <v>10000</v>
      </c>
      <c r="EP17">
        <v>10000</v>
      </c>
      <c r="EQ17">
        <v>10000</v>
      </c>
      <c r="ER17">
        <v>10000</v>
      </c>
      <c r="ES17">
        <v>10000</v>
      </c>
      <c r="ET17">
        <v>10000</v>
      </c>
      <c r="EU17">
        <v>10000</v>
      </c>
      <c r="EV17">
        <v>10000</v>
      </c>
      <c r="EW17">
        <v>10000</v>
      </c>
      <c r="EX17">
        <v>10000</v>
      </c>
      <c r="EY17">
        <v>10000</v>
      </c>
      <c r="EZ17">
        <v>10000</v>
      </c>
      <c r="FA17">
        <v>10000</v>
      </c>
      <c r="FB17">
        <v>10000</v>
      </c>
      <c r="FC17">
        <v>10000</v>
      </c>
      <c r="FD17">
        <v>10000</v>
      </c>
      <c r="FE17">
        <v>10000</v>
      </c>
      <c r="FF17">
        <v>10000</v>
      </c>
      <c r="FG17">
        <v>10000</v>
      </c>
      <c r="FH17">
        <v>10000</v>
      </c>
      <c r="FI17">
        <v>10000</v>
      </c>
      <c r="FJ17">
        <v>10000</v>
      </c>
      <c r="FK17">
        <v>10000</v>
      </c>
      <c r="FL17">
        <v>10000</v>
      </c>
      <c r="FM17">
        <v>10000</v>
      </c>
      <c r="FN17">
        <v>10000</v>
      </c>
      <c r="FO17">
        <v>10000</v>
      </c>
      <c r="FP17">
        <v>10000</v>
      </c>
      <c r="FQ17">
        <v>10000</v>
      </c>
      <c r="FR17">
        <v>10000</v>
      </c>
      <c r="FS17">
        <v>10000</v>
      </c>
      <c r="FT17">
        <v>10000</v>
      </c>
      <c r="FU17">
        <v>10000</v>
      </c>
      <c r="FV17">
        <v>10000</v>
      </c>
      <c r="FW17">
        <v>10000</v>
      </c>
      <c r="FX17">
        <v>10000</v>
      </c>
      <c r="FY17">
        <v>10000</v>
      </c>
      <c r="FZ17">
        <v>10000</v>
      </c>
      <c r="GA17">
        <v>10000</v>
      </c>
      <c r="GB17">
        <v>10000</v>
      </c>
      <c r="GC17">
        <v>10000</v>
      </c>
      <c r="GD17">
        <v>10000</v>
      </c>
      <c r="GE17">
        <v>10000</v>
      </c>
      <c r="GF17">
        <v>10000</v>
      </c>
      <c r="GG17">
        <v>10000</v>
      </c>
      <c r="GH17">
        <v>10000</v>
      </c>
      <c r="GI17">
        <v>10000</v>
      </c>
      <c r="GJ17">
        <v>10000</v>
      </c>
      <c r="GK17">
        <v>10000</v>
      </c>
      <c r="GL17">
        <v>10000</v>
      </c>
      <c r="GM17">
        <v>10000</v>
      </c>
      <c r="GN17">
        <v>10000</v>
      </c>
      <c r="GO17">
        <v>10000</v>
      </c>
      <c r="GP17">
        <v>10000</v>
      </c>
      <c r="GQ17">
        <v>10000</v>
      </c>
      <c r="GR17">
        <v>10000</v>
      </c>
      <c r="GS17">
        <v>10000</v>
      </c>
      <c r="GT17">
        <v>10000</v>
      </c>
      <c r="GU17">
        <v>10000</v>
      </c>
      <c r="GV17">
        <v>10000</v>
      </c>
      <c r="GW17">
        <v>10000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row>
    <row r="18" spans="1:245" hidden="1">
      <c r="A18" s="343" t="s">
        <v>633</v>
      </c>
      <c r="B18" t="s">
        <v>1010</v>
      </c>
      <c r="F18">
        <v>1</v>
      </c>
      <c r="G18" s="431"/>
      <c r="H18">
        <v>15</v>
      </c>
      <c r="J18" t="str">
        <f t="shared" si="0"/>
        <v>SDJ200115</v>
      </c>
      <c r="K18">
        <v>314</v>
      </c>
      <c r="M18" s="343" t="s">
        <v>633</v>
      </c>
      <c r="N18" t="s">
        <v>1010</v>
      </c>
      <c r="O18">
        <v>1</v>
      </c>
      <c r="P18">
        <v>15</v>
      </c>
      <c r="Q18" s="184" t="str">
        <f t="shared" si="1"/>
        <v>SDJ200115</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10000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s="132"/>
      <c r="DZ18" s="343" t="s">
        <v>633</v>
      </c>
      <c r="EA18" t="s">
        <v>1010</v>
      </c>
      <c r="EB18">
        <v>1</v>
      </c>
      <c r="EC18">
        <v>15</v>
      </c>
      <c r="ED18" s="184" t="str">
        <f t="shared" si="2"/>
        <v>SDJ200115</v>
      </c>
      <c r="EE18">
        <v>10000</v>
      </c>
      <c r="EF18">
        <v>10000</v>
      </c>
      <c r="EG18">
        <v>10000</v>
      </c>
      <c r="EH18">
        <v>10000</v>
      </c>
      <c r="EI18">
        <v>10000</v>
      </c>
      <c r="EJ18">
        <v>10000</v>
      </c>
      <c r="EK18">
        <v>10000</v>
      </c>
      <c r="EL18">
        <v>10000</v>
      </c>
      <c r="EM18">
        <v>10000</v>
      </c>
      <c r="EN18">
        <v>10000</v>
      </c>
      <c r="EO18">
        <v>10000</v>
      </c>
      <c r="EP18">
        <v>10000</v>
      </c>
      <c r="EQ18">
        <v>10000</v>
      </c>
      <c r="ER18">
        <v>10000</v>
      </c>
      <c r="ES18">
        <v>10000</v>
      </c>
      <c r="ET18">
        <v>10000</v>
      </c>
      <c r="EU18">
        <v>10000</v>
      </c>
      <c r="EV18">
        <v>10000</v>
      </c>
      <c r="EW18">
        <v>10000</v>
      </c>
      <c r="EX18">
        <v>10000</v>
      </c>
      <c r="EY18">
        <v>10000</v>
      </c>
      <c r="EZ18">
        <v>10000</v>
      </c>
      <c r="FA18">
        <v>10000</v>
      </c>
      <c r="FB18">
        <v>10000</v>
      </c>
      <c r="FC18">
        <v>10000</v>
      </c>
      <c r="FD18">
        <v>10000</v>
      </c>
      <c r="FE18">
        <v>10000</v>
      </c>
      <c r="FF18">
        <v>10000</v>
      </c>
      <c r="FG18">
        <v>10000</v>
      </c>
      <c r="FH18">
        <v>10000</v>
      </c>
      <c r="FI18">
        <v>10000</v>
      </c>
      <c r="FJ18">
        <v>10000</v>
      </c>
      <c r="FK18">
        <v>10000</v>
      </c>
      <c r="FL18">
        <v>10000</v>
      </c>
      <c r="FM18">
        <v>10000</v>
      </c>
      <c r="FN18">
        <v>10000</v>
      </c>
      <c r="FO18">
        <v>10000</v>
      </c>
      <c r="FP18">
        <v>10000</v>
      </c>
      <c r="FQ18">
        <v>10000</v>
      </c>
      <c r="FR18">
        <v>10000</v>
      </c>
      <c r="FS18">
        <v>10000</v>
      </c>
      <c r="FT18">
        <v>10000</v>
      </c>
      <c r="FU18">
        <v>10000</v>
      </c>
      <c r="FV18">
        <v>10000</v>
      </c>
      <c r="FW18">
        <v>10000</v>
      </c>
      <c r="FX18">
        <v>10000</v>
      </c>
      <c r="FY18">
        <v>10000</v>
      </c>
      <c r="FZ18">
        <v>10000</v>
      </c>
      <c r="GA18">
        <v>10000</v>
      </c>
      <c r="GB18">
        <v>10000</v>
      </c>
      <c r="GC18">
        <v>10000</v>
      </c>
      <c r="GD18">
        <v>10000</v>
      </c>
      <c r="GE18">
        <v>10000</v>
      </c>
      <c r="GF18">
        <v>10000</v>
      </c>
      <c r="GG18">
        <v>10000</v>
      </c>
      <c r="GH18">
        <v>10000</v>
      </c>
      <c r="GI18">
        <v>10000</v>
      </c>
      <c r="GJ18">
        <v>10000</v>
      </c>
      <c r="GK18">
        <v>10000</v>
      </c>
      <c r="GL18">
        <v>10000</v>
      </c>
      <c r="GM18">
        <v>10000</v>
      </c>
      <c r="GN18">
        <v>10000</v>
      </c>
      <c r="GO18">
        <v>10000</v>
      </c>
      <c r="GP18">
        <v>10000</v>
      </c>
      <c r="GQ18">
        <v>10000</v>
      </c>
      <c r="GR18">
        <v>10000</v>
      </c>
      <c r="GS18">
        <v>10000</v>
      </c>
      <c r="GT18">
        <v>10000</v>
      </c>
      <c r="GU18">
        <v>10000</v>
      </c>
      <c r="GV18">
        <v>10000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row>
    <row r="19" spans="1:245" hidden="1">
      <c r="A19" s="343" t="s">
        <v>633</v>
      </c>
      <c r="B19" t="s">
        <v>1010</v>
      </c>
      <c r="F19">
        <v>1</v>
      </c>
      <c r="G19" s="431"/>
      <c r="H19">
        <v>16</v>
      </c>
      <c r="J19" t="str">
        <f t="shared" si="0"/>
        <v>SDJ200116</v>
      </c>
      <c r="K19">
        <v>321</v>
      </c>
      <c r="M19" s="343" t="s">
        <v>633</v>
      </c>
      <c r="N19" t="s">
        <v>1010</v>
      </c>
      <c r="O19">
        <v>1</v>
      </c>
      <c r="P19">
        <v>16</v>
      </c>
      <c r="Q19" s="184" t="str">
        <f t="shared" si="1"/>
        <v>SDJ200116</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10000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s="132"/>
      <c r="DZ19" s="343" t="s">
        <v>633</v>
      </c>
      <c r="EA19" t="s">
        <v>1010</v>
      </c>
      <c r="EB19">
        <v>1</v>
      </c>
      <c r="EC19">
        <v>16</v>
      </c>
      <c r="ED19" s="184" t="str">
        <f t="shared" si="2"/>
        <v>SDJ200116</v>
      </c>
      <c r="EE19">
        <v>10000</v>
      </c>
      <c r="EF19">
        <v>10000</v>
      </c>
      <c r="EG19">
        <v>10000</v>
      </c>
      <c r="EH19">
        <v>10000</v>
      </c>
      <c r="EI19">
        <v>10000</v>
      </c>
      <c r="EJ19">
        <v>10000</v>
      </c>
      <c r="EK19">
        <v>10000</v>
      </c>
      <c r="EL19">
        <v>10000</v>
      </c>
      <c r="EM19">
        <v>10000</v>
      </c>
      <c r="EN19">
        <v>10000</v>
      </c>
      <c r="EO19">
        <v>10000</v>
      </c>
      <c r="EP19">
        <v>10000</v>
      </c>
      <c r="EQ19">
        <v>10000</v>
      </c>
      <c r="ER19">
        <v>10000</v>
      </c>
      <c r="ES19">
        <v>10000</v>
      </c>
      <c r="ET19">
        <v>10000</v>
      </c>
      <c r="EU19">
        <v>10000</v>
      </c>
      <c r="EV19">
        <v>10000</v>
      </c>
      <c r="EW19">
        <v>10000</v>
      </c>
      <c r="EX19">
        <v>10000</v>
      </c>
      <c r="EY19">
        <v>10000</v>
      </c>
      <c r="EZ19">
        <v>10000</v>
      </c>
      <c r="FA19">
        <v>10000</v>
      </c>
      <c r="FB19">
        <v>10000</v>
      </c>
      <c r="FC19">
        <v>10000</v>
      </c>
      <c r="FD19">
        <v>10000</v>
      </c>
      <c r="FE19">
        <v>10000</v>
      </c>
      <c r="FF19">
        <v>10000</v>
      </c>
      <c r="FG19">
        <v>10000</v>
      </c>
      <c r="FH19">
        <v>10000</v>
      </c>
      <c r="FI19">
        <v>10000</v>
      </c>
      <c r="FJ19">
        <v>10000</v>
      </c>
      <c r="FK19">
        <v>10000</v>
      </c>
      <c r="FL19">
        <v>10000</v>
      </c>
      <c r="FM19">
        <v>10000</v>
      </c>
      <c r="FN19">
        <v>10000</v>
      </c>
      <c r="FO19">
        <v>10000</v>
      </c>
      <c r="FP19">
        <v>10000</v>
      </c>
      <c r="FQ19">
        <v>10000</v>
      </c>
      <c r="FR19">
        <v>10000</v>
      </c>
      <c r="FS19">
        <v>10000</v>
      </c>
      <c r="FT19">
        <v>10000</v>
      </c>
      <c r="FU19">
        <v>10000</v>
      </c>
      <c r="FV19">
        <v>10000</v>
      </c>
      <c r="FW19">
        <v>10000</v>
      </c>
      <c r="FX19">
        <v>10000</v>
      </c>
      <c r="FY19">
        <v>10000</v>
      </c>
      <c r="FZ19">
        <v>10000</v>
      </c>
      <c r="GA19">
        <v>10000</v>
      </c>
      <c r="GB19">
        <v>10000</v>
      </c>
      <c r="GC19">
        <v>10000</v>
      </c>
      <c r="GD19">
        <v>10000</v>
      </c>
      <c r="GE19">
        <v>10000</v>
      </c>
      <c r="GF19">
        <v>10000</v>
      </c>
      <c r="GG19">
        <v>10000</v>
      </c>
      <c r="GH19">
        <v>10000</v>
      </c>
      <c r="GI19">
        <v>10000</v>
      </c>
      <c r="GJ19">
        <v>10000</v>
      </c>
      <c r="GK19">
        <v>10000</v>
      </c>
      <c r="GL19">
        <v>10000</v>
      </c>
      <c r="GM19">
        <v>10000</v>
      </c>
      <c r="GN19">
        <v>10000</v>
      </c>
      <c r="GO19">
        <v>10000</v>
      </c>
      <c r="GP19">
        <v>10000</v>
      </c>
      <c r="GQ19">
        <v>10000</v>
      </c>
      <c r="GR19">
        <v>10000</v>
      </c>
      <c r="GS19">
        <v>10000</v>
      </c>
      <c r="GT19">
        <v>10000</v>
      </c>
      <c r="GU19">
        <v>10000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row>
    <row r="20" spans="1:245" hidden="1">
      <c r="A20" s="343" t="s">
        <v>633</v>
      </c>
      <c r="B20" t="s">
        <v>1010</v>
      </c>
      <c r="F20">
        <v>1</v>
      </c>
      <c r="G20" s="431"/>
      <c r="H20">
        <v>17</v>
      </c>
      <c r="J20" t="str">
        <f t="shared" si="0"/>
        <v>SDJ200117</v>
      </c>
      <c r="K20">
        <v>328</v>
      </c>
      <c r="M20" s="343" t="s">
        <v>633</v>
      </c>
      <c r="N20" t="s">
        <v>1010</v>
      </c>
      <c r="O20">
        <v>1</v>
      </c>
      <c r="P20">
        <v>17</v>
      </c>
      <c r="Q20" s="184" t="str">
        <f t="shared" si="1"/>
        <v>SDJ200117</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10000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s="132"/>
      <c r="DZ20" s="343" t="s">
        <v>633</v>
      </c>
      <c r="EA20" t="s">
        <v>1010</v>
      </c>
      <c r="EB20">
        <v>1</v>
      </c>
      <c r="EC20">
        <v>17</v>
      </c>
      <c r="ED20" s="184" t="str">
        <f t="shared" si="2"/>
        <v>SDJ200117</v>
      </c>
      <c r="EE20">
        <v>10000</v>
      </c>
      <c r="EF20">
        <v>10000</v>
      </c>
      <c r="EG20">
        <v>10000</v>
      </c>
      <c r="EH20">
        <v>10000</v>
      </c>
      <c r="EI20">
        <v>10000</v>
      </c>
      <c r="EJ20">
        <v>10000</v>
      </c>
      <c r="EK20">
        <v>10000</v>
      </c>
      <c r="EL20">
        <v>10000</v>
      </c>
      <c r="EM20">
        <v>10000</v>
      </c>
      <c r="EN20">
        <v>10000</v>
      </c>
      <c r="EO20">
        <v>10000</v>
      </c>
      <c r="EP20">
        <v>10000</v>
      </c>
      <c r="EQ20">
        <v>10000</v>
      </c>
      <c r="ER20">
        <v>10000</v>
      </c>
      <c r="ES20">
        <v>10000</v>
      </c>
      <c r="ET20">
        <v>10000</v>
      </c>
      <c r="EU20">
        <v>10000</v>
      </c>
      <c r="EV20">
        <v>10000</v>
      </c>
      <c r="EW20">
        <v>10000</v>
      </c>
      <c r="EX20">
        <v>10000</v>
      </c>
      <c r="EY20">
        <v>10000</v>
      </c>
      <c r="EZ20">
        <v>10000</v>
      </c>
      <c r="FA20">
        <v>10000</v>
      </c>
      <c r="FB20">
        <v>10000</v>
      </c>
      <c r="FC20">
        <v>10000</v>
      </c>
      <c r="FD20">
        <v>10000</v>
      </c>
      <c r="FE20">
        <v>10000</v>
      </c>
      <c r="FF20">
        <v>10000</v>
      </c>
      <c r="FG20">
        <v>10000</v>
      </c>
      <c r="FH20">
        <v>10000</v>
      </c>
      <c r="FI20">
        <v>10000</v>
      </c>
      <c r="FJ20">
        <v>10000</v>
      </c>
      <c r="FK20">
        <v>10000</v>
      </c>
      <c r="FL20">
        <v>10000</v>
      </c>
      <c r="FM20">
        <v>10000</v>
      </c>
      <c r="FN20">
        <v>10000</v>
      </c>
      <c r="FO20">
        <v>10000</v>
      </c>
      <c r="FP20">
        <v>10000</v>
      </c>
      <c r="FQ20">
        <v>10000</v>
      </c>
      <c r="FR20">
        <v>10000</v>
      </c>
      <c r="FS20">
        <v>10000</v>
      </c>
      <c r="FT20">
        <v>10000</v>
      </c>
      <c r="FU20">
        <v>10000</v>
      </c>
      <c r="FV20">
        <v>10000</v>
      </c>
      <c r="FW20">
        <v>10000</v>
      </c>
      <c r="FX20">
        <v>10000</v>
      </c>
      <c r="FY20">
        <v>10000</v>
      </c>
      <c r="FZ20">
        <v>10000</v>
      </c>
      <c r="GA20">
        <v>10000</v>
      </c>
      <c r="GB20">
        <v>10000</v>
      </c>
      <c r="GC20">
        <v>10000</v>
      </c>
      <c r="GD20">
        <v>10000</v>
      </c>
      <c r="GE20">
        <v>10000</v>
      </c>
      <c r="GF20">
        <v>10000</v>
      </c>
      <c r="GG20">
        <v>10000</v>
      </c>
      <c r="GH20">
        <v>10000</v>
      </c>
      <c r="GI20">
        <v>10000</v>
      </c>
      <c r="GJ20">
        <v>10000</v>
      </c>
      <c r="GK20">
        <v>10000</v>
      </c>
      <c r="GL20">
        <v>10000</v>
      </c>
      <c r="GM20">
        <v>10000</v>
      </c>
      <c r="GN20">
        <v>10000</v>
      </c>
      <c r="GO20">
        <v>10000</v>
      </c>
      <c r="GP20">
        <v>10000</v>
      </c>
      <c r="GQ20">
        <v>10000</v>
      </c>
      <c r="GR20">
        <v>10000</v>
      </c>
      <c r="GS20">
        <v>10000</v>
      </c>
      <c r="GT20">
        <v>10000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row>
    <row r="21" spans="1:245" hidden="1">
      <c r="A21" s="343" t="s">
        <v>633</v>
      </c>
      <c r="B21" t="s">
        <v>1010</v>
      </c>
      <c r="F21">
        <v>1</v>
      </c>
      <c r="G21" s="431"/>
      <c r="H21">
        <v>18</v>
      </c>
      <c r="J21" t="str">
        <f t="shared" si="0"/>
        <v>SDJ200118</v>
      </c>
      <c r="K21">
        <v>335</v>
      </c>
      <c r="M21" s="343" t="s">
        <v>633</v>
      </c>
      <c r="N21" t="s">
        <v>1010</v>
      </c>
      <c r="O21">
        <v>1</v>
      </c>
      <c r="P21">
        <v>18</v>
      </c>
      <c r="Q21" s="184" t="str">
        <f t="shared" si="1"/>
        <v>SDJ200118</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10000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s="132"/>
      <c r="DZ21" s="343" t="s">
        <v>633</v>
      </c>
      <c r="EA21" t="s">
        <v>1010</v>
      </c>
      <c r="EB21">
        <v>1</v>
      </c>
      <c r="EC21">
        <v>18</v>
      </c>
      <c r="ED21" s="184" t="str">
        <f t="shared" si="2"/>
        <v>SDJ200118</v>
      </c>
      <c r="EE21">
        <v>10000</v>
      </c>
      <c r="EF21">
        <v>10000</v>
      </c>
      <c r="EG21">
        <v>10000</v>
      </c>
      <c r="EH21">
        <v>10000</v>
      </c>
      <c r="EI21">
        <v>10000</v>
      </c>
      <c r="EJ21">
        <v>10000</v>
      </c>
      <c r="EK21">
        <v>10000</v>
      </c>
      <c r="EL21">
        <v>10000</v>
      </c>
      <c r="EM21">
        <v>10000</v>
      </c>
      <c r="EN21">
        <v>10000</v>
      </c>
      <c r="EO21">
        <v>10000</v>
      </c>
      <c r="EP21">
        <v>10000</v>
      </c>
      <c r="EQ21">
        <v>10000</v>
      </c>
      <c r="ER21">
        <v>10000</v>
      </c>
      <c r="ES21">
        <v>10000</v>
      </c>
      <c r="ET21">
        <v>10000</v>
      </c>
      <c r="EU21">
        <v>10000</v>
      </c>
      <c r="EV21">
        <v>10000</v>
      </c>
      <c r="EW21">
        <v>10000</v>
      </c>
      <c r="EX21">
        <v>10000</v>
      </c>
      <c r="EY21">
        <v>10000</v>
      </c>
      <c r="EZ21">
        <v>10000</v>
      </c>
      <c r="FA21">
        <v>10000</v>
      </c>
      <c r="FB21">
        <v>10000</v>
      </c>
      <c r="FC21">
        <v>10000</v>
      </c>
      <c r="FD21">
        <v>10000</v>
      </c>
      <c r="FE21">
        <v>10000</v>
      </c>
      <c r="FF21">
        <v>10000</v>
      </c>
      <c r="FG21">
        <v>10000</v>
      </c>
      <c r="FH21">
        <v>10000</v>
      </c>
      <c r="FI21">
        <v>10000</v>
      </c>
      <c r="FJ21">
        <v>10000</v>
      </c>
      <c r="FK21">
        <v>10000</v>
      </c>
      <c r="FL21">
        <v>10000</v>
      </c>
      <c r="FM21">
        <v>10000</v>
      </c>
      <c r="FN21">
        <v>10000</v>
      </c>
      <c r="FO21">
        <v>10000</v>
      </c>
      <c r="FP21">
        <v>10000</v>
      </c>
      <c r="FQ21">
        <v>10000</v>
      </c>
      <c r="FR21">
        <v>10000</v>
      </c>
      <c r="FS21">
        <v>10000</v>
      </c>
      <c r="FT21">
        <v>10000</v>
      </c>
      <c r="FU21">
        <v>10000</v>
      </c>
      <c r="FV21">
        <v>10000</v>
      </c>
      <c r="FW21">
        <v>10000</v>
      </c>
      <c r="FX21">
        <v>10000</v>
      </c>
      <c r="FY21">
        <v>10000</v>
      </c>
      <c r="FZ21">
        <v>10000</v>
      </c>
      <c r="GA21">
        <v>10000</v>
      </c>
      <c r="GB21">
        <v>10000</v>
      </c>
      <c r="GC21">
        <v>10000</v>
      </c>
      <c r="GD21">
        <v>10000</v>
      </c>
      <c r="GE21">
        <v>10000</v>
      </c>
      <c r="GF21">
        <v>10000</v>
      </c>
      <c r="GG21">
        <v>10000</v>
      </c>
      <c r="GH21">
        <v>10000</v>
      </c>
      <c r="GI21">
        <v>10000</v>
      </c>
      <c r="GJ21">
        <v>10000</v>
      </c>
      <c r="GK21">
        <v>10000</v>
      </c>
      <c r="GL21">
        <v>10000</v>
      </c>
      <c r="GM21">
        <v>10000</v>
      </c>
      <c r="GN21">
        <v>10000</v>
      </c>
      <c r="GO21">
        <v>10000</v>
      </c>
      <c r="GP21">
        <v>10000</v>
      </c>
      <c r="GQ21">
        <v>10000</v>
      </c>
      <c r="GR21">
        <v>10000</v>
      </c>
      <c r="GS21">
        <v>10000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row>
    <row r="22" spans="1:245" hidden="1">
      <c r="A22" s="343" t="s">
        <v>633</v>
      </c>
      <c r="B22" t="s">
        <v>1010</v>
      </c>
      <c r="F22">
        <v>1</v>
      </c>
      <c r="G22" s="431"/>
      <c r="H22">
        <v>19</v>
      </c>
      <c r="J22" t="str">
        <f t="shared" si="0"/>
        <v>SDJ200119</v>
      </c>
      <c r="K22">
        <v>342</v>
      </c>
      <c r="M22" s="343" t="s">
        <v>633</v>
      </c>
      <c r="N22" t="s">
        <v>1010</v>
      </c>
      <c r="O22">
        <v>1</v>
      </c>
      <c r="P22">
        <v>19</v>
      </c>
      <c r="Q22" s="184" t="str">
        <f t="shared" si="1"/>
        <v>SDJ200119</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10000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s="132"/>
      <c r="DZ22" s="343" t="s">
        <v>633</v>
      </c>
      <c r="EA22" t="s">
        <v>1010</v>
      </c>
      <c r="EB22">
        <v>1</v>
      </c>
      <c r="EC22">
        <v>19</v>
      </c>
      <c r="ED22" s="184" t="str">
        <f t="shared" si="2"/>
        <v>SDJ200119</v>
      </c>
      <c r="EE22">
        <v>10000</v>
      </c>
      <c r="EF22">
        <v>10000</v>
      </c>
      <c r="EG22">
        <v>10000</v>
      </c>
      <c r="EH22">
        <v>10000</v>
      </c>
      <c r="EI22">
        <v>10000</v>
      </c>
      <c r="EJ22">
        <v>10000</v>
      </c>
      <c r="EK22">
        <v>10000</v>
      </c>
      <c r="EL22">
        <v>10000</v>
      </c>
      <c r="EM22">
        <v>10000</v>
      </c>
      <c r="EN22">
        <v>10000</v>
      </c>
      <c r="EO22">
        <v>10000</v>
      </c>
      <c r="EP22">
        <v>10000</v>
      </c>
      <c r="EQ22">
        <v>10000</v>
      </c>
      <c r="ER22">
        <v>10000</v>
      </c>
      <c r="ES22">
        <v>10000</v>
      </c>
      <c r="ET22">
        <v>10000</v>
      </c>
      <c r="EU22">
        <v>10000</v>
      </c>
      <c r="EV22">
        <v>10000</v>
      </c>
      <c r="EW22">
        <v>10000</v>
      </c>
      <c r="EX22">
        <v>10000</v>
      </c>
      <c r="EY22">
        <v>10000</v>
      </c>
      <c r="EZ22">
        <v>10000</v>
      </c>
      <c r="FA22">
        <v>10000</v>
      </c>
      <c r="FB22">
        <v>10000</v>
      </c>
      <c r="FC22">
        <v>10000</v>
      </c>
      <c r="FD22">
        <v>10000</v>
      </c>
      <c r="FE22">
        <v>10000</v>
      </c>
      <c r="FF22">
        <v>10000</v>
      </c>
      <c r="FG22">
        <v>10000</v>
      </c>
      <c r="FH22">
        <v>10000</v>
      </c>
      <c r="FI22">
        <v>10000</v>
      </c>
      <c r="FJ22">
        <v>10000</v>
      </c>
      <c r="FK22">
        <v>10000</v>
      </c>
      <c r="FL22">
        <v>10000</v>
      </c>
      <c r="FM22">
        <v>10000</v>
      </c>
      <c r="FN22">
        <v>10000</v>
      </c>
      <c r="FO22">
        <v>10000</v>
      </c>
      <c r="FP22">
        <v>10000</v>
      </c>
      <c r="FQ22">
        <v>10000</v>
      </c>
      <c r="FR22">
        <v>10000</v>
      </c>
      <c r="FS22">
        <v>10000</v>
      </c>
      <c r="FT22">
        <v>10000</v>
      </c>
      <c r="FU22">
        <v>10000</v>
      </c>
      <c r="FV22">
        <v>10000</v>
      </c>
      <c r="FW22">
        <v>10000</v>
      </c>
      <c r="FX22">
        <v>10000</v>
      </c>
      <c r="FY22">
        <v>10000</v>
      </c>
      <c r="FZ22">
        <v>10000</v>
      </c>
      <c r="GA22">
        <v>10000</v>
      </c>
      <c r="GB22">
        <v>10000</v>
      </c>
      <c r="GC22">
        <v>10000</v>
      </c>
      <c r="GD22">
        <v>10000</v>
      </c>
      <c r="GE22">
        <v>10000</v>
      </c>
      <c r="GF22">
        <v>10000</v>
      </c>
      <c r="GG22">
        <v>10000</v>
      </c>
      <c r="GH22">
        <v>10000</v>
      </c>
      <c r="GI22">
        <v>10000</v>
      </c>
      <c r="GJ22">
        <v>10000</v>
      </c>
      <c r="GK22">
        <v>10000</v>
      </c>
      <c r="GL22">
        <v>10000</v>
      </c>
      <c r="GM22">
        <v>10000</v>
      </c>
      <c r="GN22">
        <v>10000</v>
      </c>
      <c r="GO22">
        <v>10000</v>
      </c>
      <c r="GP22">
        <v>10000</v>
      </c>
      <c r="GQ22">
        <v>10000</v>
      </c>
      <c r="GR22">
        <v>10000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row>
    <row r="23" spans="1:245" hidden="1">
      <c r="A23" s="343" t="s">
        <v>633</v>
      </c>
      <c r="B23" t="s">
        <v>1010</v>
      </c>
      <c r="F23">
        <v>1</v>
      </c>
      <c r="G23" s="431"/>
      <c r="H23">
        <v>20</v>
      </c>
      <c r="J23" t="str">
        <f t="shared" si="0"/>
        <v>SDJ200120</v>
      </c>
      <c r="K23">
        <v>349</v>
      </c>
      <c r="M23" s="343" t="s">
        <v>633</v>
      </c>
      <c r="N23" t="s">
        <v>1010</v>
      </c>
      <c r="O23">
        <v>1</v>
      </c>
      <c r="P23">
        <v>20</v>
      </c>
      <c r="Q23" s="184" t="str">
        <f t="shared" si="1"/>
        <v>SDJ200120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10000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s="132"/>
      <c r="DZ23" s="343" t="s">
        <v>633</v>
      </c>
      <c r="EA23" t="s">
        <v>1010</v>
      </c>
      <c r="EB23">
        <v>1</v>
      </c>
      <c r="EC23">
        <v>20</v>
      </c>
      <c r="ED23" s="184" t="str">
        <f t="shared" si="2"/>
        <v>SDJ200120</v>
      </c>
      <c r="EE23">
        <v>10000</v>
      </c>
      <c r="EF23">
        <v>10000</v>
      </c>
      <c r="EG23">
        <v>10000</v>
      </c>
      <c r="EH23">
        <v>10000</v>
      </c>
      <c r="EI23">
        <v>10000</v>
      </c>
      <c r="EJ23">
        <v>10000</v>
      </c>
      <c r="EK23">
        <v>10000</v>
      </c>
      <c r="EL23">
        <v>10000</v>
      </c>
      <c r="EM23">
        <v>10000</v>
      </c>
      <c r="EN23">
        <v>10000</v>
      </c>
      <c r="EO23">
        <v>10000</v>
      </c>
      <c r="EP23">
        <v>10000</v>
      </c>
      <c r="EQ23">
        <v>10000</v>
      </c>
      <c r="ER23">
        <v>10000</v>
      </c>
      <c r="ES23">
        <v>10000</v>
      </c>
      <c r="ET23">
        <v>10000</v>
      </c>
      <c r="EU23">
        <v>10000</v>
      </c>
      <c r="EV23">
        <v>10000</v>
      </c>
      <c r="EW23">
        <v>10000</v>
      </c>
      <c r="EX23">
        <v>10000</v>
      </c>
      <c r="EY23">
        <v>10000</v>
      </c>
      <c r="EZ23">
        <v>10000</v>
      </c>
      <c r="FA23">
        <v>10000</v>
      </c>
      <c r="FB23">
        <v>10000</v>
      </c>
      <c r="FC23">
        <v>10000</v>
      </c>
      <c r="FD23">
        <v>10000</v>
      </c>
      <c r="FE23">
        <v>10000</v>
      </c>
      <c r="FF23">
        <v>10000</v>
      </c>
      <c r="FG23">
        <v>10000</v>
      </c>
      <c r="FH23">
        <v>10000</v>
      </c>
      <c r="FI23">
        <v>10000</v>
      </c>
      <c r="FJ23">
        <v>10000</v>
      </c>
      <c r="FK23">
        <v>10000</v>
      </c>
      <c r="FL23">
        <v>10000</v>
      </c>
      <c r="FM23">
        <v>10000</v>
      </c>
      <c r="FN23">
        <v>10000</v>
      </c>
      <c r="FO23">
        <v>10000</v>
      </c>
      <c r="FP23">
        <v>10000</v>
      </c>
      <c r="FQ23">
        <v>10000</v>
      </c>
      <c r="FR23">
        <v>10000</v>
      </c>
      <c r="FS23">
        <v>10000</v>
      </c>
      <c r="FT23">
        <v>10000</v>
      </c>
      <c r="FU23">
        <v>10000</v>
      </c>
      <c r="FV23">
        <v>10000</v>
      </c>
      <c r="FW23">
        <v>10000</v>
      </c>
      <c r="FX23">
        <v>10000</v>
      </c>
      <c r="FY23">
        <v>10000</v>
      </c>
      <c r="FZ23">
        <v>10000</v>
      </c>
      <c r="GA23">
        <v>10000</v>
      </c>
      <c r="GB23">
        <v>10000</v>
      </c>
      <c r="GC23">
        <v>10000</v>
      </c>
      <c r="GD23">
        <v>10000</v>
      </c>
      <c r="GE23">
        <v>10000</v>
      </c>
      <c r="GF23">
        <v>10000</v>
      </c>
      <c r="GG23">
        <v>10000</v>
      </c>
      <c r="GH23">
        <v>10000</v>
      </c>
      <c r="GI23">
        <v>10000</v>
      </c>
      <c r="GJ23">
        <v>10000</v>
      </c>
      <c r="GK23">
        <v>10000</v>
      </c>
      <c r="GL23">
        <v>10000</v>
      </c>
      <c r="GM23">
        <v>10000</v>
      </c>
      <c r="GN23">
        <v>10000</v>
      </c>
      <c r="GO23">
        <v>10000</v>
      </c>
      <c r="GP23">
        <v>10000</v>
      </c>
      <c r="GQ23">
        <v>10000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row>
    <row r="24" spans="1:245" hidden="1">
      <c r="A24" s="343" t="s">
        <v>633</v>
      </c>
      <c r="B24" t="s">
        <v>1010</v>
      </c>
      <c r="F24">
        <v>1</v>
      </c>
      <c r="G24" s="431"/>
      <c r="H24">
        <v>21</v>
      </c>
      <c r="J24" t="str">
        <f t="shared" si="0"/>
        <v>SDJ200121</v>
      </c>
      <c r="K24">
        <v>356</v>
      </c>
      <c r="M24" s="343" t="s">
        <v>633</v>
      </c>
      <c r="N24" t="s">
        <v>1010</v>
      </c>
      <c r="O24">
        <v>1</v>
      </c>
      <c r="P24">
        <v>21</v>
      </c>
      <c r="Q24" s="184" t="str">
        <f t="shared" si="1"/>
        <v>SDJ200121</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10000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s="132"/>
      <c r="DZ24" s="343" t="s">
        <v>633</v>
      </c>
      <c r="EA24" t="s">
        <v>1010</v>
      </c>
      <c r="EB24">
        <v>1</v>
      </c>
      <c r="EC24">
        <v>21</v>
      </c>
      <c r="ED24" s="184" t="str">
        <f t="shared" si="2"/>
        <v>SDJ200121</v>
      </c>
      <c r="EE24">
        <v>10000</v>
      </c>
      <c r="EF24">
        <v>10000</v>
      </c>
      <c r="EG24">
        <v>10000</v>
      </c>
      <c r="EH24">
        <v>10000</v>
      </c>
      <c r="EI24">
        <v>10000</v>
      </c>
      <c r="EJ24">
        <v>10000</v>
      </c>
      <c r="EK24">
        <v>10000</v>
      </c>
      <c r="EL24">
        <v>10000</v>
      </c>
      <c r="EM24">
        <v>10000</v>
      </c>
      <c r="EN24">
        <v>10000</v>
      </c>
      <c r="EO24">
        <v>10000</v>
      </c>
      <c r="EP24">
        <v>10000</v>
      </c>
      <c r="EQ24">
        <v>10000</v>
      </c>
      <c r="ER24">
        <v>10000</v>
      </c>
      <c r="ES24">
        <v>10000</v>
      </c>
      <c r="ET24">
        <v>10000</v>
      </c>
      <c r="EU24">
        <v>10000</v>
      </c>
      <c r="EV24">
        <v>10000</v>
      </c>
      <c r="EW24">
        <v>10000</v>
      </c>
      <c r="EX24">
        <v>10000</v>
      </c>
      <c r="EY24">
        <v>10000</v>
      </c>
      <c r="EZ24">
        <v>10000</v>
      </c>
      <c r="FA24">
        <v>10000</v>
      </c>
      <c r="FB24">
        <v>10000</v>
      </c>
      <c r="FC24">
        <v>10000</v>
      </c>
      <c r="FD24">
        <v>10000</v>
      </c>
      <c r="FE24">
        <v>10000</v>
      </c>
      <c r="FF24">
        <v>10000</v>
      </c>
      <c r="FG24">
        <v>10000</v>
      </c>
      <c r="FH24">
        <v>10000</v>
      </c>
      <c r="FI24">
        <v>10000</v>
      </c>
      <c r="FJ24">
        <v>10000</v>
      </c>
      <c r="FK24">
        <v>10000</v>
      </c>
      <c r="FL24">
        <v>10000</v>
      </c>
      <c r="FM24">
        <v>10000</v>
      </c>
      <c r="FN24">
        <v>10000</v>
      </c>
      <c r="FO24">
        <v>10000</v>
      </c>
      <c r="FP24">
        <v>10000</v>
      </c>
      <c r="FQ24">
        <v>10000</v>
      </c>
      <c r="FR24">
        <v>10000</v>
      </c>
      <c r="FS24">
        <v>10000</v>
      </c>
      <c r="FT24">
        <v>10000</v>
      </c>
      <c r="FU24">
        <v>10000</v>
      </c>
      <c r="FV24">
        <v>10000</v>
      </c>
      <c r="FW24">
        <v>10000</v>
      </c>
      <c r="FX24">
        <v>10000</v>
      </c>
      <c r="FY24">
        <v>10000</v>
      </c>
      <c r="FZ24">
        <v>10000</v>
      </c>
      <c r="GA24">
        <v>10000</v>
      </c>
      <c r="GB24">
        <v>10000</v>
      </c>
      <c r="GC24">
        <v>10000</v>
      </c>
      <c r="GD24">
        <v>10000</v>
      </c>
      <c r="GE24">
        <v>10000</v>
      </c>
      <c r="GF24">
        <v>10000</v>
      </c>
      <c r="GG24">
        <v>10000</v>
      </c>
      <c r="GH24">
        <v>10000</v>
      </c>
      <c r="GI24">
        <v>10000</v>
      </c>
      <c r="GJ24">
        <v>10000</v>
      </c>
      <c r="GK24">
        <v>10000</v>
      </c>
      <c r="GL24">
        <v>10000</v>
      </c>
      <c r="GM24">
        <v>10000</v>
      </c>
      <c r="GN24">
        <v>10000</v>
      </c>
      <c r="GO24">
        <v>10000</v>
      </c>
      <c r="GP24">
        <v>10000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row>
    <row r="25" spans="1:245" hidden="1">
      <c r="A25" s="343" t="s">
        <v>633</v>
      </c>
      <c r="B25" t="s">
        <v>1010</v>
      </c>
      <c r="F25">
        <v>1</v>
      </c>
      <c r="G25" s="431"/>
      <c r="H25">
        <v>22</v>
      </c>
      <c r="J25" t="str">
        <f t="shared" si="0"/>
        <v>SDJ200122</v>
      </c>
      <c r="K25">
        <v>363</v>
      </c>
      <c r="M25" s="343" t="s">
        <v>633</v>
      </c>
      <c r="N25" t="s">
        <v>1010</v>
      </c>
      <c r="O25">
        <v>1</v>
      </c>
      <c r="P25">
        <v>22</v>
      </c>
      <c r="Q25" s="184" t="str">
        <f t="shared" si="1"/>
        <v>SDJ200122</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10000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s="132"/>
      <c r="DZ25" s="343" t="s">
        <v>633</v>
      </c>
      <c r="EA25" t="s">
        <v>1010</v>
      </c>
      <c r="EB25">
        <v>1</v>
      </c>
      <c r="EC25">
        <v>22</v>
      </c>
      <c r="ED25" s="184" t="str">
        <f t="shared" si="2"/>
        <v>SDJ200122</v>
      </c>
      <c r="EE25">
        <v>10000</v>
      </c>
      <c r="EF25">
        <v>10000</v>
      </c>
      <c r="EG25">
        <v>10000</v>
      </c>
      <c r="EH25">
        <v>10000</v>
      </c>
      <c r="EI25">
        <v>10000</v>
      </c>
      <c r="EJ25">
        <v>10000</v>
      </c>
      <c r="EK25">
        <v>10000</v>
      </c>
      <c r="EL25">
        <v>10000</v>
      </c>
      <c r="EM25">
        <v>10000</v>
      </c>
      <c r="EN25">
        <v>10000</v>
      </c>
      <c r="EO25">
        <v>10000</v>
      </c>
      <c r="EP25">
        <v>10000</v>
      </c>
      <c r="EQ25">
        <v>10000</v>
      </c>
      <c r="ER25">
        <v>10000</v>
      </c>
      <c r="ES25">
        <v>10000</v>
      </c>
      <c r="ET25">
        <v>10000</v>
      </c>
      <c r="EU25">
        <v>10000</v>
      </c>
      <c r="EV25">
        <v>10000</v>
      </c>
      <c r="EW25">
        <v>10000</v>
      </c>
      <c r="EX25">
        <v>10000</v>
      </c>
      <c r="EY25">
        <v>10000</v>
      </c>
      <c r="EZ25">
        <v>10000</v>
      </c>
      <c r="FA25">
        <v>10000</v>
      </c>
      <c r="FB25">
        <v>10000</v>
      </c>
      <c r="FC25">
        <v>10000</v>
      </c>
      <c r="FD25">
        <v>10000</v>
      </c>
      <c r="FE25">
        <v>10000</v>
      </c>
      <c r="FF25">
        <v>10000</v>
      </c>
      <c r="FG25">
        <v>10000</v>
      </c>
      <c r="FH25">
        <v>10000</v>
      </c>
      <c r="FI25">
        <v>10000</v>
      </c>
      <c r="FJ25">
        <v>10000</v>
      </c>
      <c r="FK25">
        <v>10000</v>
      </c>
      <c r="FL25">
        <v>10000</v>
      </c>
      <c r="FM25">
        <v>10000</v>
      </c>
      <c r="FN25">
        <v>10000</v>
      </c>
      <c r="FO25">
        <v>10000</v>
      </c>
      <c r="FP25">
        <v>10000</v>
      </c>
      <c r="FQ25">
        <v>10000</v>
      </c>
      <c r="FR25">
        <v>10000</v>
      </c>
      <c r="FS25">
        <v>10000</v>
      </c>
      <c r="FT25">
        <v>10000</v>
      </c>
      <c r="FU25">
        <v>10000</v>
      </c>
      <c r="FV25">
        <v>10000</v>
      </c>
      <c r="FW25">
        <v>10000</v>
      </c>
      <c r="FX25">
        <v>10000</v>
      </c>
      <c r="FY25">
        <v>10000</v>
      </c>
      <c r="FZ25">
        <v>10000</v>
      </c>
      <c r="GA25">
        <v>10000</v>
      </c>
      <c r="GB25">
        <v>10000</v>
      </c>
      <c r="GC25">
        <v>10000</v>
      </c>
      <c r="GD25">
        <v>10000</v>
      </c>
      <c r="GE25">
        <v>10000</v>
      </c>
      <c r="GF25">
        <v>10000</v>
      </c>
      <c r="GG25">
        <v>10000</v>
      </c>
      <c r="GH25">
        <v>10000</v>
      </c>
      <c r="GI25">
        <v>10000</v>
      </c>
      <c r="GJ25">
        <v>10000</v>
      </c>
      <c r="GK25">
        <v>10000</v>
      </c>
      <c r="GL25">
        <v>10000</v>
      </c>
      <c r="GM25">
        <v>10000</v>
      </c>
      <c r="GN25">
        <v>10000</v>
      </c>
      <c r="GO25">
        <v>10000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row>
    <row r="26" spans="1:245" hidden="1">
      <c r="A26" s="343" t="s">
        <v>633</v>
      </c>
      <c r="B26" t="s">
        <v>1010</v>
      </c>
      <c r="F26">
        <v>1</v>
      </c>
      <c r="G26" s="431"/>
      <c r="H26">
        <v>23</v>
      </c>
      <c r="J26" t="str">
        <f t="shared" si="0"/>
        <v>SDJ200123</v>
      </c>
      <c r="K26">
        <v>370</v>
      </c>
      <c r="M26" s="343" t="s">
        <v>633</v>
      </c>
      <c r="N26" t="s">
        <v>1010</v>
      </c>
      <c r="O26">
        <v>1</v>
      </c>
      <c r="P26">
        <v>23</v>
      </c>
      <c r="Q26" s="184" t="str">
        <f t="shared" si="1"/>
        <v>SDJ200123</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10000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s="132"/>
      <c r="DZ26" s="343" t="s">
        <v>633</v>
      </c>
      <c r="EA26" t="s">
        <v>1010</v>
      </c>
      <c r="EB26">
        <v>1</v>
      </c>
      <c r="EC26">
        <v>23</v>
      </c>
      <c r="ED26" s="184" t="str">
        <f t="shared" si="2"/>
        <v>SDJ200123</v>
      </c>
      <c r="EE26">
        <v>10000</v>
      </c>
      <c r="EF26">
        <v>10000</v>
      </c>
      <c r="EG26">
        <v>10000</v>
      </c>
      <c r="EH26">
        <v>10000</v>
      </c>
      <c r="EI26">
        <v>10000</v>
      </c>
      <c r="EJ26">
        <v>10000</v>
      </c>
      <c r="EK26">
        <v>10000</v>
      </c>
      <c r="EL26">
        <v>10000</v>
      </c>
      <c r="EM26">
        <v>10000</v>
      </c>
      <c r="EN26">
        <v>10000</v>
      </c>
      <c r="EO26">
        <v>10000</v>
      </c>
      <c r="EP26">
        <v>10000</v>
      </c>
      <c r="EQ26">
        <v>10000</v>
      </c>
      <c r="ER26">
        <v>10000</v>
      </c>
      <c r="ES26">
        <v>10000</v>
      </c>
      <c r="ET26">
        <v>10000</v>
      </c>
      <c r="EU26">
        <v>10000</v>
      </c>
      <c r="EV26">
        <v>10000</v>
      </c>
      <c r="EW26">
        <v>10000</v>
      </c>
      <c r="EX26">
        <v>10000</v>
      </c>
      <c r="EY26">
        <v>10000</v>
      </c>
      <c r="EZ26">
        <v>10000</v>
      </c>
      <c r="FA26">
        <v>10000</v>
      </c>
      <c r="FB26">
        <v>10000</v>
      </c>
      <c r="FC26">
        <v>10000</v>
      </c>
      <c r="FD26">
        <v>10000</v>
      </c>
      <c r="FE26">
        <v>10000</v>
      </c>
      <c r="FF26">
        <v>10000</v>
      </c>
      <c r="FG26">
        <v>10000</v>
      </c>
      <c r="FH26">
        <v>10000</v>
      </c>
      <c r="FI26">
        <v>10000</v>
      </c>
      <c r="FJ26">
        <v>10000</v>
      </c>
      <c r="FK26">
        <v>10000</v>
      </c>
      <c r="FL26">
        <v>10000</v>
      </c>
      <c r="FM26">
        <v>10000</v>
      </c>
      <c r="FN26">
        <v>10000</v>
      </c>
      <c r="FO26">
        <v>10000</v>
      </c>
      <c r="FP26">
        <v>10000</v>
      </c>
      <c r="FQ26">
        <v>10000</v>
      </c>
      <c r="FR26">
        <v>10000</v>
      </c>
      <c r="FS26">
        <v>10000</v>
      </c>
      <c r="FT26">
        <v>10000</v>
      </c>
      <c r="FU26">
        <v>10000</v>
      </c>
      <c r="FV26">
        <v>10000</v>
      </c>
      <c r="FW26">
        <v>10000</v>
      </c>
      <c r="FX26">
        <v>10000</v>
      </c>
      <c r="FY26">
        <v>10000</v>
      </c>
      <c r="FZ26">
        <v>10000</v>
      </c>
      <c r="GA26">
        <v>10000</v>
      </c>
      <c r="GB26">
        <v>10000</v>
      </c>
      <c r="GC26">
        <v>10000</v>
      </c>
      <c r="GD26">
        <v>10000</v>
      </c>
      <c r="GE26">
        <v>10000</v>
      </c>
      <c r="GF26">
        <v>10000</v>
      </c>
      <c r="GG26">
        <v>10000</v>
      </c>
      <c r="GH26">
        <v>10000</v>
      </c>
      <c r="GI26">
        <v>10000</v>
      </c>
      <c r="GJ26">
        <v>10000</v>
      </c>
      <c r="GK26">
        <v>10000</v>
      </c>
      <c r="GL26">
        <v>10000</v>
      </c>
      <c r="GM26">
        <v>10000</v>
      </c>
      <c r="GN26">
        <v>10000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row>
    <row r="27" spans="1:245" hidden="1">
      <c r="A27" s="343" t="s">
        <v>633</v>
      </c>
      <c r="B27" t="s">
        <v>1010</v>
      </c>
      <c r="F27">
        <v>1</v>
      </c>
      <c r="G27" s="431"/>
      <c r="H27">
        <v>24</v>
      </c>
      <c r="J27" t="str">
        <f t="shared" si="0"/>
        <v>SDJ200124</v>
      </c>
      <c r="K27">
        <v>377</v>
      </c>
      <c r="M27" s="343" t="s">
        <v>633</v>
      </c>
      <c r="N27" t="s">
        <v>1010</v>
      </c>
      <c r="O27">
        <v>1</v>
      </c>
      <c r="P27">
        <v>24</v>
      </c>
      <c r="Q27" s="184" t="str">
        <f t="shared" si="1"/>
        <v>SDJ200124</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10000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s="132"/>
      <c r="DZ27" s="343" t="s">
        <v>633</v>
      </c>
      <c r="EA27" t="s">
        <v>1010</v>
      </c>
      <c r="EB27">
        <v>1</v>
      </c>
      <c r="EC27">
        <v>24</v>
      </c>
      <c r="ED27" s="184" t="str">
        <f t="shared" si="2"/>
        <v>SDJ200124</v>
      </c>
      <c r="EE27">
        <v>10000</v>
      </c>
      <c r="EF27">
        <v>10000</v>
      </c>
      <c r="EG27">
        <v>10000</v>
      </c>
      <c r="EH27">
        <v>10000</v>
      </c>
      <c r="EI27">
        <v>10000</v>
      </c>
      <c r="EJ27">
        <v>10000</v>
      </c>
      <c r="EK27">
        <v>10000</v>
      </c>
      <c r="EL27">
        <v>10000</v>
      </c>
      <c r="EM27">
        <v>10000</v>
      </c>
      <c r="EN27">
        <v>10000</v>
      </c>
      <c r="EO27">
        <v>10000</v>
      </c>
      <c r="EP27">
        <v>10000</v>
      </c>
      <c r="EQ27">
        <v>10000</v>
      </c>
      <c r="ER27">
        <v>10000</v>
      </c>
      <c r="ES27">
        <v>10000</v>
      </c>
      <c r="ET27">
        <v>10000</v>
      </c>
      <c r="EU27">
        <v>10000</v>
      </c>
      <c r="EV27">
        <v>10000</v>
      </c>
      <c r="EW27">
        <v>10000</v>
      </c>
      <c r="EX27">
        <v>10000</v>
      </c>
      <c r="EY27">
        <v>10000</v>
      </c>
      <c r="EZ27">
        <v>10000</v>
      </c>
      <c r="FA27">
        <v>10000</v>
      </c>
      <c r="FB27">
        <v>10000</v>
      </c>
      <c r="FC27">
        <v>10000</v>
      </c>
      <c r="FD27">
        <v>10000</v>
      </c>
      <c r="FE27">
        <v>10000</v>
      </c>
      <c r="FF27">
        <v>10000</v>
      </c>
      <c r="FG27">
        <v>10000</v>
      </c>
      <c r="FH27">
        <v>10000</v>
      </c>
      <c r="FI27">
        <v>10000</v>
      </c>
      <c r="FJ27">
        <v>10000</v>
      </c>
      <c r="FK27">
        <v>10000</v>
      </c>
      <c r="FL27">
        <v>10000</v>
      </c>
      <c r="FM27">
        <v>10000</v>
      </c>
      <c r="FN27">
        <v>10000</v>
      </c>
      <c r="FO27">
        <v>10000</v>
      </c>
      <c r="FP27">
        <v>10000</v>
      </c>
      <c r="FQ27">
        <v>10000</v>
      </c>
      <c r="FR27">
        <v>10000</v>
      </c>
      <c r="FS27">
        <v>10000</v>
      </c>
      <c r="FT27">
        <v>10000</v>
      </c>
      <c r="FU27">
        <v>10000</v>
      </c>
      <c r="FV27">
        <v>10000</v>
      </c>
      <c r="FW27">
        <v>10000</v>
      </c>
      <c r="FX27">
        <v>10000</v>
      </c>
      <c r="FY27">
        <v>10000</v>
      </c>
      <c r="FZ27">
        <v>10000</v>
      </c>
      <c r="GA27">
        <v>10000</v>
      </c>
      <c r="GB27">
        <v>10000</v>
      </c>
      <c r="GC27">
        <v>10000</v>
      </c>
      <c r="GD27">
        <v>10000</v>
      </c>
      <c r="GE27">
        <v>10000</v>
      </c>
      <c r="GF27">
        <v>10000</v>
      </c>
      <c r="GG27">
        <v>10000</v>
      </c>
      <c r="GH27">
        <v>10000</v>
      </c>
      <c r="GI27">
        <v>10000</v>
      </c>
      <c r="GJ27">
        <v>10000</v>
      </c>
      <c r="GK27">
        <v>10000</v>
      </c>
      <c r="GL27">
        <v>10000</v>
      </c>
      <c r="GM27">
        <v>10000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row>
    <row r="28" spans="1:245" hidden="1">
      <c r="A28" s="343" t="s">
        <v>633</v>
      </c>
      <c r="B28" t="s">
        <v>1010</v>
      </c>
      <c r="F28">
        <v>1</v>
      </c>
      <c r="G28" s="431"/>
      <c r="H28">
        <v>25</v>
      </c>
      <c r="J28" t="str">
        <f t="shared" si="0"/>
        <v>SDJ200125</v>
      </c>
      <c r="K28">
        <v>384</v>
      </c>
      <c r="M28" s="343" t="s">
        <v>633</v>
      </c>
      <c r="N28" t="s">
        <v>1010</v>
      </c>
      <c r="O28">
        <v>1</v>
      </c>
      <c r="P28">
        <v>25</v>
      </c>
      <c r="Q28" s="184" t="str">
        <f t="shared" si="1"/>
        <v>SDJ200125</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10000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s="132"/>
      <c r="DZ28" s="343" t="s">
        <v>633</v>
      </c>
      <c r="EA28" t="s">
        <v>1010</v>
      </c>
      <c r="EB28">
        <v>1</v>
      </c>
      <c r="EC28">
        <v>25</v>
      </c>
      <c r="ED28" s="184" t="str">
        <f t="shared" si="2"/>
        <v>SDJ200125</v>
      </c>
      <c r="EE28">
        <v>10000</v>
      </c>
      <c r="EF28">
        <v>10000</v>
      </c>
      <c r="EG28">
        <v>10000</v>
      </c>
      <c r="EH28">
        <v>10000</v>
      </c>
      <c r="EI28">
        <v>10000</v>
      </c>
      <c r="EJ28">
        <v>10000</v>
      </c>
      <c r="EK28">
        <v>10000</v>
      </c>
      <c r="EL28">
        <v>10000</v>
      </c>
      <c r="EM28">
        <v>10000</v>
      </c>
      <c r="EN28">
        <v>10000</v>
      </c>
      <c r="EO28">
        <v>10000</v>
      </c>
      <c r="EP28">
        <v>10000</v>
      </c>
      <c r="EQ28">
        <v>10000</v>
      </c>
      <c r="ER28">
        <v>10000</v>
      </c>
      <c r="ES28">
        <v>10000</v>
      </c>
      <c r="ET28">
        <v>10000</v>
      </c>
      <c r="EU28">
        <v>10000</v>
      </c>
      <c r="EV28">
        <v>10000</v>
      </c>
      <c r="EW28">
        <v>10000</v>
      </c>
      <c r="EX28">
        <v>10000</v>
      </c>
      <c r="EY28">
        <v>10000</v>
      </c>
      <c r="EZ28">
        <v>10000</v>
      </c>
      <c r="FA28">
        <v>10000</v>
      </c>
      <c r="FB28">
        <v>10000</v>
      </c>
      <c r="FC28">
        <v>10000</v>
      </c>
      <c r="FD28">
        <v>10000</v>
      </c>
      <c r="FE28">
        <v>10000</v>
      </c>
      <c r="FF28">
        <v>10000</v>
      </c>
      <c r="FG28">
        <v>10000</v>
      </c>
      <c r="FH28">
        <v>10000</v>
      </c>
      <c r="FI28">
        <v>10000</v>
      </c>
      <c r="FJ28">
        <v>10000</v>
      </c>
      <c r="FK28">
        <v>10000</v>
      </c>
      <c r="FL28">
        <v>10000</v>
      </c>
      <c r="FM28">
        <v>10000</v>
      </c>
      <c r="FN28">
        <v>10000</v>
      </c>
      <c r="FO28">
        <v>10000</v>
      </c>
      <c r="FP28">
        <v>10000</v>
      </c>
      <c r="FQ28">
        <v>10000</v>
      </c>
      <c r="FR28">
        <v>10000</v>
      </c>
      <c r="FS28">
        <v>10000</v>
      </c>
      <c r="FT28">
        <v>10000</v>
      </c>
      <c r="FU28">
        <v>10000</v>
      </c>
      <c r="FV28">
        <v>10000</v>
      </c>
      <c r="FW28">
        <v>10000</v>
      </c>
      <c r="FX28">
        <v>10000</v>
      </c>
      <c r="FY28">
        <v>10000</v>
      </c>
      <c r="FZ28">
        <v>10000</v>
      </c>
      <c r="GA28">
        <v>10000</v>
      </c>
      <c r="GB28">
        <v>10000</v>
      </c>
      <c r="GC28">
        <v>10000</v>
      </c>
      <c r="GD28">
        <v>10000</v>
      </c>
      <c r="GE28">
        <v>10000</v>
      </c>
      <c r="GF28">
        <v>10000</v>
      </c>
      <c r="GG28">
        <v>10000</v>
      </c>
      <c r="GH28">
        <v>10000</v>
      </c>
      <c r="GI28">
        <v>10000</v>
      </c>
      <c r="GJ28">
        <v>10000</v>
      </c>
      <c r="GK28">
        <v>10000</v>
      </c>
      <c r="GL28">
        <v>10000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row>
    <row r="29" spans="1:245" hidden="1">
      <c r="A29" s="343" t="s">
        <v>633</v>
      </c>
      <c r="B29" t="s">
        <v>1010</v>
      </c>
      <c r="F29">
        <v>1</v>
      </c>
      <c r="G29" s="431"/>
      <c r="H29">
        <v>26</v>
      </c>
      <c r="J29" t="str">
        <f t="shared" si="0"/>
        <v>SDJ200126</v>
      </c>
      <c r="K29">
        <v>391</v>
      </c>
      <c r="M29" s="343" t="s">
        <v>633</v>
      </c>
      <c r="N29" t="s">
        <v>1010</v>
      </c>
      <c r="O29">
        <v>1</v>
      </c>
      <c r="P29">
        <v>26</v>
      </c>
      <c r="Q29" s="184" t="str">
        <f t="shared" si="1"/>
        <v>SDJ200126</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10000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s="132"/>
      <c r="DZ29" s="343" t="s">
        <v>633</v>
      </c>
      <c r="EA29" t="s">
        <v>1010</v>
      </c>
      <c r="EB29">
        <v>1</v>
      </c>
      <c r="EC29">
        <v>26</v>
      </c>
      <c r="ED29" s="184" t="str">
        <f t="shared" si="2"/>
        <v>SDJ200126</v>
      </c>
      <c r="EE29">
        <v>10000</v>
      </c>
      <c r="EF29">
        <v>10000</v>
      </c>
      <c r="EG29">
        <v>10000</v>
      </c>
      <c r="EH29">
        <v>10000</v>
      </c>
      <c r="EI29">
        <v>10000</v>
      </c>
      <c r="EJ29">
        <v>10000</v>
      </c>
      <c r="EK29">
        <v>10000</v>
      </c>
      <c r="EL29">
        <v>10000</v>
      </c>
      <c r="EM29">
        <v>10000</v>
      </c>
      <c r="EN29">
        <v>10000</v>
      </c>
      <c r="EO29">
        <v>10000</v>
      </c>
      <c r="EP29">
        <v>10000</v>
      </c>
      <c r="EQ29">
        <v>10000</v>
      </c>
      <c r="ER29">
        <v>10000</v>
      </c>
      <c r="ES29">
        <v>10000</v>
      </c>
      <c r="ET29">
        <v>10000</v>
      </c>
      <c r="EU29">
        <v>10000</v>
      </c>
      <c r="EV29">
        <v>10000</v>
      </c>
      <c r="EW29">
        <v>10000</v>
      </c>
      <c r="EX29">
        <v>10000</v>
      </c>
      <c r="EY29">
        <v>10000</v>
      </c>
      <c r="EZ29">
        <v>10000</v>
      </c>
      <c r="FA29">
        <v>10000</v>
      </c>
      <c r="FB29">
        <v>10000</v>
      </c>
      <c r="FC29">
        <v>10000</v>
      </c>
      <c r="FD29">
        <v>10000</v>
      </c>
      <c r="FE29">
        <v>10000</v>
      </c>
      <c r="FF29">
        <v>10000</v>
      </c>
      <c r="FG29">
        <v>10000</v>
      </c>
      <c r="FH29">
        <v>10000</v>
      </c>
      <c r="FI29">
        <v>10000</v>
      </c>
      <c r="FJ29">
        <v>10000</v>
      </c>
      <c r="FK29">
        <v>10000</v>
      </c>
      <c r="FL29">
        <v>10000</v>
      </c>
      <c r="FM29">
        <v>10000</v>
      </c>
      <c r="FN29">
        <v>10000</v>
      </c>
      <c r="FO29">
        <v>10000</v>
      </c>
      <c r="FP29">
        <v>10000</v>
      </c>
      <c r="FQ29">
        <v>10000</v>
      </c>
      <c r="FR29">
        <v>10000</v>
      </c>
      <c r="FS29">
        <v>10000</v>
      </c>
      <c r="FT29">
        <v>10000</v>
      </c>
      <c r="FU29">
        <v>10000</v>
      </c>
      <c r="FV29">
        <v>10000</v>
      </c>
      <c r="FW29">
        <v>10000</v>
      </c>
      <c r="FX29">
        <v>10000</v>
      </c>
      <c r="FY29">
        <v>10000</v>
      </c>
      <c r="FZ29">
        <v>10000</v>
      </c>
      <c r="GA29">
        <v>10000</v>
      </c>
      <c r="GB29">
        <v>10000</v>
      </c>
      <c r="GC29">
        <v>10000</v>
      </c>
      <c r="GD29">
        <v>10000</v>
      </c>
      <c r="GE29">
        <v>10000</v>
      </c>
      <c r="GF29">
        <v>10000</v>
      </c>
      <c r="GG29">
        <v>10000</v>
      </c>
      <c r="GH29">
        <v>10000</v>
      </c>
      <c r="GI29">
        <v>10000</v>
      </c>
      <c r="GJ29">
        <v>10000</v>
      </c>
      <c r="GK29">
        <v>10000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row>
    <row r="30" spans="1:245" hidden="1">
      <c r="A30" s="343" t="s">
        <v>633</v>
      </c>
      <c r="B30" t="s">
        <v>1010</v>
      </c>
      <c r="F30">
        <v>1</v>
      </c>
      <c r="G30" s="431"/>
      <c r="H30">
        <v>27</v>
      </c>
      <c r="J30" t="str">
        <f t="shared" si="0"/>
        <v>SDJ200127</v>
      </c>
      <c r="K30">
        <v>398</v>
      </c>
      <c r="M30" s="343" t="s">
        <v>633</v>
      </c>
      <c r="N30" t="s">
        <v>1010</v>
      </c>
      <c r="O30">
        <v>1</v>
      </c>
      <c r="P30">
        <v>27</v>
      </c>
      <c r="Q30" s="184" t="str">
        <f t="shared" si="1"/>
        <v>SDJ200127</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10000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s="132"/>
      <c r="DZ30" s="343" t="s">
        <v>633</v>
      </c>
      <c r="EA30" t="s">
        <v>1010</v>
      </c>
      <c r="EB30">
        <v>1</v>
      </c>
      <c r="EC30">
        <v>27</v>
      </c>
      <c r="ED30" s="184" t="str">
        <f t="shared" si="2"/>
        <v>SDJ200127</v>
      </c>
      <c r="EE30">
        <v>10000</v>
      </c>
      <c r="EF30">
        <v>10000</v>
      </c>
      <c r="EG30">
        <v>10000</v>
      </c>
      <c r="EH30">
        <v>10000</v>
      </c>
      <c r="EI30">
        <v>10000</v>
      </c>
      <c r="EJ30">
        <v>10000</v>
      </c>
      <c r="EK30">
        <v>10000</v>
      </c>
      <c r="EL30">
        <v>10000</v>
      </c>
      <c r="EM30">
        <v>10000</v>
      </c>
      <c r="EN30">
        <v>10000</v>
      </c>
      <c r="EO30">
        <v>10000</v>
      </c>
      <c r="EP30">
        <v>10000</v>
      </c>
      <c r="EQ30">
        <v>10000</v>
      </c>
      <c r="ER30">
        <v>10000</v>
      </c>
      <c r="ES30">
        <v>10000</v>
      </c>
      <c r="ET30">
        <v>10000</v>
      </c>
      <c r="EU30">
        <v>10000</v>
      </c>
      <c r="EV30">
        <v>10000</v>
      </c>
      <c r="EW30">
        <v>10000</v>
      </c>
      <c r="EX30">
        <v>10000</v>
      </c>
      <c r="EY30">
        <v>10000</v>
      </c>
      <c r="EZ30">
        <v>10000</v>
      </c>
      <c r="FA30">
        <v>10000</v>
      </c>
      <c r="FB30">
        <v>10000</v>
      </c>
      <c r="FC30">
        <v>10000</v>
      </c>
      <c r="FD30">
        <v>10000</v>
      </c>
      <c r="FE30">
        <v>10000</v>
      </c>
      <c r="FF30">
        <v>10000</v>
      </c>
      <c r="FG30">
        <v>10000</v>
      </c>
      <c r="FH30">
        <v>10000</v>
      </c>
      <c r="FI30">
        <v>10000</v>
      </c>
      <c r="FJ30">
        <v>10000</v>
      </c>
      <c r="FK30">
        <v>10000</v>
      </c>
      <c r="FL30">
        <v>10000</v>
      </c>
      <c r="FM30">
        <v>10000</v>
      </c>
      <c r="FN30">
        <v>10000</v>
      </c>
      <c r="FO30">
        <v>10000</v>
      </c>
      <c r="FP30">
        <v>10000</v>
      </c>
      <c r="FQ30">
        <v>10000</v>
      </c>
      <c r="FR30">
        <v>10000</v>
      </c>
      <c r="FS30">
        <v>10000</v>
      </c>
      <c r="FT30">
        <v>10000</v>
      </c>
      <c r="FU30">
        <v>10000</v>
      </c>
      <c r="FV30">
        <v>10000</v>
      </c>
      <c r="FW30">
        <v>10000</v>
      </c>
      <c r="FX30">
        <v>10000</v>
      </c>
      <c r="FY30">
        <v>10000</v>
      </c>
      <c r="FZ30">
        <v>10000</v>
      </c>
      <c r="GA30">
        <v>10000</v>
      </c>
      <c r="GB30">
        <v>10000</v>
      </c>
      <c r="GC30">
        <v>10000</v>
      </c>
      <c r="GD30">
        <v>10000</v>
      </c>
      <c r="GE30">
        <v>10000</v>
      </c>
      <c r="GF30">
        <v>10000</v>
      </c>
      <c r="GG30">
        <v>10000</v>
      </c>
      <c r="GH30">
        <v>10000</v>
      </c>
      <c r="GI30">
        <v>10000</v>
      </c>
      <c r="GJ30">
        <v>10000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row>
    <row r="31" spans="1:245" hidden="1">
      <c r="A31" s="343" t="s">
        <v>633</v>
      </c>
      <c r="B31" t="s">
        <v>1010</v>
      </c>
      <c r="F31">
        <v>1</v>
      </c>
      <c r="G31" s="431"/>
      <c r="H31">
        <v>28</v>
      </c>
      <c r="J31" t="str">
        <f t="shared" si="0"/>
        <v>SDJ200128</v>
      </c>
      <c r="K31">
        <v>405</v>
      </c>
      <c r="M31" s="343" t="s">
        <v>633</v>
      </c>
      <c r="N31" t="s">
        <v>1010</v>
      </c>
      <c r="O31">
        <v>1</v>
      </c>
      <c r="P31">
        <v>28</v>
      </c>
      <c r="Q31" s="184" t="str">
        <f t="shared" si="1"/>
        <v>SDJ200128</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10000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s="132"/>
      <c r="DZ31" s="343" t="s">
        <v>633</v>
      </c>
      <c r="EA31" t="s">
        <v>1010</v>
      </c>
      <c r="EB31">
        <v>1</v>
      </c>
      <c r="EC31">
        <v>28</v>
      </c>
      <c r="ED31" s="184" t="str">
        <f t="shared" si="2"/>
        <v>SDJ200128</v>
      </c>
      <c r="EE31">
        <v>10000</v>
      </c>
      <c r="EF31">
        <v>10000</v>
      </c>
      <c r="EG31">
        <v>10000</v>
      </c>
      <c r="EH31">
        <v>10000</v>
      </c>
      <c r="EI31">
        <v>10000</v>
      </c>
      <c r="EJ31">
        <v>10000</v>
      </c>
      <c r="EK31">
        <v>10000</v>
      </c>
      <c r="EL31">
        <v>10000</v>
      </c>
      <c r="EM31">
        <v>10000</v>
      </c>
      <c r="EN31">
        <v>10000</v>
      </c>
      <c r="EO31">
        <v>10000</v>
      </c>
      <c r="EP31">
        <v>10000</v>
      </c>
      <c r="EQ31">
        <v>10000</v>
      </c>
      <c r="ER31">
        <v>10000</v>
      </c>
      <c r="ES31">
        <v>10000</v>
      </c>
      <c r="ET31">
        <v>10000</v>
      </c>
      <c r="EU31">
        <v>10000</v>
      </c>
      <c r="EV31">
        <v>10000</v>
      </c>
      <c r="EW31">
        <v>10000</v>
      </c>
      <c r="EX31">
        <v>10000</v>
      </c>
      <c r="EY31">
        <v>10000</v>
      </c>
      <c r="EZ31">
        <v>10000</v>
      </c>
      <c r="FA31">
        <v>10000</v>
      </c>
      <c r="FB31">
        <v>10000</v>
      </c>
      <c r="FC31">
        <v>10000</v>
      </c>
      <c r="FD31">
        <v>10000</v>
      </c>
      <c r="FE31">
        <v>10000</v>
      </c>
      <c r="FF31">
        <v>10000</v>
      </c>
      <c r="FG31">
        <v>10000</v>
      </c>
      <c r="FH31">
        <v>10000</v>
      </c>
      <c r="FI31">
        <v>10000</v>
      </c>
      <c r="FJ31">
        <v>10000</v>
      </c>
      <c r="FK31">
        <v>10000</v>
      </c>
      <c r="FL31">
        <v>10000</v>
      </c>
      <c r="FM31">
        <v>10000</v>
      </c>
      <c r="FN31">
        <v>10000</v>
      </c>
      <c r="FO31">
        <v>10000</v>
      </c>
      <c r="FP31">
        <v>10000</v>
      </c>
      <c r="FQ31">
        <v>10000</v>
      </c>
      <c r="FR31">
        <v>10000</v>
      </c>
      <c r="FS31">
        <v>10000</v>
      </c>
      <c r="FT31">
        <v>10000</v>
      </c>
      <c r="FU31">
        <v>10000</v>
      </c>
      <c r="FV31">
        <v>10000</v>
      </c>
      <c r="FW31">
        <v>10000</v>
      </c>
      <c r="FX31">
        <v>10000</v>
      </c>
      <c r="FY31">
        <v>10000</v>
      </c>
      <c r="FZ31">
        <v>10000</v>
      </c>
      <c r="GA31">
        <v>10000</v>
      </c>
      <c r="GB31">
        <v>10000</v>
      </c>
      <c r="GC31">
        <v>10000</v>
      </c>
      <c r="GD31">
        <v>10000</v>
      </c>
      <c r="GE31">
        <v>10000</v>
      </c>
      <c r="GF31">
        <v>10000</v>
      </c>
      <c r="GG31">
        <v>10000</v>
      </c>
      <c r="GH31">
        <v>10000</v>
      </c>
      <c r="GI31">
        <v>10000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row>
    <row r="32" spans="1:245" hidden="1">
      <c r="A32" s="343" t="s">
        <v>633</v>
      </c>
      <c r="B32" t="s">
        <v>1010</v>
      </c>
      <c r="F32">
        <v>1</v>
      </c>
      <c r="G32" s="431"/>
      <c r="H32">
        <v>29</v>
      </c>
      <c r="J32" t="str">
        <f t="shared" si="0"/>
        <v>SDJ200129</v>
      </c>
      <c r="K32">
        <v>412</v>
      </c>
      <c r="M32" s="343" t="s">
        <v>633</v>
      </c>
      <c r="N32" t="s">
        <v>1010</v>
      </c>
      <c r="O32">
        <v>1</v>
      </c>
      <c r="P32">
        <v>29</v>
      </c>
      <c r="Q32" s="184" t="str">
        <f t="shared" si="1"/>
        <v>SDJ200129</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10000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s="132"/>
      <c r="DZ32" s="343" t="s">
        <v>633</v>
      </c>
      <c r="EA32" t="s">
        <v>1010</v>
      </c>
      <c r="EB32">
        <v>1</v>
      </c>
      <c r="EC32">
        <v>29</v>
      </c>
      <c r="ED32" s="184" t="str">
        <f t="shared" si="2"/>
        <v>SDJ200129</v>
      </c>
      <c r="EE32">
        <v>10000</v>
      </c>
      <c r="EF32">
        <v>10000</v>
      </c>
      <c r="EG32">
        <v>10000</v>
      </c>
      <c r="EH32">
        <v>10000</v>
      </c>
      <c r="EI32">
        <v>10000</v>
      </c>
      <c r="EJ32">
        <v>10000</v>
      </c>
      <c r="EK32">
        <v>10000</v>
      </c>
      <c r="EL32">
        <v>10000</v>
      </c>
      <c r="EM32">
        <v>10000</v>
      </c>
      <c r="EN32">
        <v>10000</v>
      </c>
      <c r="EO32">
        <v>10000</v>
      </c>
      <c r="EP32">
        <v>10000</v>
      </c>
      <c r="EQ32">
        <v>10000</v>
      </c>
      <c r="ER32">
        <v>10000</v>
      </c>
      <c r="ES32">
        <v>10000</v>
      </c>
      <c r="ET32">
        <v>10000</v>
      </c>
      <c r="EU32">
        <v>10000</v>
      </c>
      <c r="EV32">
        <v>10000</v>
      </c>
      <c r="EW32">
        <v>10000</v>
      </c>
      <c r="EX32">
        <v>10000</v>
      </c>
      <c r="EY32">
        <v>10000</v>
      </c>
      <c r="EZ32">
        <v>10000</v>
      </c>
      <c r="FA32">
        <v>10000</v>
      </c>
      <c r="FB32">
        <v>10000</v>
      </c>
      <c r="FC32">
        <v>10000</v>
      </c>
      <c r="FD32">
        <v>10000</v>
      </c>
      <c r="FE32">
        <v>10000</v>
      </c>
      <c r="FF32">
        <v>10000</v>
      </c>
      <c r="FG32">
        <v>10000</v>
      </c>
      <c r="FH32">
        <v>10000</v>
      </c>
      <c r="FI32">
        <v>10000</v>
      </c>
      <c r="FJ32">
        <v>10000</v>
      </c>
      <c r="FK32">
        <v>10000</v>
      </c>
      <c r="FL32">
        <v>10000</v>
      </c>
      <c r="FM32">
        <v>10000</v>
      </c>
      <c r="FN32">
        <v>10000</v>
      </c>
      <c r="FO32">
        <v>10000</v>
      </c>
      <c r="FP32">
        <v>10000</v>
      </c>
      <c r="FQ32">
        <v>10000</v>
      </c>
      <c r="FR32">
        <v>10000</v>
      </c>
      <c r="FS32">
        <v>10000</v>
      </c>
      <c r="FT32">
        <v>10000</v>
      </c>
      <c r="FU32">
        <v>10000</v>
      </c>
      <c r="FV32">
        <v>10000</v>
      </c>
      <c r="FW32">
        <v>10000</v>
      </c>
      <c r="FX32">
        <v>10000</v>
      </c>
      <c r="FY32">
        <v>10000</v>
      </c>
      <c r="FZ32">
        <v>10000</v>
      </c>
      <c r="GA32">
        <v>10000</v>
      </c>
      <c r="GB32">
        <v>10000</v>
      </c>
      <c r="GC32">
        <v>10000</v>
      </c>
      <c r="GD32">
        <v>10000</v>
      </c>
      <c r="GE32">
        <v>10000</v>
      </c>
      <c r="GF32">
        <v>10000</v>
      </c>
      <c r="GG32">
        <v>10000</v>
      </c>
      <c r="GH32">
        <v>10000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row>
    <row r="33" spans="1:245" hidden="1">
      <c r="A33" s="343" t="s">
        <v>633</v>
      </c>
      <c r="B33" t="s">
        <v>1010</v>
      </c>
      <c r="F33">
        <v>1</v>
      </c>
      <c r="G33" s="431"/>
      <c r="H33">
        <v>30</v>
      </c>
      <c r="J33" t="str">
        <f t="shared" si="0"/>
        <v>SDJ200130</v>
      </c>
      <c r="K33">
        <v>419</v>
      </c>
      <c r="M33" s="343" t="s">
        <v>633</v>
      </c>
      <c r="N33" t="s">
        <v>1010</v>
      </c>
      <c r="O33">
        <v>1</v>
      </c>
      <c r="P33">
        <v>30</v>
      </c>
      <c r="Q33" s="184" t="str">
        <f t="shared" si="1"/>
        <v>SDJ200130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10000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s="132"/>
      <c r="DZ33" s="343" t="s">
        <v>633</v>
      </c>
      <c r="EA33" t="s">
        <v>1010</v>
      </c>
      <c r="EB33">
        <v>1</v>
      </c>
      <c r="EC33">
        <v>30</v>
      </c>
      <c r="ED33" s="184" t="str">
        <f t="shared" si="2"/>
        <v>SDJ200130</v>
      </c>
      <c r="EE33">
        <v>10000</v>
      </c>
      <c r="EF33">
        <v>10000</v>
      </c>
      <c r="EG33">
        <v>10000</v>
      </c>
      <c r="EH33">
        <v>10000</v>
      </c>
      <c r="EI33">
        <v>10000</v>
      </c>
      <c r="EJ33">
        <v>10000</v>
      </c>
      <c r="EK33">
        <v>10000</v>
      </c>
      <c r="EL33">
        <v>10000</v>
      </c>
      <c r="EM33">
        <v>10000</v>
      </c>
      <c r="EN33">
        <v>10000</v>
      </c>
      <c r="EO33">
        <v>10000</v>
      </c>
      <c r="EP33">
        <v>10000</v>
      </c>
      <c r="EQ33">
        <v>10000</v>
      </c>
      <c r="ER33">
        <v>10000</v>
      </c>
      <c r="ES33">
        <v>10000</v>
      </c>
      <c r="ET33">
        <v>10000</v>
      </c>
      <c r="EU33">
        <v>10000</v>
      </c>
      <c r="EV33">
        <v>10000</v>
      </c>
      <c r="EW33">
        <v>10000</v>
      </c>
      <c r="EX33">
        <v>10000</v>
      </c>
      <c r="EY33">
        <v>10000</v>
      </c>
      <c r="EZ33">
        <v>10000</v>
      </c>
      <c r="FA33">
        <v>10000</v>
      </c>
      <c r="FB33">
        <v>10000</v>
      </c>
      <c r="FC33">
        <v>10000</v>
      </c>
      <c r="FD33">
        <v>10000</v>
      </c>
      <c r="FE33">
        <v>10000</v>
      </c>
      <c r="FF33">
        <v>10000</v>
      </c>
      <c r="FG33">
        <v>10000</v>
      </c>
      <c r="FH33">
        <v>10000</v>
      </c>
      <c r="FI33">
        <v>10000</v>
      </c>
      <c r="FJ33">
        <v>10000</v>
      </c>
      <c r="FK33">
        <v>10000</v>
      </c>
      <c r="FL33">
        <v>10000</v>
      </c>
      <c r="FM33">
        <v>10000</v>
      </c>
      <c r="FN33">
        <v>10000</v>
      </c>
      <c r="FO33">
        <v>10000</v>
      </c>
      <c r="FP33">
        <v>10000</v>
      </c>
      <c r="FQ33">
        <v>10000</v>
      </c>
      <c r="FR33">
        <v>10000</v>
      </c>
      <c r="FS33">
        <v>10000</v>
      </c>
      <c r="FT33">
        <v>10000</v>
      </c>
      <c r="FU33">
        <v>10000</v>
      </c>
      <c r="FV33">
        <v>10000</v>
      </c>
      <c r="FW33">
        <v>10000</v>
      </c>
      <c r="FX33">
        <v>10000</v>
      </c>
      <c r="FY33">
        <v>10000</v>
      </c>
      <c r="FZ33">
        <v>10000</v>
      </c>
      <c r="GA33">
        <v>10000</v>
      </c>
      <c r="GB33">
        <v>10000</v>
      </c>
      <c r="GC33">
        <v>10000</v>
      </c>
      <c r="GD33">
        <v>10000</v>
      </c>
      <c r="GE33">
        <v>10000</v>
      </c>
      <c r="GF33">
        <v>10000</v>
      </c>
      <c r="GG33">
        <v>10000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row>
    <row r="34" spans="1:245" hidden="1">
      <c r="A34" s="343" t="s">
        <v>633</v>
      </c>
      <c r="B34" t="s">
        <v>1010</v>
      </c>
      <c r="F34">
        <v>1</v>
      </c>
      <c r="G34" s="431"/>
      <c r="H34">
        <v>31</v>
      </c>
      <c r="J34" t="str">
        <f t="shared" si="0"/>
        <v>SDJ200131</v>
      </c>
      <c r="K34">
        <v>426</v>
      </c>
      <c r="M34" s="343" t="s">
        <v>633</v>
      </c>
      <c r="N34" t="s">
        <v>1010</v>
      </c>
      <c r="O34">
        <v>1</v>
      </c>
      <c r="P34">
        <v>31</v>
      </c>
      <c r="Q34" s="184" t="str">
        <f t="shared" si="1"/>
        <v>SDJ200131</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10000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s="132"/>
      <c r="DZ34" s="343" t="s">
        <v>633</v>
      </c>
      <c r="EA34" t="s">
        <v>1010</v>
      </c>
      <c r="EB34">
        <v>1</v>
      </c>
      <c r="EC34">
        <v>31</v>
      </c>
      <c r="ED34" s="184" t="str">
        <f t="shared" si="2"/>
        <v>SDJ200131</v>
      </c>
      <c r="EE34">
        <v>10000</v>
      </c>
      <c r="EF34">
        <v>10000</v>
      </c>
      <c r="EG34">
        <v>10000</v>
      </c>
      <c r="EH34">
        <v>10000</v>
      </c>
      <c r="EI34">
        <v>10000</v>
      </c>
      <c r="EJ34">
        <v>10000</v>
      </c>
      <c r="EK34">
        <v>10000</v>
      </c>
      <c r="EL34">
        <v>10000</v>
      </c>
      <c r="EM34">
        <v>10000</v>
      </c>
      <c r="EN34">
        <v>10000</v>
      </c>
      <c r="EO34">
        <v>10000</v>
      </c>
      <c r="EP34">
        <v>10000</v>
      </c>
      <c r="EQ34">
        <v>10000</v>
      </c>
      <c r="ER34">
        <v>10000</v>
      </c>
      <c r="ES34">
        <v>10000</v>
      </c>
      <c r="ET34">
        <v>10000</v>
      </c>
      <c r="EU34">
        <v>10000</v>
      </c>
      <c r="EV34">
        <v>10000</v>
      </c>
      <c r="EW34">
        <v>10000</v>
      </c>
      <c r="EX34">
        <v>10000</v>
      </c>
      <c r="EY34">
        <v>10000</v>
      </c>
      <c r="EZ34">
        <v>10000</v>
      </c>
      <c r="FA34">
        <v>10000</v>
      </c>
      <c r="FB34">
        <v>10000</v>
      </c>
      <c r="FC34">
        <v>10000</v>
      </c>
      <c r="FD34">
        <v>10000</v>
      </c>
      <c r="FE34">
        <v>10000</v>
      </c>
      <c r="FF34">
        <v>10000</v>
      </c>
      <c r="FG34">
        <v>10000</v>
      </c>
      <c r="FH34">
        <v>10000</v>
      </c>
      <c r="FI34">
        <v>10000</v>
      </c>
      <c r="FJ34">
        <v>10000</v>
      </c>
      <c r="FK34">
        <v>10000</v>
      </c>
      <c r="FL34">
        <v>10000</v>
      </c>
      <c r="FM34">
        <v>10000</v>
      </c>
      <c r="FN34">
        <v>10000</v>
      </c>
      <c r="FO34">
        <v>10000</v>
      </c>
      <c r="FP34">
        <v>10000</v>
      </c>
      <c r="FQ34">
        <v>10000</v>
      </c>
      <c r="FR34">
        <v>10000</v>
      </c>
      <c r="FS34">
        <v>10000</v>
      </c>
      <c r="FT34">
        <v>10000</v>
      </c>
      <c r="FU34">
        <v>10000</v>
      </c>
      <c r="FV34">
        <v>10000</v>
      </c>
      <c r="FW34">
        <v>10000</v>
      </c>
      <c r="FX34">
        <v>10000</v>
      </c>
      <c r="FY34">
        <v>10000</v>
      </c>
      <c r="FZ34">
        <v>10000</v>
      </c>
      <c r="GA34">
        <v>10000</v>
      </c>
      <c r="GB34">
        <v>10000</v>
      </c>
      <c r="GC34">
        <v>10000</v>
      </c>
      <c r="GD34">
        <v>10000</v>
      </c>
      <c r="GE34">
        <v>10000</v>
      </c>
      <c r="GF34">
        <v>10000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row>
    <row r="35" spans="1:245" hidden="1">
      <c r="A35" s="343" t="s">
        <v>633</v>
      </c>
      <c r="B35" t="s">
        <v>1010</v>
      </c>
      <c r="F35">
        <v>1</v>
      </c>
      <c r="G35" s="431"/>
      <c r="H35">
        <v>32</v>
      </c>
      <c r="J35" t="str">
        <f t="shared" si="0"/>
        <v>SDJ200132</v>
      </c>
      <c r="K35">
        <v>429</v>
      </c>
      <c r="M35" s="343" t="s">
        <v>633</v>
      </c>
      <c r="N35" t="s">
        <v>1010</v>
      </c>
      <c r="O35">
        <v>1</v>
      </c>
      <c r="P35">
        <v>32</v>
      </c>
      <c r="Q35" s="184" t="str">
        <f t="shared" si="1"/>
        <v>SDJ200132</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10000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s="132"/>
      <c r="DZ35" s="343" t="s">
        <v>633</v>
      </c>
      <c r="EA35" t="s">
        <v>1010</v>
      </c>
      <c r="EB35">
        <v>1</v>
      </c>
      <c r="EC35">
        <v>32</v>
      </c>
      <c r="ED35" s="184" t="str">
        <f t="shared" si="2"/>
        <v>SDJ200132</v>
      </c>
      <c r="EE35">
        <v>10000</v>
      </c>
      <c r="EF35">
        <v>10000</v>
      </c>
      <c r="EG35">
        <v>10000</v>
      </c>
      <c r="EH35">
        <v>10000</v>
      </c>
      <c r="EI35">
        <v>10000</v>
      </c>
      <c r="EJ35">
        <v>10000</v>
      </c>
      <c r="EK35">
        <v>10000</v>
      </c>
      <c r="EL35">
        <v>10000</v>
      </c>
      <c r="EM35">
        <v>10000</v>
      </c>
      <c r="EN35">
        <v>10000</v>
      </c>
      <c r="EO35">
        <v>10000</v>
      </c>
      <c r="EP35">
        <v>10000</v>
      </c>
      <c r="EQ35">
        <v>10000</v>
      </c>
      <c r="ER35">
        <v>10000</v>
      </c>
      <c r="ES35">
        <v>10000</v>
      </c>
      <c r="ET35">
        <v>10000</v>
      </c>
      <c r="EU35">
        <v>10000</v>
      </c>
      <c r="EV35">
        <v>10000</v>
      </c>
      <c r="EW35">
        <v>10000</v>
      </c>
      <c r="EX35">
        <v>10000</v>
      </c>
      <c r="EY35">
        <v>10000</v>
      </c>
      <c r="EZ35">
        <v>10000</v>
      </c>
      <c r="FA35">
        <v>10000</v>
      </c>
      <c r="FB35">
        <v>10000</v>
      </c>
      <c r="FC35">
        <v>10000</v>
      </c>
      <c r="FD35">
        <v>10000</v>
      </c>
      <c r="FE35">
        <v>10000</v>
      </c>
      <c r="FF35">
        <v>10000</v>
      </c>
      <c r="FG35">
        <v>10000</v>
      </c>
      <c r="FH35">
        <v>10000</v>
      </c>
      <c r="FI35">
        <v>10000</v>
      </c>
      <c r="FJ35">
        <v>10000</v>
      </c>
      <c r="FK35">
        <v>10000</v>
      </c>
      <c r="FL35">
        <v>10000</v>
      </c>
      <c r="FM35">
        <v>10000</v>
      </c>
      <c r="FN35">
        <v>10000</v>
      </c>
      <c r="FO35">
        <v>10000</v>
      </c>
      <c r="FP35">
        <v>10000</v>
      </c>
      <c r="FQ35">
        <v>10000</v>
      </c>
      <c r="FR35">
        <v>10000</v>
      </c>
      <c r="FS35">
        <v>10000</v>
      </c>
      <c r="FT35">
        <v>10000</v>
      </c>
      <c r="FU35">
        <v>10000</v>
      </c>
      <c r="FV35">
        <v>10000</v>
      </c>
      <c r="FW35">
        <v>10000</v>
      </c>
      <c r="FX35">
        <v>10000</v>
      </c>
      <c r="FY35">
        <v>10000</v>
      </c>
      <c r="FZ35">
        <v>10000</v>
      </c>
      <c r="GA35">
        <v>10000</v>
      </c>
      <c r="GB35">
        <v>10000</v>
      </c>
      <c r="GC35">
        <v>10000</v>
      </c>
      <c r="GD35">
        <v>10000</v>
      </c>
      <c r="GE35">
        <v>10000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row>
    <row r="36" spans="1:245" hidden="1">
      <c r="A36" s="343" t="s">
        <v>633</v>
      </c>
      <c r="B36" t="s">
        <v>1010</v>
      </c>
      <c r="F36">
        <v>1</v>
      </c>
      <c r="G36" s="431"/>
      <c r="H36">
        <v>33</v>
      </c>
      <c r="J36" t="str">
        <f t="shared" si="0"/>
        <v>SDJ200133</v>
      </c>
      <c r="K36">
        <v>431</v>
      </c>
      <c r="M36" s="343" t="s">
        <v>633</v>
      </c>
      <c r="N36" t="s">
        <v>1010</v>
      </c>
      <c r="O36">
        <v>1</v>
      </c>
      <c r="P36">
        <v>33</v>
      </c>
      <c r="Q36" s="184" t="str">
        <f t="shared" si="1"/>
        <v>SDJ200133</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10000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s="132"/>
      <c r="DZ36" s="343" t="s">
        <v>633</v>
      </c>
      <c r="EA36" t="s">
        <v>1010</v>
      </c>
      <c r="EB36">
        <v>1</v>
      </c>
      <c r="EC36">
        <v>33</v>
      </c>
      <c r="ED36" s="184" t="str">
        <f t="shared" si="2"/>
        <v>SDJ200133</v>
      </c>
      <c r="EE36">
        <v>10000</v>
      </c>
      <c r="EF36">
        <v>10000</v>
      </c>
      <c r="EG36">
        <v>10000</v>
      </c>
      <c r="EH36">
        <v>10000</v>
      </c>
      <c r="EI36">
        <v>10000</v>
      </c>
      <c r="EJ36">
        <v>10000</v>
      </c>
      <c r="EK36">
        <v>10000</v>
      </c>
      <c r="EL36">
        <v>10000</v>
      </c>
      <c r="EM36">
        <v>10000</v>
      </c>
      <c r="EN36">
        <v>10000</v>
      </c>
      <c r="EO36">
        <v>10000</v>
      </c>
      <c r="EP36">
        <v>10000</v>
      </c>
      <c r="EQ36">
        <v>10000</v>
      </c>
      <c r="ER36">
        <v>10000</v>
      </c>
      <c r="ES36">
        <v>10000</v>
      </c>
      <c r="ET36">
        <v>10000</v>
      </c>
      <c r="EU36">
        <v>10000</v>
      </c>
      <c r="EV36">
        <v>10000</v>
      </c>
      <c r="EW36">
        <v>10000</v>
      </c>
      <c r="EX36">
        <v>10000</v>
      </c>
      <c r="EY36">
        <v>10000</v>
      </c>
      <c r="EZ36">
        <v>10000</v>
      </c>
      <c r="FA36">
        <v>10000</v>
      </c>
      <c r="FB36">
        <v>10000</v>
      </c>
      <c r="FC36">
        <v>10000</v>
      </c>
      <c r="FD36">
        <v>10000</v>
      </c>
      <c r="FE36">
        <v>10000</v>
      </c>
      <c r="FF36">
        <v>10000</v>
      </c>
      <c r="FG36">
        <v>10000</v>
      </c>
      <c r="FH36">
        <v>10000</v>
      </c>
      <c r="FI36">
        <v>10000</v>
      </c>
      <c r="FJ36">
        <v>10000</v>
      </c>
      <c r="FK36">
        <v>10000</v>
      </c>
      <c r="FL36">
        <v>10000</v>
      </c>
      <c r="FM36">
        <v>10000</v>
      </c>
      <c r="FN36">
        <v>10000</v>
      </c>
      <c r="FO36">
        <v>10000</v>
      </c>
      <c r="FP36">
        <v>10000</v>
      </c>
      <c r="FQ36">
        <v>10000</v>
      </c>
      <c r="FR36">
        <v>10000</v>
      </c>
      <c r="FS36">
        <v>10000</v>
      </c>
      <c r="FT36">
        <v>10000</v>
      </c>
      <c r="FU36">
        <v>10000</v>
      </c>
      <c r="FV36">
        <v>10000</v>
      </c>
      <c r="FW36">
        <v>10000</v>
      </c>
      <c r="FX36">
        <v>10000</v>
      </c>
      <c r="FY36">
        <v>10000</v>
      </c>
      <c r="FZ36">
        <v>10000</v>
      </c>
      <c r="GA36">
        <v>10000</v>
      </c>
      <c r="GB36">
        <v>10000</v>
      </c>
      <c r="GC36">
        <v>10000</v>
      </c>
      <c r="GD36">
        <v>10000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row>
    <row r="37" spans="1:245" hidden="1">
      <c r="A37" s="343" t="s">
        <v>633</v>
      </c>
      <c r="B37" t="s">
        <v>1010</v>
      </c>
      <c r="F37">
        <v>1</v>
      </c>
      <c r="G37" s="431"/>
      <c r="H37">
        <v>34</v>
      </c>
      <c r="J37" t="str">
        <f t="shared" si="0"/>
        <v>SDJ200134</v>
      </c>
      <c r="K37">
        <v>437</v>
      </c>
      <c r="M37" s="343" t="s">
        <v>633</v>
      </c>
      <c r="N37" t="s">
        <v>1010</v>
      </c>
      <c r="O37">
        <v>1</v>
      </c>
      <c r="P37">
        <v>34</v>
      </c>
      <c r="Q37" s="184" t="str">
        <f t="shared" si="1"/>
        <v>SDJ200134</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10000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s="132"/>
      <c r="DZ37" s="343" t="s">
        <v>633</v>
      </c>
      <c r="EA37" t="s">
        <v>1010</v>
      </c>
      <c r="EB37">
        <v>1</v>
      </c>
      <c r="EC37">
        <v>34</v>
      </c>
      <c r="ED37" s="184" t="str">
        <f t="shared" si="2"/>
        <v>SDJ200134</v>
      </c>
      <c r="EE37">
        <v>10000</v>
      </c>
      <c r="EF37">
        <v>10000</v>
      </c>
      <c r="EG37">
        <v>10000</v>
      </c>
      <c r="EH37">
        <v>10000</v>
      </c>
      <c r="EI37">
        <v>10000</v>
      </c>
      <c r="EJ37">
        <v>10000</v>
      </c>
      <c r="EK37">
        <v>10000</v>
      </c>
      <c r="EL37">
        <v>10000</v>
      </c>
      <c r="EM37">
        <v>10000</v>
      </c>
      <c r="EN37">
        <v>10000</v>
      </c>
      <c r="EO37">
        <v>10000</v>
      </c>
      <c r="EP37">
        <v>10000</v>
      </c>
      <c r="EQ37">
        <v>10000</v>
      </c>
      <c r="ER37">
        <v>10000</v>
      </c>
      <c r="ES37">
        <v>10000</v>
      </c>
      <c r="ET37">
        <v>10000</v>
      </c>
      <c r="EU37">
        <v>10000</v>
      </c>
      <c r="EV37">
        <v>10000</v>
      </c>
      <c r="EW37">
        <v>10000</v>
      </c>
      <c r="EX37">
        <v>10000</v>
      </c>
      <c r="EY37">
        <v>10000</v>
      </c>
      <c r="EZ37">
        <v>10000</v>
      </c>
      <c r="FA37">
        <v>10000</v>
      </c>
      <c r="FB37">
        <v>10000</v>
      </c>
      <c r="FC37">
        <v>10000</v>
      </c>
      <c r="FD37">
        <v>10000</v>
      </c>
      <c r="FE37">
        <v>10000</v>
      </c>
      <c r="FF37">
        <v>10000</v>
      </c>
      <c r="FG37">
        <v>10000</v>
      </c>
      <c r="FH37">
        <v>10000</v>
      </c>
      <c r="FI37">
        <v>10000</v>
      </c>
      <c r="FJ37">
        <v>10000</v>
      </c>
      <c r="FK37">
        <v>10000</v>
      </c>
      <c r="FL37">
        <v>10000</v>
      </c>
      <c r="FM37">
        <v>10000</v>
      </c>
      <c r="FN37">
        <v>10000</v>
      </c>
      <c r="FO37">
        <v>10000</v>
      </c>
      <c r="FP37">
        <v>10000</v>
      </c>
      <c r="FQ37">
        <v>10000</v>
      </c>
      <c r="FR37">
        <v>10000</v>
      </c>
      <c r="FS37">
        <v>10000</v>
      </c>
      <c r="FT37">
        <v>10000</v>
      </c>
      <c r="FU37">
        <v>10000</v>
      </c>
      <c r="FV37">
        <v>10000</v>
      </c>
      <c r="FW37">
        <v>10000</v>
      </c>
      <c r="FX37">
        <v>10000</v>
      </c>
      <c r="FY37">
        <v>10000</v>
      </c>
      <c r="FZ37">
        <v>10000</v>
      </c>
      <c r="GA37">
        <v>10000</v>
      </c>
      <c r="GB37">
        <v>10000</v>
      </c>
      <c r="GC37">
        <v>10000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row>
    <row r="38" spans="1:245" hidden="1">
      <c r="A38" s="343" t="s">
        <v>633</v>
      </c>
      <c r="B38" t="s">
        <v>1010</v>
      </c>
      <c r="F38">
        <v>1</v>
      </c>
      <c r="G38" s="431"/>
      <c r="H38">
        <v>35</v>
      </c>
      <c r="J38" t="str">
        <f t="shared" si="0"/>
        <v>SDJ200135</v>
      </c>
      <c r="K38">
        <v>445</v>
      </c>
      <c r="M38" s="343" t="s">
        <v>633</v>
      </c>
      <c r="N38" t="s">
        <v>1010</v>
      </c>
      <c r="O38">
        <v>1</v>
      </c>
      <c r="P38">
        <v>35</v>
      </c>
      <c r="Q38" s="184" t="str">
        <f t="shared" si="1"/>
        <v>SDJ200135</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10000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s="132"/>
      <c r="DZ38" s="343" t="s">
        <v>633</v>
      </c>
      <c r="EA38" t="s">
        <v>1010</v>
      </c>
      <c r="EB38">
        <v>1</v>
      </c>
      <c r="EC38">
        <v>35</v>
      </c>
      <c r="ED38" s="184" t="str">
        <f t="shared" si="2"/>
        <v>SDJ200135</v>
      </c>
      <c r="EE38">
        <v>10000</v>
      </c>
      <c r="EF38">
        <v>10000</v>
      </c>
      <c r="EG38">
        <v>10000</v>
      </c>
      <c r="EH38">
        <v>10000</v>
      </c>
      <c r="EI38">
        <v>10000</v>
      </c>
      <c r="EJ38">
        <v>10000</v>
      </c>
      <c r="EK38">
        <v>10000</v>
      </c>
      <c r="EL38">
        <v>10000</v>
      </c>
      <c r="EM38">
        <v>10000</v>
      </c>
      <c r="EN38">
        <v>10000</v>
      </c>
      <c r="EO38">
        <v>10000</v>
      </c>
      <c r="EP38">
        <v>10000</v>
      </c>
      <c r="EQ38">
        <v>10000</v>
      </c>
      <c r="ER38">
        <v>10000</v>
      </c>
      <c r="ES38">
        <v>10000</v>
      </c>
      <c r="ET38">
        <v>10000</v>
      </c>
      <c r="EU38">
        <v>10000</v>
      </c>
      <c r="EV38">
        <v>10000</v>
      </c>
      <c r="EW38">
        <v>10000</v>
      </c>
      <c r="EX38">
        <v>10000</v>
      </c>
      <c r="EY38">
        <v>10000</v>
      </c>
      <c r="EZ38">
        <v>10000</v>
      </c>
      <c r="FA38">
        <v>10000</v>
      </c>
      <c r="FB38">
        <v>10000</v>
      </c>
      <c r="FC38">
        <v>10000</v>
      </c>
      <c r="FD38">
        <v>10000</v>
      </c>
      <c r="FE38">
        <v>10000</v>
      </c>
      <c r="FF38">
        <v>10000</v>
      </c>
      <c r="FG38">
        <v>10000</v>
      </c>
      <c r="FH38">
        <v>10000</v>
      </c>
      <c r="FI38">
        <v>10000</v>
      </c>
      <c r="FJ38">
        <v>10000</v>
      </c>
      <c r="FK38">
        <v>10000</v>
      </c>
      <c r="FL38">
        <v>10000</v>
      </c>
      <c r="FM38">
        <v>10000</v>
      </c>
      <c r="FN38">
        <v>10000</v>
      </c>
      <c r="FO38">
        <v>10000</v>
      </c>
      <c r="FP38">
        <v>10000</v>
      </c>
      <c r="FQ38">
        <v>10000</v>
      </c>
      <c r="FR38">
        <v>10000</v>
      </c>
      <c r="FS38">
        <v>10000</v>
      </c>
      <c r="FT38">
        <v>10000</v>
      </c>
      <c r="FU38">
        <v>10000</v>
      </c>
      <c r="FV38">
        <v>10000</v>
      </c>
      <c r="FW38">
        <v>10000</v>
      </c>
      <c r="FX38">
        <v>10000</v>
      </c>
      <c r="FY38">
        <v>10000</v>
      </c>
      <c r="FZ38">
        <v>10000</v>
      </c>
      <c r="GA38">
        <v>10000</v>
      </c>
      <c r="GB38">
        <v>10000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row>
    <row r="39" spans="1:245" hidden="1">
      <c r="A39" s="343" t="s">
        <v>633</v>
      </c>
      <c r="B39" t="s">
        <v>1010</v>
      </c>
      <c r="F39">
        <v>1</v>
      </c>
      <c r="G39" s="431"/>
      <c r="H39">
        <v>36</v>
      </c>
      <c r="J39" t="str">
        <f t="shared" si="0"/>
        <v>SDJ200136</v>
      </c>
      <c r="K39">
        <v>450</v>
      </c>
      <c r="M39" s="343" t="s">
        <v>633</v>
      </c>
      <c r="N39" t="s">
        <v>1010</v>
      </c>
      <c r="O39">
        <v>1</v>
      </c>
      <c r="P39">
        <v>36</v>
      </c>
      <c r="Q39" s="184" t="str">
        <f t="shared" si="1"/>
        <v>SDJ200136</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10000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s="132"/>
      <c r="DZ39" s="343" t="s">
        <v>633</v>
      </c>
      <c r="EA39" t="s">
        <v>1010</v>
      </c>
      <c r="EB39">
        <v>1</v>
      </c>
      <c r="EC39">
        <v>36</v>
      </c>
      <c r="ED39" s="184" t="str">
        <f t="shared" si="2"/>
        <v>SDJ200136</v>
      </c>
      <c r="EE39">
        <v>10000</v>
      </c>
      <c r="EF39">
        <v>10000</v>
      </c>
      <c r="EG39">
        <v>10000</v>
      </c>
      <c r="EH39">
        <v>10000</v>
      </c>
      <c r="EI39">
        <v>10000</v>
      </c>
      <c r="EJ39">
        <v>10000</v>
      </c>
      <c r="EK39">
        <v>10000</v>
      </c>
      <c r="EL39">
        <v>10000</v>
      </c>
      <c r="EM39">
        <v>10000</v>
      </c>
      <c r="EN39">
        <v>10000</v>
      </c>
      <c r="EO39">
        <v>10000</v>
      </c>
      <c r="EP39">
        <v>10000</v>
      </c>
      <c r="EQ39">
        <v>10000</v>
      </c>
      <c r="ER39">
        <v>10000</v>
      </c>
      <c r="ES39">
        <v>10000</v>
      </c>
      <c r="ET39">
        <v>10000</v>
      </c>
      <c r="EU39">
        <v>10000</v>
      </c>
      <c r="EV39">
        <v>10000</v>
      </c>
      <c r="EW39">
        <v>10000</v>
      </c>
      <c r="EX39">
        <v>10000</v>
      </c>
      <c r="EY39">
        <v>10000</v>
      </c>
      <c r="EZ39">
        <v>10000</v>
      </c>
      <c r="FA39">
        <v>10000</v>
      </c>
      <c r="FB39">
        <v>10000</v>
      </c>
      <c r="FC39">
        <v>10000</v>
      </c>
      <c r="FD39">
        <v>10000</v>
      </c>
      <c r="FE39">
        <v>10000</v>
      </c>
      <c r="FF39">
        <v>10000</v>
      </c>
      <c r="FG39">
        <v>10000</v>
      </c>
      <c r="FH39">
        <v>10000</v>
      </c>
      <c r="FI39">
        <v>10000</v>
      </c>
      <c r="FJ39">
        <v>10000</v>
      </c>
      <c r="FK39">
        <v>10000</v>
      </c>
      <c r="FL39">
        <v>10000</v>
      </c>
      <c r="FM39">
        <v>10000</v>
      </c>
      <c r="FN39">
        <v>10000</v>
      </c>
      <c r="FO39">
        <v>10000</v>
      </c>
      <c r="FP39">
        <v>10000</v>
      </c>
      <c r="FQ39">
        <v>10000</v>
      </c>
      <c r="FR39">
        <v>10000</v>
      </c>
      <c r="FS39">
        <v>10000</v>
      </c>
      <c r="FT39">
        <v>10000</v>
      </c>
      <c r="FU39">
        <v>10000</v>
      </c>
      <c r="FV39">
        <v>10000</v>
      </c>
      <c r="FW39">
        <v>10000</v>
      </c>
      <c r="FX39">
        <v>10000</v>
      </c>
      <c r="FY39">
        <v>10000</v>
      </c>
      <c r="FZ39">
        <v>10000</v>
      </c>
      <c r="GA39">
        <v>10000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row>
    <row r="40" spans="1:245" hidden="1">
      <c r="A40" s="343" t="s">
        <v>633</v>
      </c>
      <c r="B40" t="s">
        <v>1010</v>
      </c>
      <c r="F40">
        <v>1</v>
      </c>
      <c r="G40" s="431"/>
      <c r="H40">
        <v>37</v>
      </c>
      <c r="J40" t="str">
        <f t="shared" si="0"/>
        <v>SDJ200137</v>
      </c>
      <c r="K40">
        <v>453</v>
      </c>
      <c r="M40" s="343" t="s">
        <v>633</v>
      </c>
      <c r="N40" t="s">
        <v>1010</v>
      </c>
      <c r="O40">
        <v>1</v>
      </c>
      <c r="P40">
        <v>37</v>
      </c>
      <c r="Q40" s="184" t="str">
        <f t="shared" si="1"/>
        <v>SDJ200137</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10000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s="132"/>
      <c r="DZ40" s="343" t="s">
        <v>633</v>
      </c>
      <c r="EA40" t="s">
        <v>1010</v>
      </c>
      <c r="EB40">
        <v>1</v>
      </c>
      <c r="EC40">
        <v>37</v>
      </c>
      <c r="ED40" s="184" t="str">
        <f t="shared" si="2"/>
        <v>SDJ200137</v>
      </c>
      <c r="EE40">
        <v>10000</v>
      </c>
      <c r="EF40">
        <v>10000</v>
      </c>
      <c r="EG40">
        <v>10000</v>
      </c>
      <c r="EH40">
        <v>10000</v>
      </c>
      <c r="EI40">
        <v>10000</v>
      </c>
      <c r="EJ40">
        <v>10000</v>
      </c>
      <c r="EK40">
        <v>10000</v>
      </c>
      <c r="EL40">
        <v>10000</v>
      </c>
      <c r="EM40">
        <v>10000</v>
      </c>
      <c r="EN40">
        <v>10000</v>
      </c>
      <c r="EO40">
        <v>10000</v>
      </c>
      <c r="EP40">
        <v>10000</v>
      </c>
      <c r="EQ40">
        <v>10000</v>
      </c>
      <c r="ER40">
        <v>10000</v>
      </c>
      <c r="ES40">
        <v>10000</v>
      </c>
      <c r="ET40">
        <v>10000</v>
      </c>
      <c r="EU40">
        <v>10000</v>
      </c>
      <c r="EV40">
        <v>10000</v>
      </c>
      <c r="EW40">
        <v>10000</v>
      </c>
      <c r="EX40">
        <v>10000</v>
      </c>
      <c r="EY40">
        <v>10000</v>
      </c>
      <c r="EZ40">
        <v>10000</v>
      </c>
      <c r="FA40">
        <v>10000</v>
      </c>
      <c r="FB40">
        <v>10000</v>
      </c>
      <c r="FC40">
        <v>10000</v>
      </c>
      <c r="FD40">
        <v>10000</v>
      </c>
      <c r="FE40">
        <v>10000</v>
      </c>
      <c r="FF40">
        <v>10000</v>
      </c>
      <c r="FG40">
        <v>10000</v>
      </c>
      <c r="FH40">
        <v>10000</v>
      </c>
      <c r="FI40">
        <v>10000</v>
      </c>
      <c r="FJ40">
        <v>10000</v>
      </c>
      <c r="FK40">
        <v>10000</v>
      </c>
      <c r="FL40">
        <v>10000</v>
      </c>
      <c r="FM40">
        <v>10000</v>
      </c>
      <c r="FN40">
        <v>10000</v>
      </c>
      <c r="FO40">
        <v>10000</v>
      </c>
      <c r="FP40">
        <v>10000</v>
      </c>
      <c r="FQ40">
        <v>10000</v>
      </c>
      <c r="FR40">
        <v>10000</v>
      </c>
      <c r="FS40">
        <v>10000</v>
      </c>
      <c r="FT40">
        <v>10000</v>
      </c>
      <c r="FU40">
        <v>10000</v>
      </c>
      <c r="FV40">
        <v>10000</v>
      </c>
      <c r="FW40">
        <v>10000</v>
      </c>
      <c r="FX40">
        <v>10000</v>
      </c>
      <c r="FY40">
        <v>10000</v>
      </c>
      <c r="FZ40">
        <v>10000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0</v>
      </c>
      <c r="IJ40">
        <v>0</v>
      </c>
      <c r="IK40">
        <v>0</v>
      </c>
    </row>
    <row r="41" spans="1:245" hidden="1">
      <c r="A41" s="343" t="s">
        <v>633</v>
      </c>
      <c r="B41" t="s">
        <v>1010</v>
      </c>
      <c r="F41">
        <v>1</v>
      </c>
      <c r="G41" s="431"/>
      <c r="H41">
        <v>38</v>
      </c>
      <c r="J41" t="str">
        <f t="shared" si="0"/>
        <v>SDJ200138</v>
      </c>
      <c r="K41">
        <v>458</v>
      </c>
      <c r="M41" s="343" t="s">
        <v>633</v>
      </c>
      <c r="N41" t="s">
        <v>1010</v>
      </c>
      <c r="O41">
        <v>1</v>
      </c>
      <c r="P41">
        <v>38</v>
      </c>
      <c r="Q41" s="184" t="str">
        <f t="shared" si="1"/>
        <v>SDJ200138</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10000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s="132"/>
      <c r="DZ41" s="343" t="s">
        <v>633</v>
      </c>
      <c r="EA41" t="s">
        <v>1010</v>
      </c>
      <c r="EB41">
        <v>1</v>
      </c>
      <c r="EC41">
        <v>38</v>
      </c>
      <c r="ED41" s="184" t="str">
        <f t="shared" si="2"/>
        <v>SDJ200138</v>
      </c>
      <c r="EE41">
        <v>10000</v>
      </c>
      <c r="EF41">
        <v>10000</v>
      </c>
      <c r="EG41">
        <v>10000</v>
      </c>
      <c r="EH41">
        <v>10000</v>
      </c>
      <c r="EI41">
        <v>10000</v>
      </c>
      <c r="EJ41">
        <v>10000</v>
      </c>
      <c r="EK41">
        <v>10000</v>
      </c>
      <c r="EL41">
        <v>10000</v>
      </c>
      <c r="EM41">
        <v>10000</v>
      </c>
      <c r="EN41">
        <v>10000</v>
      </c>
      <c r="EO41">
        <v>10000</v>
      </c>
      <c r="EP41">
        <v>10000</v>
      </c>
      <c r="EQ41">
        <v>10000</v>
      </c>
      <c r="ER41">
        <v>10000</v>
      </c>
      <c r="ES41">
        <v>10000</v>
      </c>
      <c r="ET41">
        <v>10000</v>
      </c>
      <c r="EU41">
        <v>10000</v>
      </c>
      <c r="EV41">
        <v>10000</v>
      </c>
      <c r="EW41">
        <v>10000</v>
      </c>
      <c r="EX41">
        <v>10000</v>
      </c>
      <c r="EY41">
        <v>10000</v>
      </c>
      <c r="EZ41">
        <v>10000</v>
      </c>
      <c r="FA41">
        <v>10000</v>
      </c>
      <c r="FB41">
        <v>10000</v>
      </c>
      <c r="FC41">
        <v>10000</v>
      </c>
      <c r="FD41">
        <v>10000</v>
      </c>
      <c r="FE41">
        <v>10000</v>
      </c>
      <c r="FF41">
        <v>10000</v>
      </c>
      <c r="FG41">
        <v>10000</v>
      </c>
      <c r="FH41">
        <v>10000</v>
      </c>
      <c r="FI41">
        <v>10000</v>
      </c>
      <c r="FJ41">
        <v>10000</v>
      </c>
      <c r="FK41">
        <v>10000</v>
      </c>
      <c r="FL41">
        <v>10000</v>
      </c>
      <c r="FM41">
        <v>10000</v>
      </c>
      <c r="FN41">
        <v>10000</v>
      </c>
      <c r="FO41">
        <v>10000</v>
      </c>
      <c r="FP41">
        <v>10000</v>
      </c>
      <c r="FQ41">
        <v>10000</v>
      </c>
      <c r="FR41">
        <v>10000</v>
      </c>
      <c r="FS41">
        <v>10000</v>
      </c>
      <c r="FT41">
        <v>10000</v>
      </c>
      <c r="FU41">
        <v>10000</v>
      </c>
      <c r="FV41">
        <v>10000</v>
      </c>
      <c r="FW41">
        <v>10000</v>
      </c>
      <c r="FX41">
        <v>10000</v>
      </c>
      <c r="FY41">
        <v>10000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row>
    <row r="42" spans="1:245" hidden="1">
      <c r="A42" s="343" t="s">
        <v>633</v>
      </c>
      <c r="B42" t="s">
        <v>1010</v>
      </c>
      <c r="F42">
        <v>1</v>
      </c>
      <c r="G42" s="431"/>
      <c r="H42">
        <v>39</v>
      </c>
      <c r="J42" t="str">
        <f t="shared" si="0"/>
        <v>SDJ200139</v>
      </c>
      <c r="K42">
        <v>464</v>
      </c>
      <c r="M42" s="343" t="s">
        <v>633</v>
      </c>
      <c r="N42" t="s">
        <v>1010</v>
      </c>
      <c r="O42">
        <v>1</v>
      </c>
      <c r="P42">
        <v>39</v>
      </c>
      <c r="Q42" s="184" t="str">
        <f t="shared" si="1"/>
        <v>SDJ200139</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10000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s="132"/>
      <c r="DZ42" s="343" t="s">
        <v>633</v>
      </c>
      <c r="EA42" t="s">
        <v>1010</v>
      </c>
      <c r="EB42">
        <v>1</v>
      </c>
      <c r="EC42">
        <v>39</v>
      </c>
      <c r="ED42" s="184" t="str">
        <f t="shared" si="2"/>
        <v>SDJ200139</v>
      </c>
      <c r="EE42">
        <v>10000</v>
      </c>
      <c r="EF42">
        <v>10000</v>
      </c>
      <c r="EG42">
        <v>10000</v>
      </c>
      <c r="EH42">
        <v>10000</v>
      </c>
      <c r="EI42">
        <v>10000</v>
      </c>
      <c r="EJ42">
        <v>10000</v>
      </c>
      <c r="EK42">
        <v>10000</v>
      </c>
      <c r="EL42">
        <v>10000</v>
      </c>
      <c r="EM42">
        <v>10000</v>
      </c>
      <c r="EN42">
        <v>10000</v>
      </c>
      <c r="EO42">
        <v>10000</v>
      </c>
      <c r="EP42">
        <v>10000</v>
      </c>
      <c r="EQ42">
        <v>10000</v>
      </c>
      <c r="ER42">
        <v>10000</v>
      </c>
      <c r="ES42">
        <v>10000</v>
      </c>
      <c r="ET42">
        <v>10000</v>
      </c>
      <c r="EU42">
        <v>10000</v>
      </c>
      <c r="EV42">
        <v>10000</v>
      </c>
      <c r="EW42">
        <v>10000</v>
      </c>
      <c r="EX42">
        <v>10000</v>
      </c>
      <c r="EY42">
        <v>10000</v>
      </c>
      <c r="EZ42">
        <v>10000</v>
      </c>
      <c r="FA42">
        <v>10000</v>
      </c>
      <c r="FB42">
        <v>10000</v>
      </c>
      <c r="FC42">
        <v>10000</v>
      </c>
      <c r="FD42">
        <v>10000</v>
      </c>
      <c r="FE42">
        <v>10000</v>
      </c>
      <c r="FF42">
        <v>10000</v>
      </c>
      <c r="FG42">
        <v>10000</v>
      </c>
      <c r="FH42">
        <v>10000</v>
      </c>
      <c r="FI42">
        <v>10000</v>
      </c>
      <c r="FJ42">
        <v>10000</v>
      </c>
      <c r="FK42">
        <v>10000</v>
      </c>
      <c r="FL42">
        <v>10000</v>
      </c>
      <c r="FM42">
        <v>10000</v>
      </c>
      <c r="FN42">
        <v>10000</v>
      </c>
      <c r="FO42">
        <v>10000</v>
      </c>
      <c r="FP42">
        <v>10000</v>
      </c>
      <c r="FQ42">
        <v>10000</v>
      </c>
      <c r="FR42">
        <v>10000</v>
      </c>
      <c r="FS42">
        <v>10000</v>
      </c>
      <c r="FT42">
        <v>10000</v>
      </c>
      <c r="FU42">
        <v>10000</v>
      </c>
      <c r="FV42">
        <v>10000</v>
      </c>
      <c r="FW42">
        <v>10000</v>
      </c>
      <c r="FX42">
        <v>10000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0</v>
      </c>
      <c r="IK42">
        <v>0</v>
      </c>
    </row>
    <row r="43" spans="1:245" hidden="1">
      <c r="A43" s="343" t="s">
        <v>633</v>
      </c>
      <c r="B43" t="s">
        <v>1010</v>
      </c>
      <c r="F43">
        <v>1</v>
      </c>
      <c r="G43" s="431"/>
      <c r="H43">
        <v>40</v>
      </c>
      <c r="J43" t="str">
        <f t="shared" si="0"/>
        <v>SDJ200140</v>
      </c>
      <c r="K43">
        <v>480</v>
      </c>
      <c r="M43" s="343" t="s">
        <v>633</v>
      </c>
      <c r="N43" t="s">
        <v>1010</v>
      </c>
      <c r="O43">
        <v>1</v>
      </c>
      <c r="P43">
        <v>40</v>
      </c>
      <c r="Q43" s="184" t="str">
        <f t="shared" si="1"/>
        <v>SDJ200140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10176</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s="132"/>
      <c r="DZ43" s="343" t="s">
        <v>633</v>
      </c>
      <c r="EA43" t="s">
        <v>1010</v>
      </c>
      <c r="EB43">
        <v>1</v>
      </c>
      <c r="EC43">
        <v>40</v>
      </c>
      <c r="ED43" s="184" t="str">
        <f t="shared" si="2"/>
        <v>SDJ200140</v>
      </c>
      <c r="EE43">
        <v>10000</v>
      </c>
      <c r="EF43">
        <v>10000</v>
      </c>
      <c r="EG43">
        <v>10000</v>
      </c>
      <c r="EH43">
        <v>10000</v>
      </c>
      <c r="EI43">
        <v>10000</v>
      </c>
      <c r="EJ43">
        <v>10000</v>
      </c>
      <c r="EK43">
        <v>10000</v>
      </c>
      <c r="EL43">
        <v>10000</v>
      </c>
      <c r="EM43">
        <v>10000</v>
      </c>
      <c r="EN43">
        <v>10000</v>
      </c>
      <c r="EO43">
        <v>10000</v>
      </c>
      <c r="EP43">
        <v>10000</v>
      </c>
      <c r="EQ43">
        <v>10000</v>
      </c>
      <c r="ER43">
        <v>10000</v>
      </c>
      <c r="ES43">
        <v>10000</v>
      </c>
      <c r="ET43">
        <v>10000</v>
      </c>
      <c r="EU43">
        <v>10000</v>
      </c>
      <c r="EV43">
        <v>10000</v>
      </c>
      <c r="EW43">
        <v>10000</v>
      </c>
      <c r="EX43">
        <v>10176</v>
      </c>
      <c r="EY43">
        <v>10176</v>
      </c>
      <c r="EZ43">
        <v>10176</v>
      </c>
      <c r="FA43">
        <v>10176</v>
      </c>
      <c r="FB43">
        <v>10176</v>
      </c>
      <c r="FC43">
        <v>10176</v>
      </c>
      <c r="FD43">
        <v>10176</v>
      </c>
      <c r="FE43">
        <v>10176</v>
      </c>
      <c r="FF43">
        <v>10176</v>
      </c>
      <c r="FG43">
        <v>10176</v>
      </c>
      <c r="FH43">
        <v>10176</v>
      </c>
      <c r="FI43">
        <v>10176</v>
      </c>
      <c r="FJ43">
        <v>10176</v>
      </c>
      <c r="FK43">
        <v>10176</v>
      </c>
      <c r="FL43">
        <v>10176</v>
      </c>
      <c r="FM43">
        <v>10176</v>
      </c>
      <c r="FN43">
        <v>10176</v>
      </c>
      <c r="FO43">
        <v>10176</v>
      </c>
      <c r="FP43">
        <v>10176</v>
      </c>
      <c r="FQ43">
        <v>10176</v>
      </c>
      <c r="FR43">
        <v>10176</v>
      </c>
      <c r="FS43">
        <v>10176</v>
      </c>
      <c r="FT43">
        <v>10176</v>
      </c>
      <c r="FU43">
        <v>10176</v>
      </c>
      <c r="FV43">
        <v>10176</v>
      </c>
      <c r="FW43">
        <v>10176</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row>
    <row r="44" spans="1:245" hidden="1">
      <c r="A44" s="343" t="s">
        <v>633</v>
      </c>
      <c r="B44" t="s">
        <v>1010</v>
      </c>
      <c r="F44">
        <v>1</v>
      </c>
      <c r="G44" s="431"/>
      <c r="H44">
        <v>41</v>
      </c>
      <c r="J44" t="str">
        <f t="shared" si="0"/>
        <v>SDJ200141</v>
      </c>
      <c r="K44">
        <v>506</v>
      </c>
      <c r="M44" s="343" t="s">
        <v>633</v>
      </c>
      <c r="N44" t="s">
        <v>1010</v>
      </c>
      <c r="O44">
        <v>1</v>
      </c>
      <c r="P44">
        <v>41</v>
      </c>
      <c r="Q44" s="184" t="str">
        <f t="shared" si="1"/>
        <v>SDJ200141</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10727.2</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s="132"/>
      <c r="DZ44" s="343" t="s">
        <v>633</v>
      </c>
      <c r="EA44" t="s">
        <v>1010</v>
      </c>
      <c r="EB44">
        <v>1</v>
      </c>
      <c r="EC44">
        <v>41</v>
      </c>
      <c r="ED44" s="184" t="str">
        <f t="shared" si="2"/>
        <v>SDJ200141</v>
      </c>
      <c r="EE44">
        <v>10000</v>
      </c>
      <c r="EF44">
        <v>10000</v>
      </c>
      <c r="EG44">
        <v>10000</v>
      </c>
      <c r="EH44">
        <v>10000</v>
      </c>
      <c r="EI44">
        <v>10000</v>
      </c>
      <c r="EJ44">
        <v>10000</v>
      </c>
      <c r="EK44">
        <v>10000</v>
      </c>
      <c r="EL44">
        <v>10000</v>
      </c>
      <c r="EM44">
        <v>10000</v>
      </c>
      <c r="EN44">
        <v>10000</v>
      </c>
      <c r="EO44">
        <v>10000</v>
      </c>
      <c r="EP44">
        <v>10000</v>
      </c>
      <c r="EQ44">
        <v>10000</v>
      </c>
      <c r="ER44">
        <v>10000</v>
      </c>
      <c r="ES44">
        <v>10000</v>
      </c>
      <c r="ET44">
        <v>10000</v>
      </c>
      <c r="EU44">
        <v>10000</v>
      </c>
      <c r="EV44">
        <v>10000</v>
      </c>
      <c r="EW44">
        <v>10190.799999999999</v>
      </c>
      <c r="EX44">
        <v>10727.2</v>
      </c>
      <c r="EY44">
        <v>10727.2</v>
      </c>
      <c r="EZ44">
        <v>10727.2</v>
      </c>
      <c r="FA44">
        <v>10727.2</v>
      </c>
      <c r="FB44">
        <v>10727.2</v>
      </c>
      <c r="FC44">
        <v>10727.2</v>
      </c>
      <c r="FD44">
        <v>10727.2</v>
      </c>
      <c r="FE44">
        <v>10727.2</v>
      </c>
      <c r="FF44">
        <v>10727.2</v>
      </c>
      <c r="FG44">
        <v>10727.2</v>
      </c>
      <c r="FH44">
        <v>10727.2</v>
      </c>
      <c r="FI44">
        <v>10727.2</v>
      </c>
      <c r="FJ44">
        <v>10727.2</v>
      </c>
      <c r="FK44">
        <v>10727.2</v>
      </c>
      <c r="FL44">
        <v>10727.2</v>
      </c>
      <c r="FM44">
        <v>10727.2</v>
      </c>
      <c r="FN44">
        <v>10727.2</v>
      </c>
      <c r="FO44">
        <v>10727.2</v>
      </c>
      <c r="FP44">
        <v>10727.2</v>
      </c>
      <c r="FQ44">
        <v>10727.2</v>
      </c>
      <c r="FR44">
        <v>10727.2</v>
      </c>
      <c r="FS44">
        <v>10727.2</v>
      </c>
      <c r="FT44">
        <v>10727.2</v>
      </c>
      <c r="FU44">
        <v>10727.2</v>
      </c>
      <c r="FV44">
        <v>10727.2</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row>
    <row r="45" spans="1:245" hidden="1">
      <c r="A45" s="343" t="s">
        <v>633</v>
      </c>
      <c r="B45" t="s">
        <v>1010</v>
      </c>
      <c r="F45">
        <v>1</v>
      </c>
      <c r="G45" s="431"/>
      <c r="H45">
        <v>42</v>
      </c>
      <c r="J45" t="str">
        <f t="shared" si="0"/>
        <v>SDJ200142</v>
      </c>
      <c r="K45">
        <v>532</v>
      </c>
      <c r="M45" s="343" t="s">
        <v>633</v>
      </c>
      <c r="N45" t="s">
        <v>1010</v>
      </c>
      <c r="O45">
        <v>1</v>
      </c>
      <c r="P45">
        <v>42</v>
      </c>
      <c r="Q45" s="184" t="str">
        <f t="shared" si="1"/>
        <v>SDJ200142</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11278.4</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s="132"/>
      <c r="DZ45" s="343" t="s">
        <v>633</v>
      </c>
      <c r="EA45" t="s">
        <v>1010</v>
      </c>
      <c r="EB45">
        <v>1</v>
      </c>
      <c r="EC45">
        <v>42</v>
      </c>
      <c r="ED45" s="184" t="str">
        <f t="shared" si="2"/>
        <v>SDJ200142</v>
      </c>
      <c r="EE45">
        <v>10000</v>
      </c>
      <c r="EF45">
        <v>10000</v>
      </c>
      <c r="EG45">
        <v>10000</v>
      </c>
      <c r="EH45">
        <v>10000</v>
      </c>
      <c r="EI45">
        <v>10000</v>
      </c>
      <c r="EJ45">
        <v>10000</v>
      </c>
      <c r="EK45">
        <v>10000</v>
      </c>
      <c r="EL45">
        <v>10000</v>
      </c>
      <c r="EM45">
        <v>10000</v>
      </c>
      <c r="EN45">
        <v>10000</v>
      </c>
      <c r="EO45">
        <v>10000</v>
      </c>
      <c r="EP45">
        <v>10000</v>
      </c>
      <c r="EQ45">
        <v>10000</v>
      </c>
      <c r="ER45">
        <v>10000</v>
      </c>
      <c r="ES45">
        <v>10000</v>
      </c>
      <c r="ET45">
        <v>10000</v>
      </c>
      <c r="EU45">
        <v>10000</v>
      </c>
      <c r="EV45">
        <v>10150.6</v>
      </c>
      <c r="EW45">
        <v>10714.5</v>
      </c>
      <c r="EX45">
        <v>11278.4</v>
      </c>
      <c r="EY45">
        <v>11278.4</v>
      </c>
      <c r="EZ45">
        <v>11278.4</v>
      </c>
      <c r="FA45">
        <v>11278.4</v>
      </c>
      <c r="FB45">
        <v>11278.4</v>
      </c>
      <c r="FC45">
        <v>11278.4</v>
      </c>
      <c r="FD45">
        <v>11278.4</v>
      </c>
      <c r="FE45">
        <v>11278.4</v>
      </c>
      <c r="FF45">
        <v>11278.4</v>
      </c>
      <c r="FG45">
        <v>11278.4</v>
      </c>
      <c r="FH45">
        <v>11278.4</v>
      </c>
      <c r="FI45">
        <v>11278.4</v>
      </c>
      <c r="FJ45">
        <v>11278.4</v>
      </c>
      <c r="FK45">
        <v>11278.4</v>
      </c>
      <c r="FL45">
        <v>11278.4</v>
      </c>
      <c r="FM45">
        <v>11278.4</v>
      </c>
      <c r="FN45">
        <v>11278.4</v>
      </c>
      <c r="FO45">
        <v>11278.4</v>
      </c>
      <c r="FP45">
        <v>11278.4</v>
      </c>
      <c r="FQ45">
        <v>11278.4</v>
      </c>
      <c r="FR45">
        <v>11278.4</v>
      </c>
      <c r="FS45">
        <v>11278.4</v>
      </c>
      <c r="FT45">
        <v>11278.4</v>
      </c>
      <c r="FU45">
        <v>11278.4</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row>
    <row r="46" spans="1:245" hidden="1">
      <c r="A46" s="343" t="s">
        <v>633</v>
      </c>
      <c r="B46" t="s">
        <v>1010</v>
      </c>
      <c r="F46">
        <v>1</v>
      </c>
      <c r="G46" s="431"/>
      <c r="H46">
        <v>43</v>
      </c>
      <c r="J46" t="str">
        <f t="shared" si="0"/>
        <v>SDJ200143</v>
      </c>
      <c r="K46">
        <v>568</v>
      </c>
      <c r="M46" s="343" t="s">
        <v>633</v>
      </c>
      <c r="N46" t="s">
        <v>1010</v>
      </c>
      <c r="O46">
        <v>1</v>
      </c>
      <c r="P46">
        <v>43</v>
      </c>
      <c r="Q46" s="184" t="str">
        <f t="shared" si="1"/>
        <v>SDJ200143</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12041.6</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s="132"/>
      <c r="DZ46" s="343" t="s">
        <v>633</v>
      </c>
      <c r="EA46" t="s">
        <v>1010</v>
      </c>
      <c r="EB46">
        <v>1</v>
      </c>
      <c r="EC46">
        <v>43</v>
      </c>
      <c r="ED46" s="184" t="str">
        <f t="shared" si="2"/>
        <v>SDJ200143</v>
      </c>
      <c r="EE46">
        <v>10000</v>
      </c>
      <c r="EF46">
        <v>10000</v>
      </c>
      <c r="EG46">
        <v>10000</v>
      </c>
      <c r="EH46">
        <v>10000</v>
      </c>
      <c r="EI46">
        <v>10000</v>
      </c>
      <c r="EJ46">
        <v>10000</v>
      </c>
      <c r="EK46">
        <v>10000</v>
      </c>
      <c r="EL46">
        <v>10000</v>
      </c>
      <c r="EM46">
        <v>10000</v>
      </c>
      <c r="EN46">
        <v>10000</v>
      </c>
      <c r="EO46">
        <v>10000</v>
      </c>
      <c r="EP46">
        <v>10000</v>
      </c>
      <c r="EQ46">
        <v>10000</v>
      </c>
      <c r="ER46">
        <v>10000</v>
      </c>
      <c r="ES46">
        <v>10000</v>
      </c>
      <c r="ET46">
        <v>10000</v>
      </c>
      <c r="EU46">
        <v>10235.4</v>
      </c>
      <c r="EV46">
        <v>10837.4</v>
      </c>
      <c r="EW46">
        <v>11439.5</v>
      </c>
      <c r="EX46">
        <v>12041.6</v>
      </c>
      <c r="EY46">
        <v>12041.6</v>
      </c>
      <c r="EZ46">
        <v>12041.6</v>
      </c>
      <c r="FA46">
        <v>12041.6</v>
      </c>
      <c r="FB46">
        <v>12041.6</v>
      </c>
      <c r="FC46">
        <v>12041.6</v>
      </c>
      <c r="FD46">
        <v>12041.6</v>
      </c>
      <c r="FE46">
        <v>12041.6</v>
      </c>
      <c r="FF46">
        <v>12041.6</v>
      </c>
      <c r="FG46">
        <v>12041.6</v>
      </c>
      <c r="FH46">
        <v>12041.6</v>
      </c>
      <c r="FI46">
        <v>12041.6</v>
      </c>
      <c r="FJ46">
        <v>12041.6</v>
      </c>
      <c r="FK46">
        <v>12041.6</v>
      </c>
      <c r="FL46">
        <v>12041.6</v>
      </c>
      <c r="FM46">
        <v>12041.6</v>
      </c>
      <c r="FN46">
        <v>12041.6</v>
      </c>
      <c r="FO46">
        <v>12041.6</v>
      </c>
      <c r="FP46">
        <v>12041.6</v>
      </c>
      <c r="FQ46">
        <v>12041.6</v>
      </c>
      <c r="FR46">
        <v>12041.6</v>
      </c>
      <c r="FS46">
        <v>12041.6</v>
      </c>
      <c r="FT46">
        <v>12041.6</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row>
    <row r="47" spans="1:245" hidden="1">
      <c r="A47" s="343" t="s">
        <v>633</v>
      </c>
      <c r="B47" t="s">
        <v>1010</v>
      </c>
      <c r="F47">
        <v>1</v>
      </c>
      <c r="G47" s="431"/>
      <c r="H47">
        <v>44</v>
      </c>
      <c r="J47" t="str">
        <f t="shared" si="0"/>
        <v>SDJ200144</v>
      </c>
      <c r="K47">
        <v>604</v>
      </c>
      <c r="M47" s="343" t="s">
        <v>633</v>
      </c>
      <c r="N47" t="s">
        <v>1010</v>
      </c>
      <c r="O47">
        <v>1</v>
      </c>
      <c r="P47">
        <v>44</v>
      </c>
      <c r="Q47" s="184" t="str">
        <f t="shared" si="1"/>
        <v>SDJ200144</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12804.8</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s="132"/>
      <c r="DZ47" s="343" t="s">
        <v>633</v>
      </c>
      <c r="EA47" t="s">
        <v>1010</v>
      </c>
      <c r="EB47">
        <v>1</v>
      </c>
      <c r="EC47">
        <v>44</v>
      </c>
      <c r="ED47" s="184" t="str">
        <f t="shared" si="2"/>
        <v>SDJ200144</v>
      </c>
      <c r="EE47">
        <v>10000</v>
      </c>
      <c r="EF47">
        <v>10000</v>
      </c>
      <c r="EG47">
        <v>10000</v>
      </c>
      <c r="EH47">
        <v>10000</v>
      </c>
      <c r="EI47">
        <v>10000</v>
      </c>
      <c r="EJ47">
        <v>10000</v>
      </c>
      <c r="EK47">
        <v>10000</v>
      </c>
      <c r="EL47">
        <v>10000</v>
      </c>
      <c r="EM47">
        <v>10000</v>
      </c>
      <c r="EN47">
        <v>10000</v>
      </c>
      <c r="EO47">
        <v>10000</v>
      </c>
      <c r="EP47">
        <v>10000</v>
      </c>
      <c r="EQ47">
        <v>10000</v>
      </c>
      <c r="ER47">
        <v>10000</v>
      </c>
      <c r="ES47">
        <v>10000</v>
      </c>
      <c r="ET47">
        <v>10243.799999999999</v>
      </c>
      <c r="EU47">
        <v>10884.1</v>
      </c>
      <c r="EV47">
        <v>11524.3</v>
      </c>
      <c r="EW47">
        <v>12164.6</v>
      </c>
      <c r="EX47">
        <v>12804.8</v>
      </c>
      <c r="EY47">
        <v>12804.8</v>
      </c>
      <c r="EZ47">
        <v>12804.8</v>
      </c>
      <c r="FA47">
        <v>12804.8</v>
      </c>
      <c r="FB47">
        <v>12804.8</v>
      </c>
      <c r="FC47">
        <v>12804.8</v>
      </c>
      <c r="FD47">
        <v>12804.8</v>
      </c>
      <c r="FE47">
        <v>12804.8</v>
      </c>
      <c r="FF47">
        <v>12804.8</v>
      </c>
      <c r="FG47">
        <v>12804.8</v>
      </c>
      <c r="FH47">
        <v>12804.8</v>
      </c>
      <c r="FI47">
        <v>12804.8</v>
      </c>
      <c r="FJ47">
        <v>12804.8</v>
      </c>
      <c r="FK47">
        <v>12804.8</v>
      </c>
      <c r="FL47">
        <v>12804.8</v>
      </c>
      <c r="FM47">
        <v>12804.8</v>
      </c>
      <c r="FN47">
        <v>12804.8</v>
      </c>
      <c r="FO47">
        <v>12804.8</v>
      </c>
      <c r="FP47">
        <v>12804.8</v>
      </c>
      <c r="FQ47">
        <v>12804.8</v>
      </c>
      <c r="FR47">
        <v>12804.8</v>
      </c>
      <c r="FS47">
        <v>12804.8</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row>
    <row r="48" spans="1:245" hidden="1">
      <c r="A48" s="343" t="s">
        <v>633</v>
      </c>
      <c r="B48" t="s">
        <v>1010</v>
      </c>
      <c r="F48">
        <v>1</v>
      </c>
      <c r="G48" s="431"/>
      <c r="H48">
        <v>45</v>
      </c>
      <c r="J48" t="str">
        <f t="shared" si="0"/>
        <v>SDJ200145</v>
      </c>
      <c r="K48">
        <v>640</v>
      </c>
      <c r="M48" s="343" t="s">
        <v>633</v>
      </c>
      <c r="N48" t="s">
        <v>1010</v>
      </c>
      <c r="O48">
        <v>1</v>
      </c>
      <c r="P48">
        <v>45</v>
      </c>
      <c r="Q48" s="184" t="str">
        <f t="shared" si="1"/>
        <v>SDJ200145</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13568</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s="132"/>
      <c r="DZ48" s="343" t="s">
        <v>633</v>
      </c>
      <c r="EA48" t="s">
        <v>1010</v>
      </c>
      <c r="EB48">
        <v>1</v>
      </c>
      <c r="EC48">
        <v>45</v>
      </c>
      <c r="ED48" s="184" t="str">
        <f t="shared" si="2"/>
        <v>SDJ200145</v>
      </c>
      <c r="EE48">
        <v>10000</v>
      </c>
      <c r="EF48">
        <v>10000</v>
      </c>
      <c r="EG48">
        <v>10000</v>
      </c>
      <c r="EH48">
        <v>10000</v>
      </c>
      <c r="EI48">
        <v>10000</v>
      </c>
      <c r="EJ48">
        <v>10000</v>
      </c>
      <c r="EK48">
        <v>10000</v>
      </c>
      <c r="EL48">
        <v>10000</v>
      </c>
      <c r="EM48">
        <v>10000</v>
      </c>
      <c r="EN48">
        <v>10000</v>
      </c>
      <c r="EO48">
        <v>10000</v>
      </c>
      <c r="EP48">
        <v>10000</v>
      </c>
      <c r="EQ48">
        <v>10000</v>
      </c>
      <c r="ER48">
        <v>10000</v>
      </c>
      <c r="ES48">
        <v>10176</v>
      </c>
      <c r="ET48">
        <v>10854.4</v>
      </c>
      <c r="EU48">
        <v>11532.8</v>
      </c>
      <c r="EV48">
        <v>12211.2</v>
      </c>
      <c r="EW48">
        <v>12889.6</v>
      </c>
      <c r="EX48">
        <v>13568</v>
      </c>
      <c r="EY48">
        <v>13568</v>
      </c>
      <c r="EZ48">
        <v>13568</v>
      </c>
      <c r="FA48">
        <v>13568</v>
      </c>
      <c r="FB48">
        <v>13568</v>
      </c>
      <c r="FC48">
        <v>13568</v>
      </c>
      <c r="FD48">
        <v>13568</v>
      </c>
      <c r="FE48">
        <v>13568</v>
      </c>
      <c r="FF48">
        <v>13568</v>
      </c>
      <c r="FG48">
        <v>13568</v>
      </c>
      <c r="FH48">
        <v>13568</v>
      </c>
      <c r="FI48">
        <v>13568</v>
      </c>
      <c r="FJ48">
        <v>13568</v>
      </c>
      <c r="FK48">
        <v>13568</v>
      </c>
      <c r="FL48">
        <v>13568</v>
      </c>
      <c r="FM48">
        <v>13568</v>
      </c>
      <c r="FN48">
        <v>13568</v>
      </c>
      <c r="FO48">
        <v>13568</v>
      </c>
      <c r="FP48">
        <v>13568</v>
      </c>
      <c r="FQ48">
        <v>13568</v>
      </c>
      <c r="FR48">
        <v>13568</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row>
    <row r="49" spans="1:245" hidden="1">
      <c r="A49" s="343" t="s">
        <v>633</v>
      </c>
      <c r="B49" t="s">
        <v>1010</v>
      </c>
      <c r="F49">
        <v>1</v>
      </c>
      <c r="G49" s="431"/>
      <c r="H49">
        <v>46</v>
      </c>
      <c r="J49" t="str">
        <f t="shared" si="0"/>
        <v>SDJ200146</v>
      </c>
      <c r="K49">
        <v>676</v>
      </c>
      <c r="M49" s="343" t="s">
        <v>633</v>
      </c>
      <c r="N49" t="s">
        <v>1010</v>
      </c>
      <c r="O49">
        <v>1</v>
      </c>
      <c r="P49">
        <v>46</v>
      </c>
      <c r="Q49" s="184" t="str">
        <f t="shared" si="1"/>
        <v>SDJ200146</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14331.2</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s="132"/>
      <c r="DZ49" s="343" t="s">
        <v>633</v>
      </c>
      <c r="EA49" t="s">
        <v>1010</v>
      </c>
      <c r="EB49">
        <v>1</v>
      </c>
      <c r="EC49">
        <v>46</v>
      </c>
      <c r="ED49" s="184" t="str">
        <f t="shared" si="2"/>
        <v>SDJ200146</v>
      </c>
      <c r="EE49">
        <v>10000</v>
      </c>
      <c r="EF49">
        <v>10000</v>
      </c>
      <c r="EG49">
        <v>10000</v>
      </c>
      <c r="EH49">
        <v>10000</v>
      </c>
      <c r="EI49">
        <v>10000</v>
      </c>
      <c r="EJ49">
        <v>10000</v>
      </c>
      <c r="EK49">
        <v>10000</v>
      </c>
      <c r="EL49">
        <v>10000</v>
      </c>
      <c r="EM49">
        <v>10000</v>
      </c>
      <c r="EN49">
        <v>10000</v>
      </c>
      <c r="EO49">
        <v>10000</v>
      </c>
      <c r="EP49">
        <v>10000</v>
      </c>
      <c r="EQ49">
        <v>10000</v>
      </c>
      <c r="ER49">
        <v>10031.799999999999</v>
      </c>
      <c r="ES49">
        <v>10748.4</v>
      </c>
      <c r="ET49">
        <v>11465</v>
      </c>
      <c r="EU49">
        <v>12181.5</v>
      </c>
      <c r="EV49">
        <v>12898.1</v>
      </c>
      <c r="EW49">
        <v>13614.6</v>
      </c>
      <c r="EX49">
        <v>14331.2</v>
      </c>
      <c r="EY49">
        <v>14331.2</v>
      </c>
      <c r="EZ49">
        <v>14331.2</v>
      </c>
      <c r="FA49">
        <v>14331.2</v>
      </c>
      <c r="FB49">
        <v>14331.2</v>
      </c>
      <c r="FC49">
        <v>14331.2</v>
      </c>
      <c r="FD49">
        <v>14331.2</v>
      </c>
      <c r="FE49">
        <v>14331.2</v>
      </c>
      <c r="FF49">
        <v>14331.2</v>
      </c>
      <c r="FG49">
        <v>14331.2</v>
      </c>
      <c r="FH49">
        <v>14331.2</v>
      </c>
      <c r="FI49">
        <v>14331.2</v>
      </c>
      <c r="FJ49">
        <v>14331.2</v>
      </c>
      <c r="FK49">
        <v>14331.2</v>
      </c>
      <c r="FL49">
        <v>14331.2</v>
      </c>
      <c r="FM49">
        <v>14331.2</v>
      </c>
      <c r="FN49">
        <v>14331.2</v>
      </c>
      <c r="FO49">
        <v>14331.2</v>
      </c>
      <c r="FP49">
        <v>14331.2</v>
      </c>
      <c r="FQ49">
        <v>14331.2</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row>
    <row r="50" spans="1:245" hidden="1">
      <c r="A50" s="343" t="s">
        <v>633</v>
      </c>
      <c r="B50" t="s">
        <v>1010</v>
      </c>
      <c r="F50">
        <v>1</v>
      </c>
      <c r="G50" s="431"/>
      <c r="H50">
        <v>47</v>
      </c>
      <c r="J50" t="str">
        <f t="shared" si="0"/>
        <v>SDJ200147</v>
      </c>
      <c r="K50">
        <v>727</v>
      </c>
      <c r="M50" s="343" t="s">
        <v>633</v>
      </c>
      <c r="N50" t="s">
        <v>1010</v>
      </c>
      <c r="O50">
        <v>1</v>
      </c>
      <c r="P50">
        <v>47</v>
      </c>
      <c r="Q50" s="184" t="str">
        <f t="shared" si="1"/>
        <v>SDJ200147</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15412.4</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s="132"/>
      <c r="DZ50" s="343" t="s">
        <v>633</v>
      </c>
      <c r="EA50" t="s">
        <v>1010</v>
      </c>
      <c r="EB50">
        <v>1</v>
      </c>
      <c r="EC50">
        <v>47</v>
      </c>
      <c r="ED50" s="184" t="str">
        <f t="shared" si="2"/>
        <v>SDJ200147</v>
      </c>
      <c r="EE50">
        <v>10000</v>
      </c>
      <c r="EF50">
        <v>10000</v>
      </c>
      <c r="EG50">
        <v>10000</v>
      </c>
      <c r="EH50">
        <v>10000</v>
      </c>
      <c r="EI50">
        <v>10000</v>
      </c>
      <c r="EJ50">
        <v>10000</v>
      </c>
      <c r="EK50">
        <v>10000</v>
      </c>
      <c r="EL50">
        <v>10000</v>
      </c>
      <c r="EM50">
        <v>10000</v>
      </c>
      <c r="EN50">
        <v>10000</v>
      </c>
      <c r="EO50">
        <v>10000</v>
      </c>
      <c r="EP50">
        <v>10000</v>
      </c>
      <c r="EQ50">
        <v>10018.1</v>
      </c>
      <c r="ER50">
        <v>10788.7</v>
      </c>
      <c r="ES50">
        <v>11559.3</v>
      </c>
      <c r="ET50">
        <v>12329.9</v>
      </c>
      <c r="EU50">
        <v>13100.5</v>
      </c>
      <c r="EV50">
        <v>13871.2</v>
      </c>
      <c r="EW50">
        <v>14641.8</v>
      </c>
      <c r="EX50">
        <v>15412.4</v>
      </c>
      <c r="EY50">
        <v>15412.4</v>
      </c>
      <c r="EZ50">
        <v>15412.4</v>
      </c>
      <c r="FA50">
        <v>15412.4</v>
      </c>
      <c r="FB50">
        <v>15412.4</v>
      </c>
      <c r="FC50">
        <v>15412.4</v>
      </c>
      <c r="FD50">
        <v>15412.4</v>
      </c>
      <c r="FE50">
        <v>15412.4</v>
      </c>
      <c r="FF50">
        <v>15412.4</v>
      </c>
      <c r="FG50">
        <v>15412.4</v>
      </c>
      <c r="FH50">
        <v>15412.4</v>
      </c>
      <c r="FI50">
        <v>15412.4</v>
      </c>
      <c r="FJ50">
        <v>15412.4</v>
      </c>
      <c r="FK50">
        <v>15412.4</v>
      </c>
      <c r="FL50">
        <v>15412.4</v>
      </c>
      <c r="FM50">
        <v>15412.4</v>
      </c>
      <c r="FN50">
        <v>15412.4</v>
      </c>
      <c r="FO50">
        <v>15412.4</v>
      </c>
      <c r="FP50">
        <v>15412.4</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row>
    <row r="51" spans="1:245" hidden="1">
      <c r="A51" s="343" t="s">
        <v>633</v>
      </c>
      <c r="B51" t="s">
        <v>1010</v>
      </c>
      <c r="F51">
        <v>1</v>
      </c>
      <c r="G51" s="431"/>
      <c r="H51">
        <v>48</v>
      </c>
      <c r="J51" t="str">
        <f t="shared" si="0"/>
        <v>SDJ200148</v>
      </c>
      <c r="K51">
        <v>768</v>
      </c>
      <c r="M51" s="343" t="s">
        <v>633</v>
      </c>
      <c r="N51" t="s">
        <v>1010</v>
      </c>
      <c r="O51">
        <v>1</v>
      </c>
      <c r="P51">
        <v>48</v>
      </c>
      <c r="Q51" s="184" t="str">
        <f t="shared" si="1"/>
        <v>SDJ200148</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16281.6</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s="132"/>
      <c r="DZ51" s="343" t="s">
        <v>633</v>
      </c>
      <c r="EA51" t="s">
        <v>1010</v>
      </c>
      <c r="EB51">
        <v>1</v>
      </c>
      <c r="EC51">
        <v>48</v>
      </c>
      <c r="ED51" s="184" t="str">
        <f t="shared" si="2"/>
        <v>SDJ200148</v>
      </c>
      <c r="EE51">
        <v>10000</v>
      </c>
      <c r="EF51">
        <v>10000</v>
      </c>
      <c r="EG51">
        <v>10000</v>
      </c>
      <c r="EH51">
        <v>10000</v>
      </c>
      <c r="EI51">
        <v>10000</v>
      </c>
      <c r="EJ51">
        <v>10000</v>
      </c>
      <c r="EK51">
        <v>10000</v>
      </c>
      <c r="EL51">
        <v>10000</v>
      </c>
      <c r="EM51">
        <v>10000</v>
      </c>
      <c r="EN51">
        <v>10000</v>
      </c>
      <c r="EO51">
        <v>10000</v>
      </c>
      <c r="EP51">
        <v>10000</v>
      </c>
      <c r="EQ51">
        <v>10583</v>
      </c>
      <c r="ER51">
        <v>11397.1</v>
      </c>
      <c r="ES51">
        <v>12211.2</v>
      </c>
      <c r="ET51">
        <v>13025.3</v>
      </c>
      <c r="EU51">
        <v>13839.4</v>
      </c>
      <c r="EV51">
        <v>14653.4</v>
      </c>
      <c r="EW51">
        <v>15467.5</v>
      </c>
      <c r="EX51">
        <v>16281.6</v>
      </c>
      <c r="EY51">
        <v>16281.6</v>
      </c>
      <c r="EZ51">
        <v>16281.6</v>
      </c>
      <c r="FA51">
        <v>16281.6</v>
      </c>
      <c r="FB51">
        <v>16281.6</v>
      </c>
      <c r="FC51">
        <v>16281.6</v>
      </c>
      <c r="FD51">
        <v>16281.6</v>
      </c>
      <c r="FE51">
        <v>16281.6</v>
      </c>
      <c r="FF51">
        <v>16281.6</v>
      </c>
      <c r="FG51">
        <v>16281.6</v>
      </c>
      <c r="FH51">
        <v>16281.6</v>
      </c>
      <c r="FI51">
        <v>16281.6</v>
      </c>
      <c r="FJ51">
        <v>16281.6</v>
      </c>
      <c r="FK51">
        <v>16281.6</v>
      </c>
      <c r="FL51">
        <v>16281.6</v>
      </c>
      <c r="FM51">
        <v>16281.6</v>
      </c>
      <c r="FN51">
        <v>16281.6</v>
      </c>
      <c r="FO51">
        <v>16281.6</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row>
    <row r="52" spans="1:245" hidden="1">
      <c r="A52" s="343" t="s">
        <v>633</v>
      </c>
      <c r="B52" t="s">
        <v>1010</v>
      </c>
      <c r="F52">
        <v>1</v>
      </c>
      <c r="G52" s="431"/>
      <c r="H52">
        <v>49</v>
      </c>
      <c r="J52" t="str">
        <f t="shared" si="0"/>
        <v>SDJ200149</v>
      </c>
      <c r="K52">
        <v>819</v>
      </c>
      <c r="M52" s="343" t="s">
        <v>633</v>
      </c>
      <c r="N52" t="s">
        <v>1010</v>
      </c>
      <c r="O52">
        <v>1</v>
      </c>
      <c r="P52">
        <v>49</v>
      </c>
      <c r="Q52" s="184" t="str">
        <f t="shared" si="1"/>
        <v>SDJ200149</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17362.8</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s="132"/>
      <c r="DZ52" s="343" t="s">
        <v>633</v>
      </c>
      <c r="EA52" t="s">
        <v>1010</v>
      </c>
      <c r="EB52">
        <v>1</v>
      </c>
      <c r="EC52">
        <v>49</v>
      </c>
      <c r="ED52" s="184" t="str">
        <f t="shared" si="2"/>
        <v>SDJ200149</v>
      </c>
      <c r="EE52">
        <v>10000</v>
      </c>
      <c r="EF52">
        <v>10000</v>
      </c>
      <c r="EG52">
        <v>10000</v>
      </c>
      <c r="EH52">
        <v>10000</v>
      </c>
      <c r="EI52">
        <v>10000</v>
      </c>
      <c r="EJ52">
        <v>10000</v>
      </c>
      <c r="EK52">
        <v>10000</v>
      </c>
      <c r="EL52">
        <v>10000</v>
      </c>
      <c r="EM52">
        <v>10000</v>
      </c>
      <c r="EN52">
        <v>10000</v>
      </c>
      <c r="EO52">
        <v>10000</v>
      </c>
      <c r="EP52">
        <v>10417.700000000001</v>
      </c>
      <c r="EQ52">
        <v>11285.8</v>
      </c>
      <c r="ER52">
        <v>12154</v>
      </c>
      <c r="ES52">
        <v>13022.1</v>
      </c>
      <c r="ET52">
        <v>13890.2</v>
      </c>
      <c r="EU52">
        <v>14758.4</v>
      </c>
      <c r="EV52">
        <v>15626.5</v>
      </c>
      <c r="EW52">
        <v>16494.7</v>
      </c>
      <c r="EX52">
        <v>17362.8</v>
      </c>
      <c r="EY52">
        <v>17362.8</v>
      </c>
      <c r="EZ52">
        <v>17362.8</v>
      </c>
      <c r="FA52">
        <v>17362.8</v>
      </c>
      <c r="FB52">
        <v>17362.8</v>
      </c>
      <c r="FC52">
        <v>17362.8</v>
      </c>
      <c r="FD52">
        <v>17362.8</v>
      </c>
      <c r="FE52">
        <v>17362.8</v>
      </c>
      <c r="FF52">
        <v>17362.8</v>
      </c>
      <c r="FG52">
        <v>17362.8</v>
      </c>
      <c r="FH52">
        <v>17362.8</v>
      </c>
      <c r="FI52">
        <v>17362.8</v>
      </c>
      <c r="FJ52">
        <v>17362.8</v>
      </c>
      <c r="FK52">
        <v>17362.8</v>
      </c>
      <c r="FL52">
        <v>17362.8</v>
      </c>
      <c r="FM52">
        <v>17362.8</v>
      </c>
      <c r="FN52">
        <v>17362.8</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row>
    <row r="53" spans="1:245" hidden="1">
      <c r="A53" s="343" t="s">
        <v>633</v>
      </c>
      <c r="B53" t="s">
        <v>1010</v>
      </c>
      <c r="F53">
        <v>1</v>
      </c>
      <c r="G53" s="431"/>
      <c r="H53">
        <v>50</v>
      </c>
      <c r="J53" t="str">
        <f t="shared" si="0"/>
        <v>SDJ200150</v>
      </c>
      <c r="K53">
        <v>880</v>
      </c>
      <c r="M53" s="343" t="s">
        <v>633</v>
      </c>
      <c r="N53" t="s">
        <v>1010</v>
      </c>
      <c r="O53">
        <v>1</v>
      </c>
      <c r="P53">
        <v>50</v>
      </c>
      <c r="Q53" s="184" t="str">
        <f t="shared" si="1"/>
        <v>SDJ200150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18656</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s="132"/>
      <c r="DZ53" s="343" t="s">
        <v>633</v>
      </c>
      <c r="EA53" t="s">
        <v>1010</v>
      </c>
      <c r="EB53">
        <v>1</v>
      </c>
      <c r="EC53">
        <v>50</v>
      </c>
      <c r="ED53" s="184" t="str">
        <f t="shared" si="2"/>
        <v>SDJ200150</v>
      </c>
      <c r="EE53">
        <v>10000</v>
      </c>
      <c r="EF53">
        <v>10000</v>
      </c>
      <c r="EG53">
        <v>10000</v>
      </c>
      <c r="EH53">
        <v>10000</v>
      </c>
      <c r="EI53">
        <v>10000</v>
      </c>
      <c r="EJ53">
        <v>10000</v>
      </c>
      <c r="EK53">
        <v>10000</v>
      </c>
      <c r="EL53">
        <v>10000</v>
      </c>
      <c r="EM53">
        <v>10000</v>
      </c>
      <c r="EN53">
        <v>10000</v>
      </c>
      <c r="EO53">
        <v>10260.799999999999</v>
      </c>
      <c r="EP53">
        <v>11193.6</v>
      </c>
      <c r="EQ53">
        <v>12126.4</v>
      </c>
      <c r="ER53">
        <v>13059.2</v>
      </c>
      <c r="ES53">
        <v>13992</v>
      </c>
      <c r="ET53">
        <v>14924.8</v>
      </c>
      <c r="EU53">
        <v>15857.6</v>
      </c>
      <c r="EV53">
        <v>16790.400000000001</v>
      </c>
      <c r="EW53">
        <v>17723.2</v>
      </c>
      <c r="EX53">
        <v>18656</v>
      </c>
      <c r="EY53">
        <v>18656</v>
      </c>
      <c r="EZ53">
        <v>18656</v>
      </c>
      <c r="FA53">
        <v>18656</v>
      </c>
      <c r="FB53">
        <v>18656</v>
      </c>
      <c r="FC53">
        <v>18656</v>
      </c>
      <c r="FD53">
        <v>18656</v>
      </c>
      <c r="FE53">
        <v>18656</v>
      </c>
      <c r="FF53">
        <v>18656</v>
      </c>
      <c r="FG53">
        <v>18656</v>
      </c>
      <c r="FH53">
        <v>18656</v>
      </c>
      <c r="FI53">
        <v>18656</v>
      </c>
      <c r="FJ53">
        <v>18656</v>
      </c>
      <c r="FK53">
        <v>18656</v>
      </c>
      <c r="FL53">
        <v>18656</v>
      </c>
      <c r="FM53">
        <v>18656</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row>
    <row r="54" spans="1:245" hidden="1">
      <c r="A54" s="343" t="s">
        <v>633</v>
      </c>
      <c r="B54" t="s">
        <v>1010</v>
      </c>
      <c r="F54">
        <v>2</v>
      </c>
      <c r="G54" s="431"/>
      <c r="H54">
        <v>0</v>
      </c>
      <c r="J54" t="str">
        <f t="shared" si="0"/>
        <v>SDJ200200</v>
      </c>
      <c r="K54">
        <v>233</v>
      </c>
      <c r="M54" s="343" t="s">
        <v>633</v>
      </c>
      <c r="N54" t="s">
        <v>1010</v>
      </c>
      <c r="O54">
        <v>2</v>
      </c>
      <c r="P54">
        <v>0</v>
      </c>
      <c r="Q54" s="184" t="str">
        <f t="shared" si="1"/>
        <v>SDJ200200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10000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s="132"/>
      <c r="DZ54" s="343" t="s">
        <v>633</v>
      </c>
      <c r="EA54" t="s">
        <v>1010</v>
      </c>
      <c r="EB54">
        <v>2</v>
      </c>
      <c r="EC54" s="431">
        <v>0</v>
      </c>
      <c r="ED54" s="184" t="str">
        <f t="shared" si="2"/>
        <v>SDJ200200</v>
      </c>
      <c r="EE54">
        <v>10000</v>
      </c>
      <c r="EF54">
        <v>10000</v>
      </c>
      <c r="EG54">
        <v>10000</v>
      </c>
      <c r="EH54">
        <v>10000</v>
      </c>
      <c r="EI54">
        <v>10000</v>
      </c>
      <c r="EJ54">
        <v>10000</v>
      </c>
      <c r="EK54">
        <v>10000</v>
      </c>
      <c r="EL54">
        <v>10000</v>
      </c>
      <c r="EM54">
        <v>10000</v>
      </c>
      <c r="EN54">
        <v>10000</v>
      </c>
      <c r="EO54">
        <v>10000</v>
      </c>
      <c r="EP54">
        <v>10000</v>
      </c>
      <c r="EQ54">
        <v>10000</v>
      </c>
      <c r="ER54">
        <v>10000</v>
      </c>
      <c r="ES54">
        <v>10000</v>
      </c>
      <c r="ET54">
        <v>10000</v>
      </c>
      <c r="EU54">
        <v>10000</v>
      </c>
      <c r="EV54">
        <v>10000</v>
      </c>
      <c r="EW54">
        <v>10000</v>
      </c>
      <c r="EX54">
        <v>10000</v>
      </c>
      <c r="EY54">
        <v>10000</v>
      </c>
      <c r="EZ54">
        <v>10000</v>
      </c>
      <c r="FA54">
        <v>10000</v>
      </c>
      <c r="FB54">
        <v>10000</v>
      </c>
      <c r="FC54">
        <v>10000</v>
      </c>
      <c r="FD54">
        <v>10000</v>
      </c>
      <c r="FE54">
        <v>10000</v>
      </c>
      <c r="FF54">
        <v>10000</v>
      </c>
      <c r="FG54">
        <v>10000</v>
      </c>
      <c r="FH54">
        <v>10000</v>
      </c>
      <c r="FI54">
        <v>10000</v>
      </c>
      <c r="FJ54">
        <v>10000</v>
      </c>
      <c r="FK54">
        <v>10000</v>
      </c>
      <c r="FL54">
        <v>10000</v>
      </c>
      <c r="FM54">
        <v>10000</v>
      </c>
      <c r="FN54">
        <v>10000</v>
      </c>
      <c r="FO54">
        <v>10000</v>
      </c>
      <c r="FP54">
        <v>10000</v>
      </c>
      <c r="FQ54">
        <v>10000</v>
      </c>
      <c r="FR54">
        <v>10000</v>
      </c>
      <c r="FS54">
        <v>10000</v>
      </c>
      <c r="FT54">
        <v>10000</v>
      </c>
      <c r="FU54">
        <v>10000</v>
      </c>
      <c r="FV54">
        <v>10000</v>
      </c>
      <c r="FW54">
        <v>10000</v>
      </c>
      <c r="FX54">
        <v>10000</v>
      </c>
      <c r="FY54">
        <v>10000</v>
      </c>
      <c r="FZ54">
        <v>10000</v>
      </c>
      <c r="GA54">
        <v>10000</v>
      </c>
      <c r="GB54">
        <v>10000</v>
      </c>
      <c r="GC54">
        <v>10000</v>
      </c>
      <c r="GD54">
        <v>10000</v>
      </c>
      <c r="GE54">
        <v>10000</v>
      </c>
      <c r="GF54">
        <v>10000</v>
      </c>
      <c r="GG54">
        <v>10000</v>
      </c>
      <c r="GH54">
        <v>10000</v>
      </c>
      <c r="GI54">
        <v>10000</v>
      </c>
      <c r="GJ54">
        <v>10000</v>
      </c>
      <c r="GK54">
        <v>10000</v>
      </c>
      <c r="GL54">
        <v>10000</v>
      </c>
      <c r="GM54">
        <v>10000</v>
      </c>
      <c r="GN54">
        <v>10000</v>
      </c>
      <c r="GO54">
        <v>10000</v>
      </c>
      <c r="GP54">
        <v>10000</v>
      </c>
      <c r="GQ54">
        <v>10000</v>
      </c>
      <c r="GR54">
        <v>10000</v>
      </c>
      <c r="GS54">
        <v>10000</v>
      </c>
      <c r="GT54">
        <v>10000</v>
      </c>
      <c r="GU54">
        <v>10000</v>
      </c>
      <c r="GV54">
        <v>10000</v>
      </c>
      <c r="GW54">
        <v>10000</v>
      </c>
      <c r="GX54">
        <v>10000</v>
      </c>
      <c r="GY54">
        <v>10000</v>
      </c>
      <c r="GZ54">
        <v>10000</v>
      </c>
      <c r="HA54">
        <v>10000</v>
      </c>
      <c r="HB54">
        <v>10000</v>
      </c>
      <c r="HC54">
        <v>10000</v>
      </c>
      <c r="HD54">
        <v>10000</v>
      </c>
      <c r="HE54">
        <v>10000</v>
      </c>
      <c r="HF54">
        <v>10000</v>
      </c>
      <c r="HG54">
        <v>10000</v>
      </c>
      <c r="HH54">
        <v>10000</v>
      </c>
      <c r="HI54">
        <v>10000</v>
      </c>
      <c r="HJ54">
        <v>10000</v>
      </c>
      <c r="HK54">
        <v>10000</v>
      </c>
      <c r="HL54">
        <v>0</v>
      </c>
      <c r="HM54">
        <v>0</v>
      </c>
      <c r="HN54">
        <v>0</v>
      </c>
      <c r="HO54">
        <v>0</v>
      </c>
      <c r="HP54">
        <v>0</v>
      </c>
      <c r="HQ54">
        <v>0</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row>
    <row r="55" spans="1:245" hidden="1">
      <c r="A55" s="343" t="s">
        <v>633</v>
      </c>
      <c r="B55" t="s">
        <v>1010</v>
      </c>
      <c r="F55">
        <v>2</v>
      </c>
      <c r="G55" s="431"/>
      <c r="H55">
        <v>1</v>
      </c>
      <c r="J55" t="str">
        <f t="shared" si="0"/>
        <v>SDJ200201</v>
      </c>
      <c r="K55">
        <v>237</v>
      </c>
      <c r="M55" s="343" t="s">
        <v>633</v>
      </c>
      <c r="N55" t="s">
        <v>1010</v>
      </c>
      <c r="O55">
        <v>2</v>
      </c>
      <c r="P55">
        <v>1</v>
      </c>
      <c r="Q55" s="184" t="str">
        <f t="shared" si="1"/>
        <v>SDJ200201</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10000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s="132"/>
      <c r="DZ55" s="343" t="s">
        <v>633</v>
      </c>
      <c r="EA55" t="s">
        <v>1010</v>
      </c>
      <c r="EB55">
        <v>2</v>
      </c>
      <c r="EC55">
        <v>1</v>
      </c>
      <c r="ED55" s="184" t="str">
        <f t="shared" si="2"/>
        <v>SDJ200201</v>
      </c>
      <c r="EE55">
        <v>10000</v>
      </c>
      <c r="EF55">
        <v>10000</v>
      </c>
      <c r="EG55">
        <v>10000</v>
      </c>
      <c r="EH55">
        <v>10000</v>
      </c>
      <c r="EI55">
        <v>10000</v>
      </c>
      <c r="EJ55">
        <v>10000</v>
      </c>
      <c r="EK55">
        <v>10000</v>
      </c>
      <c r="EL55">
        <v>10000</v>
      </c>
      <c r="EM55">
        <v>10000</v>
      </c>
      <c r="EN55">
        <v>10000</v>
      </c>
      <c r="EO55">
        <v>10000</v>
      </c>
      <c r="EP55">
        <v>10000</v>
      </c>
      <c r="EQ55">
        <v>10000</v>
      </c>
      <c r="ER55">
        <v>10000</v>
      </c>
      <c r="ES55">
        <v>10000</v>
      </c>
      <c r="ET55">
        <v>10000</v>
      </c>
      <c r="EU55">
        <v>10000</v>
      </c>
      <c r="EV55">
        <v>10000</v>
      </c>
      <c r="EW55">
        <v>10000</v>
      </c>
      <c r="EX55">
        <v>10000</v>
      </c>
      <c r="EY55">
        <v>10000</v>
      </c>
      <c r="EZ55">
        <v>10000</v>
      </c>
      <c r="FA55">
        <v>10000</v>
      </c>
      <c r="FB55">
        <v>10000</v>
      </c>
      <c r="FC55">
        <v>10000</v>
      </c>
      <c r="FD55">
        <v>10000</v>
      </c>
      <c r="FE55">
        <v>10000</v>
      </c>
      <c r="FF55">
        <v>10000</v>
      </c>
      <c r="FG55">
        <v>10000</v>
      </c>
      <c r="FH55">
        <v>10000</v>
      </c>
      <c r="FI55">
        <v>10000</v>
      </c>
      <c r="FJ55">
        <v>10000</v>
      </c>
      <c r="FK55">
        <v>10000</v>
      </c>
      <c r="FL55">
        <v>10000</v>
      </c>
      <c r="FM55">
        <v>10000</v>
      </c>
      <c r="FN55">
        <v>10000</v>
      </c>
      <c r="FO55">
        <v>10000</v>
      </c>
      <c r="FP55">
        <v>10000</v>
      </c>
      <c r="FQ55">
        <v>10000</v>
      </c>
      <c r="FR55">
        <v>10000</v>
      </c>
      <c r="FS55">
        <v>10000</v>
      </c>
      <c r="FT55">
        <v>10000</v>
      </c>
      <c r="FU55">
        <v>10000</v>
      </c>
      <c r="FV55">
        <v>10000</v>
      </c>
      <c r="FW55">
        <v>10000</v>
      </c>
      <c r="FX55">
        <v>10000</v>
      </c>
      <c r="FY55">
        <v>10000</v>
      </c>
      <c r="FZ55">
        <v>10000</v>
      </c>
      <c r="GA55">
        <v>10000</v>
      </c>
      <c r="GB55">
        <v>10000</v>
      </c>
      <c r="GC55">
        <v>10000</v>
      </c>
      <c r="GD55">
        <v>10000</v>
      </c>
      <c r="GE55">
        <v>10000</v>
      </c>
      <c r="GF55">
        <v>10000</v>
      </c>
      <c r="GG55">
        <v>10000</v>
      </c>
      <c r="GH55">
        <v>10000</v>
      </c>
      <c r="GI55">
        <v>10000</v>
      </c>
      <c r="GJ55">
        <v>10000</v>
      </c>
      <c r="GK55">
        <v>10000</v>
      </c>
      <c r="GL55">
        <v>10000</v>
      </c>
      <c r="GM55">
        <v>10000</v>
      </c>
      <c r="GN55">
        <v>10000</v>
      </c>
      <c r="GO55">
        <v>10000</v>
      </c>
      <c r="GP55">
        <v>10000</v>
      </c>
      <c r="GQ55">
        <v>10000</v>
      </c>
      <c r="GR55">
        <v>10000</v>
      </c>
      <c r="GS55">
        <v>10000</v>
      </c>
      <c r="GT55">
        <v>10000</v>
      </c>
      <c r="GU55">
        <v>10000</v>
      </c>
      <c r="GV55">
        <v>10000</v>
      </c>
      <c r="GW55">
        <v>10000</v>
      </c>
      <c r="GX55">
        <v>10000</v>
      </c>
      <c r="GY55">
        <v>10000</v>
      </c>
      <c r="GZ55">
        <v>10000</v>
      </c>
      <c r="HA55">
        <v>10000</v>
      </c>
      <c r="HB55">
        <v>10000</v>
      </c>
      <c r="HC55">
        <v>10000</v>
      </c>
      <c r="HD55">
        <v>10000</v>
      </c>
      <c r="HE55">
        <v>10000</v>
      </c>
      <c r="HF55">
        <v>10000</v>
      </c>
      <c r="HG55">
        <v>10000</v>
      </c>
      <c r="HH55">
        <v>10000</v>
      </c>
      <c r="HI55">
        <v>10000</v>
      </c>
      <c r="HJ55">
        <v>10000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row>
    <row r="56" spans="1:245" hidden="1">
      <c r="A56" s="343" t="s">
        <v>633</v>
      </c>
      <c r="B56" t="s">
        <v>1010</v>
      </c>
      <c r="F56">
        <v>2</v>
      </c>
      <c r="G56" s="431"/>
      <c r="H56">
        <v>2</v>
      </c>
      <c r="J56" t="str">
        <f t="shared" si="0"/>
        <v>SDJ200202</v>
      </c>
      <c r="K56">
        <v>241</v>
      </c>
      <c r="M56" s="343" t="s">
        <v>633</v>
      </c>
      <c r="N56" t="s">
        <v>1010</v>
      </c>
      <c r="O56">
        <v>2</v>
      </c>
      <c r="P56">
        <v>2</v>
      </c>
      <c r="Q56" s="184" t="str">
        <f t="shared" si="1"/>
        <v>SDJ200202</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10000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s="132"/>
      <c r="DZ56" s="343" t="s">
        <v>633</v>
      </c>
      <c r="EA56" t="s">
        <v>1010</v>
      </c>
      <c r="EB56">
        <v>2</v>
      </c>
      <c r="EC56">
        <v>2</v>
      </c>
      <c r="ED56" s="184" t="str">
        <f t="shared" si="2"/>
        <v>SDJ200202</v>
      </c>
      <c r="EE56">
        <v>10000</v>
      </c>
      <c r="EF56">
        <v>10000</v>
      </c>
      <c r="EG56">
        <v>10000</v>
      </c>
      <c r="EH56">
        <v>10000</v>
      </c>
      <c r="EI56">
        <v>10000</v>
      </c>
      <c r="EJ56">
        <v>10000</v>
      </c>
      <c r="EK56">
        <v>10000</v>
      </c>
      <c r="EL56">
        <v>10000</v>
      </c>
      <c r="EM56">
        <v>10000</v>
      </c>
      <c r="EN56">
        <v>10000</v>
      </c>
      <c r="EO56">
        <v>10000</v>
      </c>
      <c r="EP56">
        <v>10000</v>
      </c>
      <c r="EQ56">
        <v>10000</v>
      </c>
      <c r="ER56">
        <v>10000</v>
      </c>
      <c r="ES56">
        <v>10000</v>
      </c>
      <c r="ET56">
        <v>10000</v>
      </c>
      <c r="EU56">
        <v>10000</v>
      </c>
      <c r="EV56">
        <v>10000</v>
      </c>
      <c r="EW56">
        <v>10000</v>
      </c>
      <c r="EX56">
        <v>10000</v>
      </c>
      <c r="EY56">
        <v>10000</v>
      </c>
      <c r="EZ56">
        <v>10000</v>
      </c>
      <c r="FA56">
        <v>10000</v>
      </c>
      <c r="FB56">
        <v>10000</v>
      </c>
      <c r="FC56">
        <v>10000</v>
      </c>
      <c r="FD56">
        <v>10000</v>
      </c>
      <c r="FE56">
        <v>10000</v>
      </c>
      <c r="FF56">
        <v>10000</v>
      </c>
      <c r="FG56">
        <v>10000</v>
      </c>
      <c r="FH56">
        <v>10000</v>
      </c>
      <c r="FI56">
        <v>10000</v>
      </c>
      <c r="FJ56">
        <v>10000</v>
      </c>
      <c r="FK56">
        <v>10000</v>
      </c>
      <c r="FL56">
        <v>10000</v>
      </c>
      <c r="FM56">
        <v>10000</v>
      </c>
      <c r="FN56">
        <v>10000</v>
      </c>
      <c r="FO56">
        <v>10000</v>
      </c>
      <c r="FP56">
        <v>10000</v>
      </c>
      <c r="FQ56">
        <v>10000</v>
      </c>
      <c r="FR56">
        <v>10000</v>
      </c>
      <c r="FS56">
        <v>10000</v>
      </c>
      <c r="FT56">
        <v>10000</v>
      </c>
      <c r="FU56">
        <v>10000</v>
      </c>
      <c r="FV56">
        <v>10000</v>
      </c>
      <c r="FW56">
        <v>10000</v>
      </c>
      <c r="FX56">
        <v>10000</v>
      </c>
      <c r="FY56">
        <v>10000</v>
      </c>
      <c r="FZ56">
        <v>10000</v>
      </c>
      <c r="GA56">
        <v>10000</v>
      </c>
      <c r="GB56">
        <v>10000</v>
      </c>
      <c r="GC56">
        <v>10000</v>
      </c>
      <c r="GD56">
        <v>10000</v>
      </c>
      <c r="GE56">
        <v>10000</v>
      </c>
      <c r="GF56">
        <v>10000</v>
      </c>
      <c r="GG56">
        <v>10000</v>
      </c>
      <c r="GH56">
        <v>10000</v>
      </c>
      <c r="GI56">
        <v>10000</v>
      </c>
      <c r="GJ56">
        <v>10000</v>
      </c>
      <c r="GK56">
        <v>10000</v>
      </c>
      <c r="GL56">
        <v>10000</v>
      </c>
      <c r="GM56">
        <v>10000</v>
      </c>
      <c r="GN56">
        <v>10000</v>
      </c>
      <c r="GO56">
        <v>10000</v>
      </c>
      <c r="GP56">
        <v>10000</v>
      </c>
      <c r="GQ56">
        <v>10000</v>
      </c>
      <c r="GR56">
        <v>10000</v>
      </c>
      <c r="GS56">
        <v>10000</v>
      </c>
      <c r="GT56">
        <v>10000</v>
      </c>
      <c r="GU56">
        <v>10000</v>
      </c>
      <c r="GV56">
        <v>10000</v>
      </c>
      <c r="GW56">
        <v>10000</v>
      </c>
      <c r="GX56">
        <v>10000</v>
      </c>
      <c r="GY56">
        <v>10000</v>
      </c>
      <c r="GZ56">
        <v>10000</v>
      </c>
      <c r="HA56">
        <v>10000</v>
      </c>
      <c r="HB56">
        <v>10000</v>
      </c>
      <c r="HC56">
        <v>10000</v>
      </c>
      <c r="HD56">
        <v>10000</v>
      </c>
      <c r="HE56">
        <v>10000</v>
      </c>
      <c r="HF56">
        <v>10000</v>
      </c>
      <c r="HG56">
        <v>10000</v>
      </c>
      <c r="HH56">
        <v>10000</v>
      </c>
      <c r="HI56">
        <v>10000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row>
    <row r="57" spans="1:245" hidden="1">
      <c r="A57" s="343" t="s">
        <v>633</v>
      </c>
      <c r="B57" t="s">
        <v>1010</v>
      </c>
      <c r="F57">
        <v>2</v>
      </c>
      <c r="G57" s="431"/>
      <c r="H57">
        <v>3</v>
      </c>
      <c r="J57" t="str">
        <f t="shared" si="0"/>
        <v>SDJ200203</v>
      </c>
      <c r="K57">
        <v>245</v>
      </c>
      <c r="M57" s="343" t="s">
        <v>633</v>
      </c>
      <c r="N57" t="s">
        <v>1010</v>
      </c>
      <c r="O57">
        <v>2</v>
      </c>
      <c r="P57">
        <v>3</v>
      </c>
      <c r="Q57" s="184" t="str">
        <f t="shared" si="1"/>
        <v>SDJ200203</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10000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s="132"/>
      <c r="DZ57" s="343" t="s">
        <v>633</v>
      </c>
      <c r="EA57" t="s">
        <v>1010</v>
      </c>
      <c r="EB57">
        <v>2</v>
      </c>
      <c r="EC57">
        <v>3</v>
      </c>
      <c r="ED57" s="184" t="str">
        <f t="shared" si="2"/>
        <v>SDJ200203</v>
      </c>
      <c r="EE57">
        <v>10000</v>
      </c>
      <c r="EF57">
        <v>10000</v>
      </c>
      <c r="EG57">
        <v>10000</v>
      </c>
      <c r="EH57">
        <v>10000</v>
      </c>
      <c r="EI57">
        <v>10000</v>
      </c>
      <c r="EJ57">
        <v>10000</v>
      </c>
      <c r="EK57">
        <v>10000</v>
      </c>
      <c r="EL57">
        <v>10000</v>
      </c>
      <c r="EM57">
        <v>10000</v>
      </c>
      <c r="EN57">
        <v>10000</v>
      </c>
      <c r="EO57">
        <v>10000</v>
      </c>
      <c r="EP57">
        <v>10000</v>
      </c>
      <c r="EQ57">
        <v>10000</v>
      </c>
      <c r="ER57">
        <v>10000</v>
      </c>
      <c r="ES57">
        <v>10000</v>
      </c>
      <c r="ET57">
        <v>10000</v>
      </c>
      <c r="EU57">
        <v>10000</v>
      </c>
      <c r="EV57">
        <v>10000</v>
      </c>
      <c r="EW57">
        <v>10000</v>
      </c>
      <c r="EX57">
        <v>10000</v>
      </c>
      <c r="EY57">
        <v>10000</v>
      </c>
      <c r="EZ57">
        <v>10000</v>
      </c>
      <c r="FA57">
        <v>10000</v>
      </c>
      <c r="FB57">
        <v>10000</v>
      </c>
      <c r="FC57">
        <v>10000</v>
      </c>
      <c r="FD57">
        <v>10000</v>
      </c>
      <c r="FE57">
        <v>10000</v>
      </c>
      <c r="FF57">
        <v>10000</v>
      </c>
      <c r="FG57">
        <v>10000</v>
      </c>
      <c r="FH57">
        <v>10000</v>
      </c>
      <c r="FI57">
        <v>10000</v>
      </c>
      <c r="FJ57">
        <v>10000</v>
      </c>
      <c r="FK57">
        <v>10000</v>
      </c>
      <c r="FL57">
        <v>10000</v>
      </c>
      <c r="FM57">
        <v>10000</v>
      </c>
      <c r="FN57">
        <v>10000</v>
      </c>
      <c r="FO57">
        <v>10000</v>
      </c>
      <c r="FP57">
        <v>10000</v>
      </c>
      <c r="FQ57">
        <v>10000</v>
      </c>
      <c r="FR57">
        <v>10000</v>
      </c>
      <c r="FS57">
        <v>10000</v>
      </c>
      <c r="FT57">
        <v>10000</v>
      </c>
      <c r="FU57">
        <v>10000</v>
      </c>
      <c r="FV57">
        <v>10000</v>
      </c>
      <c r="FW57">
        <v>10000</v>
      </c>
      <c r="FX57">
        <v>10000</v>
      </c>
      <c r="FY57">
        <v>10000</v>
      </c>
      <c r="FZ57">
        <v>10000</v>
      </c>
      <c r="GA57">
        <v>10000</v>
      </c>
      <c r="GB57">
        <v>10000</v>
      </c>
      <c r="GC57">
        <v>10000</v>
      </c>
      <c r="GD57">
        <v>10000</v>
      </c>
      <c r="GE57">
        <v>10000</v>
      </c>
      <c r="GF57">
        <v>10000</v>
      </c>
      <c r="GG57">
        <v>10000</v>
      </c>
      <c r="GH57">
        <v>10000</v>
      </c>
      <c r="GI57">
        <v>10000</v>
      </c>
      <c r="GJ57">
        <v>10000</v>
      </c>
      <c r="GK57">
        <v>10000</v>
      </c>
      <c r="GL57">
        <v>10000</v>
      </c>
      <c r="GM57">
        <v>10000</v>
      </c>
      <c r="GN57">
        <v>10000</v>
      </c>
      <c r="GO57">
        <v>10000</v>
      </c>
      <c r="GP57">
        <v>10000</v>
      </c>
      <c r="GQ57">
        <v>10000</v>
      </c>
      <c r="GR57">
        <v>10000</v>
      </c>
      <c r="GS57">
        <v>10000</v>
      </c>
      <c r="GT57">
        <v>10000</v>
      </c>
      <c r="GU57">
        <v>10000</v>
      </c>
      <c r="GV57">
        <v>10000</v>
      </c>
      <c r="GW57">
        <v>10000</v>
      </c>
      <c r="GX57">
        <v>10000</v>
      </c>
      <c r="GY57">
        <v>10000</v>
      </c>
      <c r="GZ57">
        <v>10000</v>
      </c>
      <c r="HA57">
        <v>10000</v>
      </c>
      <c r="HB57">
        <v>10000</v>
      </c>
      <c r="HC57">
        <v>10000</v>
      </c>
      <c r="HD57">
        <v>10000</v>
      </c>
      <c r="HE57">
        <v>10000</v>
      </c>
      <c r="HF57">
        <v>10000</v>
      </c>
      <c r="HG57">
        <v>10000</v>
      </c>
      <c r="HH57">
        <v>10000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row>
    <row r="58" spans="1:245" hidden="1">
      <c r="A58" s="343" t="s">
        <v>633</v>
      </c>
      <c r="B58" t="s">
        <v>1010</v>
      </c>
      <c r="F58">
        <v>2</v>
      </c>
      <c r="G58" s="431"/>
      <c r="H58">
        <v>4</v>
      </c>
      <c r="J58" t="str">
        <f t="shared" si="0"/>
        <v>SDJ200204</v>
      </c>
      <c r="K58">
        <v>250</v>
      </c>
      <c r="M58" s="343" t="s">
        <v>633</v>
      </c>
      <c r="N58" t="s">
        <v>1010</v>
      </c>
      <c r="O58">
        <v>2</v>
      </c>
      <c r="P58">
        <v>4</v>
      </c>
      <c r="Q58" s="184" t="str">
        <f t="shared" si="1"/>
        <v>SDJ200204</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10000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s="132"/>
      <c r="DZ58" s="343" t="s">
        <v>633</v>
      </c>
      <c r="EA58" t="s">
        <v>1010</v>
      </c>
      <c r="EB58">
        <v>2</v>
      </c>
      <c r="EC58">
        <v>4</v>
      </c>
      <c r="ED58" s="184" t="str">
        <f t="shared" si="2"/>
        <v>SDJ200204</v>
      </c>
      <c r="EE58">
        <v>10000</v>
      </c>
      <c r="EF58">
        <v>10000</v>
      </c>
      <c r="EG58">
        <v>10000</v>
      </c>
      <c r="EH58">
        <v>10000</v>
      </c>
      <c r="EI58">
        <v>10000</v>
      </c>
      <c r="EJ58">
        <v>10000</v>
      </c>
      <c r="EK58">
        <v>10000</v>
      </c>
      <c r="EL58">
        <v>10000</v>
      </c>
      <c r="EM58">
        <v>10000</v>
      </c>
      <c r="EN58">
        <v>10000</v>
      </c>
      <c r="EO58">
        <v>10000</v>
      </c>
      <c r="EP58">
        <v>10000</v>
      </c>
      <c r="EQ58">
        <v>10000</v>
      </c>
      <c r="ER58">
        <v>10000</v>
      </c>
      <c r="ES58">
        <v>10000</v>
      </c>
      <c r="ET58">
        <v>10000</v>
      </c>
      <c r="EU58">
        <v>10000</v>
      </c>
      <c r="EV58">
        <v>10000</v>
      </c>
      <c r="EW58">
        <v>10000</v>
      </c>
      <c r="EX58">
        <v>10000</v>
      </c>
      <c r="EY58">
        <v>10000</v>
      </c>
      <c r="EZ58">
        <v>10000</v>
      </c>
      <c r="FA58">
        <v>10000</v>
      </c>
      <c r="FB58">
        <v>10000</v>
      </c>
      <c r="FC58">
        <v>10000</v>
      </c>
      <c r="FD58">
        <v>10000</v>
      </c>
      <c r="FE58">
        <v>10000</v>
      </c>
      <c r="FF58">
        <v>10000</v>
      </c>
      <c r="FG58">
        <v>10000</v>
      </c>
      <c r="FH58">
        <v>10000</v>
      </c>
      <c r="FI58">
        <v>10000</v>
      </c>
      <c r="FJ58">
        <v>10000</v>
      </c>
      <c r="FK58">
        <v>10000</v>
      </c>
      <c r="FL58">
        <v>10000</v>
      </c>
      <c r="FM58">
        <v>10000</v>
      </c>
      <c r="FN58">
        <v>10000</v>
      </c>
      <c r="FO58">
        <v>10000</v>
      </c>
      <c r="FP58">
        <v>10000</v>
      </c>
      <c r="FQ58">
        <v>10000</v>
      </c>
      <c r="FR58">
        <v>10000</v>
      </c>
      <c r="FS58">
        <v>10000</v>
      </c>
      <c r="FT58">
        <v>10000</v>
      </c>
      <c r="FU58">
        <v>10000</v>
      </c>
      <c r="FV58">
        <v>10000</v>
      </c>
      <c r="FW58">
        <v>10000</v>
      </c>
      <c r="FX58">
        <v>10000</v>
      </c>
      <c r="FY58">
        <v>10000</v>
      </c>
      <c r="FZ58">
        <v>10000</v>
      </c>
      <c r="GA58">
        <v>10000</v>
      </c>
      <c r="GB58">
        <v>10000</v>
      </c>
      <c r="GC58">
        <v>10000</v>
      </c>
      <c r="GD58">
        <v>10000</v>
      </c>
      <c r="GE58">
        <v>10000</v>
      </c>
      <c r="GF58">
        <v>10000</v>
      </c>
      <c r="GG58">
        <v>10000</v>
      </c>
      <c r="GH58">
        <v>10000</v>
      </c>
      <c r="GI58">
        <v>10000</v>
      </c>
      <c r="GJ58">
        <v>10000</v>
      </c>
      <c r="GK58">
        <v>10000</v>
      </c>
      <c r="GL58">
        <v>10000</v>
      </c>
      <c r="GM58">
        <v>10000</v>
      </c>
      <c r="GN58">
        <v>10000</v>
      </c>
      <c r="GO58">
        <v>10000</v>
      </c>
      <c r="GP58">
        <v>10000</v>
      </c>
      <c r="GQ58">
        <v>10000</v>
      </c>
      <c r="GR58">
        <v>10000</v>
      </c>
      <c r="GS58">
        <v>10000</v>
      </c>
      <c r="GT58">
        <v>10000</v>
      </c>
      <c r="GU58">
        <v>10000</v>
      </c>
      <c r="GV58">
        <v>10000</v>
      </c>
      <c r="GW58">
        <v>10000</v>
      </c>
      <c r="GX58">
        <v>10000</v>
      </c>
      <c r="GY58">
        <v>10000</v>
      </c>
      <c r="GZ58">
        <v>10000</v>
      </c>
      <c r="HA58">
        <v>10000</v>
      </c>
      <c r="HB58">
        <v>10000</v>
      </c>
      <c r="HC58">
        <v>10000</v>
      </c>
      <c r="HD58">
        <v>10000</v>
      </c>
      <c r="HE58">
        <v>10000</v>
      </c>
      <c r="HF58">
        <v>10000</v>
      </c>
      <c r="HG58">
        <v>10000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row>
    <row r="59" spans="1:245" hidden="1">
      <c r="A59" s="343" t="s">
        <v>633</v>
      </c>
      <c r="B59" t="s">
        <v>1010</v>
      </c>
      <c r="F59">
        <v>2</v>
      </c>
      <c r="G59" s="431"/>
      <c r="H59" s="431">
        <v>5</v>
      </c>
      <c r="J59" t="str">
        <f t="shared" si="0"/>
        <v>SDJ200205</v>
      </c>
      <c r="K59">
        <v>254</v>
      </c>
      <c r="M59" s="343" t="s">
        <v>633</v>
      </c>
      <c r="N59" t="s">
        <v>1010</v>
      </c>
      <c r="O59">
        <v>2</v>
      </c>
      <c r="P59">
        <v>5</v>
      </c>
      <c r="Q59" s="184" t="str">
        <f t="shared" si="1"/>
        <v>SDJ200205</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10000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s="132"/>
      <c r="DZ59" s="343" t="s">
        <v>633</v>
      </c>
      <c r="EA59" t="s">
        <v>1010</v>
      </c>
      <c r="EB59">
        <v>2</v>
      </c>
      <c r="EC59">
        <v>5</v>
      </c>
      <c r="ED59" s="184" t="str">
        <f t="shared" si="2"/>
        <v>SDJ200205</v>
      </c>
      <c r="EE59">
        <v>10000</v>
      </c>
      <c r="EF59">
        <v>10000</v>
      </c>
      <c r="EG59">
        <v>10000</v>
      </c>
      <c r="EH59">
        <v>10000</v>
      </c>
      <c r="EI59">
        <v>10000</v>
      </c>
      <c r="EJ59">
        <v>10000</v>
      </c>
      <c r="EK59">
        <v>10000</v>
      </c>
      <c r="EL59">
        <v>10000</v>
      </c>
      <c r="EM59">
        <v>10000</v>
      </c>
      <c r="EN59">
        <v>10000</v>
      </c>
      <c r="EO59">
        <v>10000</v>
      </c>
      <c r="EP59">
        <v>10000</v>
      </c>
      <c r="EQ59">
        <v>10000</v>
      </c>
      <c r="ER59">
        <v>10000</v>
      </c>
      <c r="ES59">
        <v>10000</v>
      </c>
      <c r="ET59">
        <v>10000</v>
      </c>
      <c r="EU59">
        <v>10000</v>
      </c>
      <c r="EV59">
        <v>10000</v>
      </c>
      <c r="EW59">
        <v>10000</v>
      </c>
      <c r="EX59">
        <v>10000</v>
      </c>
      <c r="EY59">
        <v>10000</v>
      </c>
      <c r="EZ59">
        <v>10000</v>
      </c>
      <c r="FA59">
        <v>10000</v>
      </c>
      <c r="FB59">
        <v>10000</v>
      </c>
      <c r="FC59">
        <v>10000</v>
      </c>
      <c r="FD59">
        <v>10000</v>
      </c>
      <c r="FE59">
        <v>10000</v>
      </c>
      <c r="FF59">
        <v>10000</v>
      </c>
      <c r="FG59">
        <v>10000</v>
      </c>
      <c r="FH59">
        <v>10000</v>
      </c>
      <c r="FI59">
        <v>10000</v>
      </c>
      <c r="FJ59">
        <v>10000</v>
      </c>
      <c r="FK59">
        <v>10000</v>
      </c>
      <c r="FL59">
        <v>10000</v>
      </c>
      <c r="FM59">
        <v>10000</v>
      </c>
      <c r="FN59">
        <v>10000</v>
      </c>
      <c r="FO59">
        <v>10000</v>
      </c>
      <c r="FP59">
        <v>10000</v>
      </c>
      <c r="FQ59">
        <v>10000</v>
      </c>
      <c r="FR59">
        <v>10000</v>
      </c>
      <c r="FS59">
        <v>10000</v>
      </c>
      <c r="FT59">
        <v>10000</v>
      </c>
      <c r="FU59">
        <v>10000</v>
      </c>
      <c r="FV59">
        <v>10000</v>
      </c>
      <c r="FW59">
        <v>10000</v>
      </c>
      <c r="FX59">
        <v>10000</v>
      </c>
      <c r="FY59">
        <v>10000</v>
      </c>
      <c r="FZ59">
        <v>10000</v>
      </c>
      <c r="GA59">
        <v>10000</v>
      </c>
      <c r="GB59">
        <v>10000</v>
      </c>
      <c r="GC59">
        <v>10000</v>
      </c>
      <c r="GD59">
        <v>10000</v>
      </c>
      <c r="GE59">
        <v>10000</v>
      </c>
      <c r="GF59">
        <v>10000</v>
      </c>
      <c r="GG59">
        <v>10000</v>
      </c>
      <c r="GH59">
        <v>10000</v>
      </c>
      <c r="GI59">
        <v>10000</v>
      </c>
      <c r="GJ59">
        <v>10000</v>
      </c>
      <c r="GK59">
        <v>10000</v>
      </c>
      <c r="GL59">
        <v>10000</v>
      </c>
      <c r="GM59">
        <v>10000</v>
      </c>
      <c r="GN59">
        <v>10000</v>
      </c>
      <c r="GO59">
        <v>10000</v>
      </c>
      <c r="GP59">
        <v>10000</v>
      </c>
      <c r="GQ59">
        <v>10000</v>
      </c>
      <c r="GR59">
        <v>10000</v>
      </c>
      <c r="GS59">
        <v>10000</v>
      </c>
      <c r="GT59">
        <v>10000</v>
      </c>
      <c r="GU59">
        <v>10000</v>
      </c>
      <c r="GV59">
        <v>10000</v>
      </c>
      <c r="GW59">
        <v>10000</v>
      </c>
      <c r="GX59">
        <v>10000</v>
      </c>
      <c r="GY59">
        <v>10000</v>
      </c>
      <c r="GZ59">
        <v>10000</v>
      </c>
      <c r="HA59">
        <v>10000</v>
      </c>
      <c r="HB59">
        <v>10000</v>
      </c>
      <c r="HC59">
        <v>10000</v>
      </c>
      <c r="HD59">
        <v>10000</v>
      </c>
      <c r="HE59">
        <v>10000</v>
      </c>
      <c r="HF59">
        <v>10000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row>
    <row r="60" spans="1:245" hidden="1">
      <c r="A60" s="343" t="s">
        <v>633</v>
      </c>
      <c r="B60" t="s">
        <v>1010</v>
      </c>
      <c r="F60">
        <v>2</v>
      </c>
      <c r="G60" s="431"/>
      <c r="H60">
        <v>6</v>
      </c>
      <c r="J60" t="str">
        <f t="shared" si="0"/>
        <v>SDJ200206</v>
      </c>
      <c r="K60">
        <v>258</v>
      </c>
      <c r="M60" s="343" t="s">
        <v>633</v>
      </c>
      <c r="N60" t="s">
        <v>1010</v>
      </c>
      <c r="O60">
        <v>2</v>
      </c>
      <c r="P60">
        <v>6</v>
      </c>
      <c r="Q60" s="184" t="str">
        <f t="shared" si="1"/>
        <v>SDJ200206</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10000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s="132"/>
      <c r="DZ60" s="343" t="s">
        <v>633</v>
      </c>
      <c r="EA60" t="s">
        <v>1010</v>
      </c>
      <c r="EB60">
        <v>2</v>
      </c>
      <c r="EC60">
        <v>6</v>
      </c>
      <c r="ED60" s="184" t="str">
        <f t="shared" si="2"/>
        <v>SDJ200206</v>
      </c>
      <c r="EE60">
        <v>10000</v>
      </c>
      <c r="EF60">
        <v>10000</v>
      </c>
      <c r="EG60">
        <v>10000</v>
      </c>
      <c r="EH60">
        <v>10000</v>
      </c>
      <c r="EI60">
        <v>10000</v>
      </c>
      <c r="EJ60">
        <v>10000</v>
      </c>
      <c r="EK60">
        <v>10000</v>
      </c>
      <c r="EL60">
        <v>10000</v>
      </c>
      <c r="EM60">
        <v>10000</v>
      </c>
      <c r="EN60">
        <v>10000</v>
      </c>
      <c r="EO60">
        <v>10000</v>
      </c>
      <c r="EP60">
        <v>10000</v>
      </c>
      <c r="EQ60">
        <v>10000</v>
      </c>
      <c r="ER60">
        <v>10000</v>
      </c>
      <c r="ES60">
        <v>10000</v>
      </c>
      <c r="ET60">
        <v>10000</v>
      </c>
      <c r="EU60">
        <v>10000</v>
      </c>
      <c r="EV60">
        <v>10000</v>
      </c>
      <c r="EW60">
        <v>10000</v>
      </c>
      <c r="EX60">
        <v>10000</v>
      </c>
      <c r="EY60">
        <v>10000</v>
      </c>
      <c r="EZ60">
        <v>10000</v>
      </c>
      <c r="FA60">
        <v>10000</v>
      </c>
      <c r="FB60">
        <v>10000</v>
      </c>
      <c r="FC60">
        <v>10000</v>
      </c>
      <c r="FD60">
        <v>10000</v>
      </c>
      <c r="FE60">
        <v>10000</v>
      </c>
      <c r="FF60">
        <v>10000</v>
      </c>
      <c r="FG60">
        <v>10000</v>
      </c>
      <c r="FH60">
        <v>10000</v>
      </c>
      <c r="FI60">
        <v>10000</v>
      </c>
      <c r="FJ60">
        <v>10000</v>
      </c>
      <c r="FK60">
        <v>10000</v>
      </c>
      <c r="FL60">
        <v>10000</v>
      </c>
      <c r="FM60">
        <v>10000</v>
      </c>
      <c r="FN60">
        <v>10000</v>
      </c>
      <c r="FO60">
        <v>10000</v>
      </c>
      <c r="FP60">
        <v>10000</v>
      </c>
      <c r="FQ60">
        <v>10000</v>
      </c>
      <c r="FR60">
        <v>10000</v>
      </c>
      <c r="FS60">
        <v>10000</v>
      </c>
      <c r="FT60">
        <v>10000</v>
      </c>
      <c r="FU60">
        <v>10000</v>
      </c>
      <c r="FV60">
        <v>10000</v>
      </c>
      <c r="FW60">
        <v>10000</v>
      </c>
      <c r="FX60">
        <v>10000</v>
      </c>
      <c r="FY60">
        <v>10000</v>
      </c>
      <c r="FZ60">
        <v>10000</v>
      </c>
      <c r="GA60">
        <v>10000</v>
      </c>
      <c r="GB60">
        <v>10000</v>
      </c>
      <c r="GC60">
        <v>10000</v>
      </c>
      <c r="GD60">
        <v>10000</v>
      </c>
      <c r="GE60">
        <v>10000</v>
      </c>
      <c r="GF60">
        <v>10000</v>
      </c>
      <c r="GG60">
        <v>10000</v>
      </c>
      <c r="GH60">
        <v>10000</v>
      </c>
      <c r="GI60">
        <v>10000</v>
      </c>
      <c r="GJ60">
        <v>10000</v>
      </c>
      <c r="GK60">
        <v>10000</v>
      </c>
      <c r="GL60">
        <v>10000</v>
      </c>
      <c r="GM60">
        <v>10000</v>
      </c>
      <c r="GN60">
        <v>10000</v>
      </c>
      <c r="GO60">
        <v>10000</v>
      </c>
      <c r="GP60">
        <v>10000</v>
      </c>
      <c r="GQ60">
        <v>10000</v>
      </c>
      <c r="GR60">
        <v>10000</v>
      </c>
      <c r="GS60">
        <v>10000</v>
      </c>
      <c r="GT60">
        <v>10000</v>
      </c>
      <c r="GU60">
        <v>10000</v>
      </c>
      <c r="GV60">
        <v>10000</v>
      </c>
      <c r="GW60">
        <v>10000</v>
      </c>
      <c r="GX60">
        <v>10000</v>
      </c>
      <c r="GY60">
        <v>10000</v>
      </c>
      <c r="GZ60">
        <v>10000</v>
      </c>
      <c r="HA60">
        <v>10000</v>
      </c>
      <c r="HB60">
        <v>10000</v>
      </c>
      <c r="HC60">
        <v>10000</v>
      </c>
      <c r="HD60">
        <v>10000</v>
      </c>
      <c r="HE60">
        <v>10000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row>
    <row r="61" spans="1:245" hidden="1">
      <c r="A61" s="343" t="s">
        <v>633</v>
      </c>
      <c r="B61" t="s">
        <v>1010</v>
      </c>
      <c r="F61">
        <v>2</v>
      </c>
      <c r="G61" s="431"/>
      <c r="H61">
        <v>7</v>
      </c>
      <c r="J61" t="str">
        <f t="shared" si="0"/>
        <v>SDJ200207</v>
      </c>
      <c r="K61">
        <v>262</v>
      </c>
      <c r="M61" s="343" t="s">
        <v>633</v>
      </c>
      <c r="N61" t="s">
        <v>1010</v>
      </c>
      <c r="O61">
        <v>2</v>
      </c>
      <c r="P61">
        <v>7</v>
      </c>
      <c r="Q61" s="184" t="str">
        <f t="shared" si="1"/>
        <v>SDJ200207</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10000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s="132"/>
      <c r="DZ61" s="343" t="s">
        <v>633</v>
      </c>
      <c r="EA61" t="s">
        <v>1010</v>
      </c>
      <c r="EB61">
        <v>2</v>
      </c>
      <c r="EC61">
        <v>7</v>
      </c>
      <c r="ED61" s="184" t="str">
        <f t="shared" si="2"/>
        <v>SDJ200207</v>
      </c>
      <c r="EE61">
        <v>10000</v>
      </c>
      <c r="EF61">
        <v>10000</v>
      </c>
      <c r="EG61">
        <v>10000</v>
      </c>
      <c r="EH61">
        <v>10000</v>
      </c>
      <c r="EI61">
        <v>10000</v>
      </c>
      <c r="EJ61">
        <v>10000</v>
      </c>
      <c r="EK61">
        <v>10000</v>
      </c>
      <c r="EL61">
        <v>10000</v>
      </c>
      <c r="EM61">
        <v>10000</v>
      </c>
      <c r="EN61">
        <v>10000</v>
      </c>
      <c r="EO61">
        <v>10000</v>
      </c>
      <c r="EP61">
        <v>10000</v>
      </c>
      <c r="EQ61">
        <v>10000</v>
      </c>
      <c r="ER61">
        <v>10000</v>
      </c>
      <c r="ES61">
        <v>10000</v>
      </c>
      <c r="ET61">
        <v>10000</v>
      </c>
      <c r="EU61">
        <v>10000</v>
      </c>
      <c r="EV61">
        <v>10000</v>
      </c>
      <c r="EW61">
        <v>10000</v>
      </c>
      <c r="EX61">
        <v>10000</v>
      </c>
      <c r="EY61">
        <v>10000</v>
      </c>
      <c r="EZ61">
        <v>10000</v>
      </c>
      <c r="FA61">
        <v>10000</v>
      </c>
      <c r="FB61">
        <v>10000</v>
      </c>
      <c r="FC61">
        <v>10000</v>
      </c>
      <c r="FD61">
        <v>10000</v>
      </c>
      <c r="FE61">
        <v>10000</v>
      </c>
      <c r="FF61">
        <v>10000</v>
      </c>
      <c r="FG61">
        <v>10000</v>
      </c>
      <c r="FH61">
        <v>10000</v>
      </c>
      <c r="FI61">
        <v>10000</v>
      </c>
      <c r="FJ61">
        <v>10000</v>
      </c>
      <c r="FK61">
        <v>10000</v>
      </c>
      <c r="FL61">
        <v>10000</v>
      </c>
      <c r="FM61">
        <v>10000</v>
      </c>
      <c r="FN61">
        <v>10000</v>
      </c>
      <c r="FO61">
        <v>10000</v>
      </c>
      <c r="FP61">
        <v>10000</v>
      </c>
      <c r="FQ61">
        <v>10000</v>
      </c>
      <c r="FR61">
        <v>10000</v>
      </c>
      <c r="FS61">
        <v>10000</v>
      </c>
      <c r="FT61">
        <v>10000</v>
      </c>
      <c r="FU61">
        <v>10000</v>
      </c>
      <c r="FV61">
        <v>10000</v>
      </c>
      <c r="FW61">
        <v>10000</v>
      </c>
      <c r="FX61">
        <v>10000</v>
      </c>
      <c r="FY61">
        <v>10000</v>
      </c>
      <c r="FZ61">
        <v>10000</v>
      </c>
      <c r="GA61">
        <v>10000</v>
      </c>
      <c r="GB61">
        <v>10000</v>
      </c>
      <c r="GC61">
        <v>10000</v>
      </c>
      <c r="GD61">
        <v>10000</v>
      </c>
      <c r="GE61">
        <v>10000</v>
      </c>
      <c r="GF61">
        <v>10000</v>
      </c>
      <c r="GG61">
        <v>10000</v>
      </c>
      <c r="GH61">
        <v>10000</v>
      </c>
      <c r="GI61">
        <v>10000</v>
      </c>
      <c r="GJ61">
        <v>10000</v>
      </c>
      <c r="GK61">
        <v>10000</v>
      </c>
      <c r="GL61">
        <v>10000</v>
      </c>
      <c r="GM61">
        <v>10000</v>
      </c>
      <c r="GN61">
        <v>10000</v>
      </c>
      <c r="GO61">
        <v>10000</v>
      </c>
      <c r="GP61">
        <v>10000</v>
      </c>
      <c r="GQ61">
        <v>10000</v>
      </c>
      <c r="GR61">
        <v>10000</v>
      </c>
      <c r="GS61">
        <v>10000</v>
      </c>
      <c r="GT61">
        <v>10000</v>
      </c>
      <c r="GU61">
        <v>10000</v>
      </c>
      <c r="GV61">
        <v>10000</v>
      </c>
      <c r="GW61">
        <v>10000</v>
      </c>
      <c r="GX61">
        <v>10000</v>
      </c>
      <c r="GY61">
        <v>10000</v>
      </c>
      <c r="GZ61">
        <v>10000</v>
      </c>
      <c r="HA61">
        <v>10000</v>
      </c>
      <c r="HB61">
        <v>10000</v>
      </c>
      <c r="HC61">
        <v>10000</v>
      </c>
      <c r="HD61">
        <v>10000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row>
    <row r="62" spans="1:245" hidden="1">
      <c r="A62" s="343" t="s">
        <v>633</v>
      </c>
      <c r="B62" t="s">
        <v>1010</v>
      </c>
      <c r="F62">
        <v>2</v>
      </c>
      <c r="G62" s="431"/>
      <c r="H62">
        <v>8</v>
      </c>
      <c r="J62" t="str">
        <f t="shared" si="0"/>
        <v>SDJ200208</v>
      </c>
      <c r="K62">
        <v>266</v>
      </c>
      <c r="M62" s="343" t="s">
        <v>633</v>
      </c>
      <c r="N62" t="s">
        <v>1010</v>
      </c>
      <c r="O62">
        <v>2</v>
      </c>
      <c r="P62">
        <v>8</v>
      </c>
      <c r="Q62" s="184" t="str">
        <f t="shared" si="1"/>
        <v>SDJ200208</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10000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s="132"/>
      <c r="DZ62" s="343" t="s">
        <v>633</v>
      </c>
      <c r="EA62" t="s">
        <v>1010</v>
      </c>
      <c r="EB62">
        <v>2</v>
      </c>
      <c r="EC62">
        <v>8</v>
      </c>
      <c r="ED62" s="184" t="str">
        <f t="shared" si="2"/>
        <v>SDJ200208</v>
      </c>
      <c r="EE62">
        <v>10000</v>
      </c>
      <c r="EF62">
        <v>10000</v>
      </c>
      <c r="EG62">
        <v>10000</v>
      </c>
      <c r="EH62">
        <v>10000</v>
      </c>
      <c r="EI62">
        <v>10000</v>
      </c>
      <c r="EJ62">
        <v>10000</v>
      </c>
      <c r="EK62">
        <v>10000</v>
      </c>
      <c r="EL62">
        <v>10000</v>
      </c>
      <c r="EM62">
        <v>10000</v>
      </c>
      <c r="EN62">
        <v>10000</v>
      </c>
      <c r="EO62">
        <v>10000</v>
      </c>
      <c r="EP62">
        <v>10000</v>
      </c>
      <c r="EQ62">
        <v>10000</v>
      </c>
      <c r="ER62">
        <v>10000</v>
      </c>
      <c r="ES62">
        <v>10000</v>
      </c>
      <c r="ET62">
        <v>10000</v>
      </c>
      <c r="EU62">
        <v>10000</v>
      </c>
      <c r="EV62">
        <v>10000</v>
      </c>
      <c r="EW62">
        <v>10000</v>
      </c>
      <c r="EX62">
        <v>10000</v>
      </c>
      <c r="EY62">
        <v>10000</v>
      </c>
      <c r="EZ62">
        <v>10000</v>
      </c>
      <c r="FA62">
        <v>10000</v>
      </c>
      <c r="FB62">
        <v>10000</v>
      </c>
      <c r="FC62">
        <v>10000</v>
      </c>
      <c r="FD62">
        <v>10000</v>
      </c>
      <c r="FE62">
        <v>10000</v>
      </c>
      <c r="FF62">
        <v>10000</v>
      </c>
      <c r="FG62">
        <v>10000</v>
      </c>
      <c r="FH62">
        <v>10000</v>
      </c>
      <c r="FI62">
        <v>10000</v>
      </c>
      <c r="FJ62">
        <v>10000</v>
      </c>
      <c r="FK62">
        <v>10000</v>
      </c>
      <c r="FL62">
        <v>10000</v>
      </c>
      <c r="FM62">
        <v>10000</v>
      </c>
      <c r="FN62">
        <v>10000</v>
      </c>
      <c r="FO62">
        <v>10000</v>
      </c>
      <c r="FP62">
        <v>10000</v>
      </c>
      <c r="FQ62">
        <v>10000</v>
      </c>
      <c r="FR62">
        <v>10000</v>
      </c>
      <c r="FS62">
        <v>10000</v>
      </c>
      <c r="FT62">
        <v>10000</v>
      </c>
      <c r="FU62">
        <v>10000</v>
      </c>
      <c r="FV62">
        <v>10000</v>
      </c>
      <c r="FW62">
        <v>10000</v>
      </c>
      <c r="FX62">
        <v>10000</v>
      </c>
      <c r="FY62">
        <v>10000</v>
      </c>
      <c r="FZ62">
        <v>10000</v>
      </c>
      <c r="GA62">
        <v>10000</v>
      </c>
      <c r="GB62">
        <v>10000</v>
      </c>
      <c r="GC62">
        <v>10000</v>
      </c>
      <c r="GD62">
        <v>10000</v>
      </c>
      <c r="GE62">
        <v>10000</v>
      </c>
      <c r="GF62">
        <v>10000</v>
      </c>
      <c r="GG62">
        <v>10000</v>
      </c>
      <c r="GH62">
        <v>10000</v>
      </c>
      <c r="GI62">
        <v>10000</v>
      </c>
      <c r="GJ62">
        <v>10000</v>
      </c>
      <c r="GK62">
        <v>10000</v>
      </c>
      <c r="GL62">
        <v>10000</v>
      </c>
      <c r="GM62">
        <v>10000</v>
      </c>
      <c r="GN62">
        <v>10000</v>
      </c>
      <c r="GO62">
        <v>10000</v>
      </c>
      <c r="GP62">
        <v>10000</v>
      </c>
      <c r="GQ62">
        <v>10000</v>
      </c>
      <c r="GR62">
        <v>10000</v>
      </c>
      <c r="GS62">
        <v>10000</v>
      </c>
      <c r="GT62">
        <v>10000</v>
      </c>
      <c r="GU62">
        <v>10000</v>
      </c>
      <c r="GV62">
        <v>10000</v>
      </c>
      <c r="GW62">
        <v>10000</v>
      </c>
      <c r="GX62">
        <v>10000</v>
      </c>
      <c r="GY62">
        <v>10000</v>
      </c>
      <c r="GZ62">
        <v>10000</v>
      </c>
      <c r="HA62">
        <v>10000</v>
      </c>
      <c r="HB62">
        <v>10000</v>
      </c>
      <c r="HC62">
        <v>10000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row>
    <row r="63" spans="1:245" hidden="1">
      <c r="A63" s="343" t="s">
        <v>633</v>
      </c>
      <c r="B63" t="s">
        <v>1010</v>
      </c>
      <c r="F63">
        <v>2</v>
      </c>
      <c r="G63" s="431"/>
      <c r="H63">
        <v>9</v>
      </c>
      <c r="J63" t="str">
        <f t="shared" si="0"/>
        <v>SDJ200209</v>
      </c>
      <c r="K63">
        <v>270</v>
      </c>
      <c r="M63" s="343" t="s">
        <v>633</v>
      </c>
      <c r="N63" t="s">
        <v>1010</v>
      </c>
      <c r="O63">
        <v>2</v>
      </c>
      <c r="P63">
        <v>9</v>
      </c>
      <c r="Q63" s="184" t="str">
        <f t="shared" si="1"/>
        <v>SDJ200209</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10000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s="132"/>
      <c r="DZ63" s="343" t="s">
        <v>633</v>
      </c>
      <c r="EA63" t="s">
        <v>1010</v>
      </c>
      <c r="EB63">
        <v>2</v>
      </c>
      <c r="EC63">
        <v>9</v>
      </c>
      <c r="ED63" s="184" t="str">
        <f t="shared" si="2"/>
        <v>SDJ200209</v>
      </c>
      <c r="EE63">
        <v>10000</v>
      </c>
      <c r="EF63">
        <v>10000</v>
      </c>
      <c r="EG63">
        <v>10000</v>
      </c>
      <c r="EH63">
        <v>10000</v>
      </c>
      <c r="EI63">
        <v>10000</v>
      </c>
      <c r="EJ63">
        <v>10000</v>
      </c>
      <c r="EK63">
        <v>10000</v>
      </c>
      <c r="EL63">
        <v>10000</v>
      </c>
      <c r="EM63">
        <v>10000</v>
      </c>
      <c r="EN63">
        <v>10000</v>
      </c>
      <c r="EO63">
        <v>10000</v>
      </c>
      <c r="EP63">
        <v>10000</v>
      </c>
      <c r="EQ63">
        <v>10000</v>
      </c>
      <c r="ER63">
        <v>10000</v>
      </c>
      <c r="ES63">
        <v>10000</v>
      </c>
      <c r="ET63">
        <v>10000</v>
      </c>
      <c r="EU63">
        <v>10000</v>
      </c>
      <c r="EV63">
        <v>10000</v>
      </c>
      <c r="EW63">
        <v>10000</v>
      </c>
      <c r="EX63">
        <v>10000</v>
      </c>
      <c r="EY63">
        <v>10000</v>
      </c>
      <c r="EZ63">
        <v>10000</v>
      </c>
      <c r="FA63">
        <v>10000</v>
      </c>
      <c r="FB63">
        <v>10000</v>
      </c>
      <c r="FC63">
        <v>10000</v>
      </c>
      <c r="FD63">
        <v>10000</v>
      </c>
      <c r="FE63">
        <v>10000</v>
      </c>
      <c r="FF63">
        <v>10000</v>
      </c>
      <c r="FG63">
        <v>10000</v>
      </c>
      <c r="FH63">
        <v>10000</v>
      </c>
      <c r="FI63">
        <v>10000</v>
      </c>
      <c r="FJ63">
        <v>10000</v>
      </c>
      <c r="FK63">
        <v>10000</v>
      </c>
      <c r="FL63">
        <v>10000</v>
      </c>
      <c r="FM63">
        <v>10000</v>
      </c>
      <c r="FN63">
        <v>10000</v>
      </c>
      <c r="FO63">
        <v>10000</v>
      </c>
      <c r="FP63">
        <v>10000</v>
      </c>
      <c r="FQ63">
        <v>10000</v>
      </c>
      <c r="FR63">
        <v>10000</v>
      </c>
      <c r="FS63">
        <v>10000</v>
      </c>
      <c r="FT63">
        <v>10000</v>
      </c>
      <c r="FU63">
        <v>10000</v>
      </c>
      <c r="FV63">
        <v>10000</v>
      </c>
      <c r="FW63">
        <v>10000</v>
      </c>
      <c r="FX63">
        <v>10000</v>
      </c>
      <c r="FY63">
        <v>10000</v>
      </c>
      <c r="FZ63">
        <v>10000</v>
      </c>
      <c r="GA63">
        <v>10000</v>
      </c>
      <c r="GB63">
        <v>10000</v>
      </c>
      <c r="GC63">
        <v>10000</v>
      </c>
      <c r="GD63">
        <v>10000</v>
      </c>
      <c r="GE63">
        <v>10000</v>
      </c>
      <c r="GF63">
        <v>10000</v>
      </c>
      <c r="GG63">
        <v>10000</v>
      </c>
      <c r="GH63">
        <v>10000</v>
      </c>
      <c r="GI63">
        <v>10000</v>
      </c>
      <c r="GJ63">
        <v>10000</v>
      </c>
      <c r="GK63">
        <v>10000</v>
      </c>
      <c r="GL63">
        <v>10000</v>
      </c>
      <c r="GM63">
        <v>10000</v>
      </c>
      <c r="GN63">
        <v>10000</v>
      </c>
      <c r="GO63">
        <v>10000</v>
      </c>
      <c r="GP63">
        <v>10000</v>
      </c>
      <c r="GQ63">
        <v>10000</v>
      </c>
      <c r="GR63">
        <v>10000</v>
      </c>
      <c r="GS63">
        <v>10000</v>
      </c>
      <c r="GT63">
        <v>10000</v>
      </c>
      <c r="GU63">
        <v>10000</v>
      </c>
      <c r="GV63">
        <v>10000</v>
      </c>
      <c r="GW63">
        <v>10000</v>
      </c>
      <c r="GX63">
        <v>10000</v>
      </c>
      <c r="GY63">
        <v>10000</v>
      </c>
      <c r="GZ63">
        <v>10000</v>
      </c>
      <c r="HA63">
        <v>10000</v>
      </c>
      <c r="HB63">
        <v>10000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row>
    <row r="64" spans="1:245" hidden="1">
      <c r="A64" s="343" t="s">
        <v>633</v>
      </c>
      <c r="B64" t="s">
        <v>1010</v>
      </c>
      <c r="F64">
        <v>2</v>
      </c>
      <c r="G64" s="431"/>
      <c r="H64">
        <v>10</v>
      </c>
      <c r="J64" t="str">
        <f t="shared" si="0"/>
        <v>SDJ200210</v>
      </c>
      <c r="K64">
        <v>274</v>
      </c>
      <c r="M64" s="343" t="s">
        <v>633</v>
      </c>
      <c r="N64" t="s">
        <v>1010</v>
      </c>
      <c r="O64">
        <v>2</v>
      </c>
      <c r="P64">
        <v>10</v>
      </c>
      <c r="Q64" s="184" t="str">
        <f t="shared" si="1"/>
        <v>SDJ200210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10000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s="132"/>
      <c r="DZ64" s="343" t="s">
        <v>633</v>
      </c>
      <c r="EA64" t="s">
        <v>1010</v>
      </c>
      <c r="EB64">
        <v>2</v>
      </c>
      <c r="EC64">
        <v>10</v>
      </c>
      <c r="ED64" s="184" t="str">
        <f t="shared" si="2"/>
        <v>SDJ200210</v>
      </c>
      <c r="EE64">
        <v>10000</v>
      </c>
      <c r="EF64">
        <v>10000</v>
      </c>
      <c r="EG64">
        <v>10000</v>
      </c>
      <c r="EH64">
        <v>10000</v>
      </c>
      <c r="EI64">
        <v>10000</v>
      </c>
      <c r="EJ64">
        <v>10000</v>
      </c>
      <c r="EK64">
        <v>10000</v>
      </c>
      <c r="EL64">
        <v>10000</v>
      </c>
      <c r="EM64">
        <v>10000</v>
      </c>
      <c r="EN64">
        <v>10000</v>
      </c>
      <c r="EO64">
        <v>10000</v>
      </c>
      <c r="EP64">
        <v>10000</v>
      </c>
      <c r="EQ64">
        <v>10000</v>
      </c>
      <c r="ER64">
        <v>10000</v>
      </c>
      <c r="ES64">
        <v>10000</v>
      </c>
      <c r="ET64">
        <v>10000</v>
      </c>
      <c r="EU64">
        <v>10000</v>
      </c>
      <c r="EV64">
        <v>10000</v>
      </c>
      <c r="EW64">
        <v>10000</v>
      </c>
      <c r="EX64">
        <v>10000</v>
      </c>
      <c r="EY64">
        <v>10000</v>
      </c>
      <c r="EZ64">
        <v>10000</v>
      </c>
      <c r="FA64">
        <v>10000</v>
      </c>
      <c r="FB64">
        <v>10000</v>
      </c>
      <c r="FC64">
        <v>10000</v>
      </c>
      <c r="FD64">
        <v>10000</v>
      </c>
      <c r="FE64">
        <v>10000</v>
      </c>
      <c r="FF64">
        <v>10000</v>
      </c>
      <c r="FG64">
        <v>10000</v>
      </c>
      <c r="FH64">
        <v>10000</v>
      </c>
      <c r="FI64">
        <v>10000</v>
      </c>
      <c r="FJ64">
        <v>10000</v>
      </c>
      <c r="FK64">
        <v>10000</v>
      </c>
      <c r="FL64">
        <v>10000</v>
      </c>
      <c r="FM64">
        <v>10000</v>
      </c>
      <c r="FN64">
        <v>10000</v>
      </c>
      <c r="FO64">
        <v>10000</v>
      </c>
      <c r="FP64">
        <v>10000</v>
      </c>
      <c r="FQ64">
        <v>10000</v>
      </c>
      <c r="FR64">
        <v>10000</v>
      </c>
      <c r="FS64">
        <v>10000</v>
      </c>
      <c r="FT64">
        <v>10000</v>
      </c>
      <c r="FU64">
        <v>10000</v>
      </c>
      <c r="FV64">
        <v>10000</v>
      </c>
      <c r="FW64">
        <v>10000</v>
      </c>
      <c r="FX64">
        <v>10000</v>
      </c>
      <c r="FY64">
        <v>10000</v>
      </c>
      <c r="FZ64">
        <v>10000</v>
      </c>
      <c r="GA64">
        <v>10000</v>
      </c>
      <c r="GB64">
        <v>10000</v>
      </c>
      <c r="GC64">
        <v>10000</v>
      </c>
      <c r="GD64">
        <v>10000</v>
      </c>
      <c r="GE64">
        <v>10000</v>
      </c>
      <c r="GF64">
        <v>10000</v>
      </c>
      <c r="GG64">
        <v>10000</v>
      </c>
      <c r="GH64">
        <v>10000</v>
      </c>
      <c r="GI64">
        <v>10000</v>
      </c>
      <c r="GJ64">
        <v>10000</v>
      </c>
      <c r="GK64">
        <v>10000</v>
      </c>
      <c r="GL64">
        <v>10000</v>
      </c>
      <c r="GM64">
        <v>10000</v>
      </c>
      <c r="GN64">
        <v>10000</v>
      </c>
      <c r="GO64">
        <v>10000</v>
      </c>
      <c r="GP64">
        <v>10000</v>
      </c>
      <c r="GQ64">
        <v>10000</v>
      </c>
      <c r="GR64">
        <v>10000</v>
      </c>
      <c r="GS64">
        <v>10000</v>
      </c>
      <c r="GT64">
        <v>10000</v>
      </c>
      <c r="GU64">
        <v>10000</v>
      </c>
      <c r="GV64">
        <v>10000</v>
      </c>
      <c r="GW64">
        <v>10000</v>
      </c>
      <c r="GX64">
        <v>10000</v>
      </c>
      <c r="GY64">
        <v>10000</v>
      </c>
      <c r="GZ64">
        <v>10000</v>
      </c>
      <c r="HA64">
        <v>10000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row>
    <row r="65" spans="1:245" hidden="1">
      <c r="A65" s="343" t="s">
        <v>633</v>
      </c>
      <c r="B65" t="s">
        <v>1010</v>
      </c>
      <c r="F65">
        <v>2</v>
      </c>
      <c r="G65" s="431"/>
      <c r="H65">
        <v>11</v>
      </c>
      <c r="J65" t="str">
        <f t="shared" si="0"/>
        <v>SDJ200211</v>
      </c>
      <c r="K65">
        <v>281</v>
      </c>
      <c r="M65" s="343" t="s">
        <v>633</v>
      </c>
      <c r="N65" t="s">
        <v>1010</v>
      </c>
      <c r="O65">
        <v>2</v>
      </c>
      <c r="P65">
        <v>11</v>
      </c>
      <c r="Q65" s="184" t="str">
        <f t="shared" si="1"/>
        <v>SDJ200211</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10000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s="132"/>
      <c r="DZ65" s="343" t="s">
        <v>633</v>
      </c>
      <c r="EA65" t="s">
        <v>1010</v>
      </c>
      <c r="EB65">
        <v>2</v>
      </c>
      <c r="EC65">
        <v>11</v>
      </c>
      <c r="ED65" s="184" t="str">
        <f t="shared" si="2"/>
        <v>SDJ200211</v>
      </c>
      <c r="EE65">
        <v>10000</v>
      </c>
      <c r="EF65">
        <v>10000</v>
      </c>
      <c r="EG65">
        <v>10000</v>
      </c>
      <c r="EH65">
        <v>10000</v>
      </c>
      <c r="EI65">
        <v>10000</v>
      </c>
      <c r="EJ65">
        <v>10000</v>
      </c>
      <c r="EK65">
        <v>10000</v>
      </c>
      <c r="EL65">
        <v>10000</v>
      </c>
      <c r="EM65">
        <v>10000</v>
      </c>
      <c r="EN65">
        <v>10000</v>
      </c>
      <c r="EO65">
        <v>10000</v>
      </c>
      <c r="EP65">
        <v>10000</v>
      </c>
      <c r="EQ65">
        <v>10000</v>
      </c>
      <c r="ER65">
        <v>10000</v>
      </c>
      <c r="ES65">
        <v>10000</v>
      </c>
      <c r="ET65">
        <v>10000</v>
      </c>
      <c r="EU65">
        <v>10000</v>
      </c>
      <c r="EV65">
        <v>10000</v>
      </c>
      <c r="EW65">
        <v>10000</v>
      </c>
      <c r="EX65">
        <v>10000</v>
      </c>
      <c r="EY65">
        <v>10000</v>
      </c>
      <c r="EZ65">
        <v>10000</v>
      </c>
      <c r="FA65">
        <v>10000</v>
      </c>
      <c r="FB65">
        <v>10000</v>
      </c>
      <c r="FC65">
        <v>10000</v>
      </c>
      <c r="FD65">
        <v>10000</v>
      </c>
      <c r="FE65">
        <v>10000</v>
      </c>
      <c r="FF65">
        <v>10000</v>
      </c>
      <c r="FG65">
        <v>10000</v>
      </c>
      <c r="FH65">
        <v>10000</v>
      </c>
      <c r="FI65">
        <v>10000</v>
      </c>
      <c r="FJ65">
        <v>10000</v>
      </c>
      <c r="FK65">
        <v>10000</v>
      </c>
      <c r="FL65">
        <v>10000</v>
      </c>
      <c r="FM65">
        <v>10000</v>
      </c>
      <c r="FN65">
        <v>10000</v>
      </c>
      <c r="FO65">
        <v>10000</v>
      </c>
      <c r="FP65">
        <v>10000</v>
      </c>
      <c r="FQ65">
        <v>10000</v>
      </c>
      <c r="FR65">
        <v>10000</v>
      </c>
      <c r="FS65">
        <v>10000</v>
      </c>
      <c r="FT65">
        <v>10000</v>
      </c>
      <c r="FU65">
        <v>10000</v>
      </c>
      <c r="FV65">
        <v>10000</v>
      </c>
      <c r="FW65">
        <v>10000</v>
      </c>
      <c r="FX65">
        <v>10000</v>
      </c>
      <c r="FY65">
        <v>10000</v>
      </c>
      <c r="FZ65">
        <v>10000</v>
      </c>
      <c r="GA65">
        <v>10000</v>
      </c>
      <c r="GB65">
        <v>10000</v>
      </c>
      <c r="GC65">
        <v>10000</v>
      </c>
      <c r="GD65">
        <v>10000</v>
      </c>
      <c r="GE65">
        <v>10000</v>
      </c>
      <c r="GF65">
        <v>10000</v>
      </c>
      <c r="GG65">
        <v>10000</v>
      </c>
      <c r="GH65">
        <v>10000</v>
      </c>
      <c r="GI65">
        <v>10000</v>
      </c>
      <c r="GJ65">
        <v>10000</v>
      </c>
      <c r="GK65">
        <v>10000</v>
      </c>
      <c r="GL65">
        <v>10000</v>
      </c>
      <c r="GM65">
        <v>10000</v>
      </c>
      <c r="GN65">
        <v>10000</v>
      </c>
      <c r="GO65">
        <v>10000</v>
      </c>
      <c r="GP65">
        <v>10000</v>
      </c>
      <c r="GQ65">
        <v>10000</v>
      </c>
      <c r="GR65">
        <v>10000</v>
      </c>
      <c r="GS65">
        <v>10000</v>
      </c>
      <c r="GT65">
        <v>10000</v>
      </c>
      <c r="GU65">
        <v>10000</v>
      </c>
      <c r="GV65">
        <v>10000</v>
      </c>
      <c r="GW65">
        <v>10000</v>
      </c>
      <c r="GX65">
        <v>10000</v>
      </c>
      <c r="GY65">
        <v>10000</v>
      </c>
      <c r="GZ65">
        <v>10000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row>
    <row r="66" spans="1:245" hidden="1">
      <c r="A66" s="343" t="s">
        <v>633</v>
      </c>
      <c r="B66" t="s">
        <v>1010</v>
      </c>
      <c r="F66">
        <v>2</v>
      </c>
      <c r="G66" s="431"/>
      <c r="H66">
        <v>12</v>
      </c>
      <c r="J66" t="str">
        <f t="shared" ref="J66:J104" si="3">B66&amp;TEXT(F66,"00")&amp;TEXT(H66,"00")</f>
        <v>SDJ200212</v>
      </c>
      <c r="K66">
        <v>288</v>
      </c>
      <c r="M66" s="343" t="s">
        <v>633</v>
      </c>
      <c r="N66" t="s">
        <v>1010</v>
      </c>
      <c r="O66">
        <v>2</v>
      </c>
      <c r="P66">
        <v>12</v>
      </c>
      <c r="Q66" s="184" t="str">
        <f t="shared" ref="Q66:Q104" si="4">N66&amp;TEXT(O66,"00")&amp;TEXT(P66,"00")</f>
        <v>SDJ200212</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10000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s="132"/>
      <c r="DZ66" s="343" t="s">
        <v>633</v>
      </c>
      <c r="EA66" t="s">
        <v>1010</v>
      </c>
      <c r="EB66">
        <v>2</v>
      </c>
      <c r="EC66">
        <v>12</v>
      </c>
      <c r="ED66" s="184" t="str">
        <f t="shared" ref="ED66:ED104" si="5">EA66&amp;TEXT(EB66,"00")&amp;TEXT(EC66,"00")</f>
        <v>SDJ200212</v>
      </c>
      <c r="EE66">
        <v>10000</v>
      </c>
      <c r="EF66">
        <v>10000</v>
      </c>
      <c r="EG66">
        <v>10000</v>
      </c>
      <c r="EH66">
        <v>10000</v>
      </c>
      <c r="EI66">
        <v>10000</v>
      </c>
      <c r="EJ66">
        <v>10000</v>
      </c>
      <c r="EK66">
        <v>10000</v>
      </c>
      <c r="EL66">
        <v>10000</v>
      </c>
      <c r="EM66">
        <v>10000</v>
      </c>
      <c r="EN66">
        <v>10000</v>
      </c>
      <c r="EO66">
        <v>10000</v>
      </c>
      <c r="EP66">
        <v>10000</v>
      </c>
      <c r="EQ66">
        <v>10000</v>
      </c>
      <c r="ER66">
        <v>10000</v>
      </c>
      <c r="ES66">
        <v>10000</v>
      </c>
      <c r="ET66">
        <v>10000</v>
      </c>
      <c r="EU66">
        <v>10000</v>
      </c>
      <c r="EV66">
        <v>10000</v>
      </c>
      <c r="EW66">
        <v>10000</v>
      </c>
      <c r="EX66">
        <v>10000</v>
      </c>
      <c r="EY66">
        <v>10000</v>
      </c>
      <c r="EZ66">
        <v>10000</v>
      </c>
      <c r="FA66">
        <v>10000</v>
      </c>
      <c r="FB66">
        <v>10000</v>
      </c>
      <c r="FC66">
        <v>10000</v>
      </c>
      <c r="FD66">
        <v>10000</v>
      </c>
      <c r="FE66">
        <v>10000</v>
      </c>
      <c r="FF66">
        <v>10000</v>
      </c>
      <c r="FG66">
        <v>10000</v>
      </c>
      <c r="FH66">
        <v>10000</v>
      </c>
      <c r="FI66">
        <v>10000</v>
      </c>
      <c r="FJ66">
        <v>10000</v>
      </c>
      <c r="FK66">
        <v>10000</v>
      </c>
      <c r="FL66">
        <v>10000</v>
      </c>
      <c r="FM66">
        <v>10000</v>
      </c>
      <c r="FN66">
        <v>10000</v>
      </c>
      <c r="FO66">
        <v>10000</v>
      </c>
      <c r="FP66">
        <v>10000</v>
      </c>
      <c r="FQ66">
        <v>10000</v>
      </c>
      <c r="FR66">
        <v>10000</v>
      </c>
      <c r="FS66">
        <v>10000</v>
      </c>
      <c r="FT66">
        <v>10000</v>
      </c>
      <c r="FU66">
        <v>10000</v>
      </c>
      <c r="FV66">
        <v>10000</v>
      </c>
      <c r="FW66">
        <v>10000</v>
      </c>
      <c r="FX66">
        <v>10000</v>
      </c>
      <c r="FY66">
        <v>10000</v>
      </c>
      <c r="FZ66">
        <v>10000</v>
      </c>
      <c r="GA66">
        <v>10000</v>
      </c>
      <c r="GB66">
        <v>10000</v>
      </c>
      <c r="GC66">
        <v>10000</v>
      </c>
      <c r="GD66">
        <v>10000</v>
      </c>
      <c r="GE66">
        <v>10000</v>
      </c>
      <c r="GF66">
        <v>10000</v>
      </c>
      <c r="GG66">
        <v>10000</v>
      </c>
      <c r="GH66">
        <v>10000</v>
      </c>
      <c r="GI66">
        <v>10000</v>
      </c>
      <c r="GJ66">
        <v>10000</v>
      </c>
      <c r="GK66">
        <v>10000</v>
      </c>
      <c r="GL66">
        <v>10000</v>
      </c>
      <c r="GM66">
        <v>10000</v>
      </c>
      <c r="GN66">
        <v>10000</v>
      </c>
      <c r="GO66">
        <v>10000</v>
      </c>
      <c r="GP66">
        <v>10000</v>
      </c>
      <c r="GQ66">
        <v>10000</v>
      </c>
      <c r="GR66">
        <v>10000</v>
      </c>
      <c r="GS66">
        <v>10000</v>
      </c>
      <c r="GT66">
        <v>10000</v>
      </c>
      <c r="GU66">
        <v>10000</v>
      </c>
      <c r="GV66">
        <v>10000</v>
      </c>
      <c r="GW66">
        <v>10000</v>
      </c>
      <c r="GX66">
        <v>10000</v>
      </c>
      <c r="GY66">
        <v>10000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row>
    <row r="67" spans="1:245" hidden="1">
      <c r="A67" s="343" t="s">
        <v>633</v>
      </c>
      <c r="B67" t="s">
        <v>1010</v>
      </c>
      <c r="F67">
        <v>2</v>
      </c>
      <c r="G67" s="431"/>
      <c r="H67">
        <v>13</v>
      </c>
      <c r="J67" t="str">
        <f t="shared" si="3"/>
        <v>SDJ200213</v>
      </c>
      <c r="K67">
        <v>295</v>
      </c>
      <c r="M67" s="343" t="s">
        <v>633</v>
      </c>
      <c r="N67" t="s">
        <v>1010</v>
      </c>
      <c r="O67">
        <v>2</v>
      </c>
      <c r="P67">
        <v>13</v>
      </c>
      <c r="Q67" s="184" t="str">
        <f t="shared" si="4"/>
        <v>SDJ200213</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10000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s="132"/>
      <c r="DZ67" s="343" t="s">
        <v>633</v>
      </c>
      <c r="EA67" t="s">
        <v>1010</v>
      </c>
      <c r="EB67">
        <v>2</v>
      </c>
      <c r="EC67">
        <v>13</v>
      </c>
      <c r="ED67" s="184" t="str">
        <f t="shared" si="5"/>
        <v>SDJ200213</v>
      </c>
      <c r="EE67">
        <v>10000</v>
      </c>
      <c r="EF67">
        <v>10000</v>
      </c>
      <c r="EG67">
        <v>10000</v>
      </c>
      <c r="EH67">
        <v>10000</v>
      </c>
      <c r="EI67">
        <v>10000</v>
      </c>
      <c r="EJ67">
        <v>10000</v>
      </c>
      <c r="EK67">
        <v>10000</v>
      </c>
      <c r="EL67">
        <v>10000</v>
      </c>
      <c r="EM67">
        <v>10000</v>
      </c>
      <c r="EN67">
        <v>10000</v>
      </c>
      <c r="EO67">
        <v>10000</v>
      </c>
      <c r="EP67">
        <v>10000</v>
      </c>
      <c r="EQ67">
        <v>10000</v>
      </c>
      <c r="ER67">
        <v>10000</v>
      </c>
      <c r="ES67">
        <v>10000</v>
      </c>
      <c r="ET67">
        <v>10000</v>
      </c>
      <c r="EU67">
        <v>10000</v>
      </c>
      <c r="EV67">
        <v>10000</v>
      </c>
      <c r="EW67">
        <v>10000</v>
      </c>
      <c r="EX67">
        <v>10000</v>
      </c>
      <c r="EY67">
        <v>10000</v>
      </c>
      <c r="EZ67">
        <v>10000</v>
      </c>
      <c r="FA67">
        <v>10000</v>
      </c>
      <c r="FB67">
        <v>10000</v>
      </c>
      <c r="FC67">
        <v>10000</v>
      </c>
      <c r="FD67">
        <v>10000</v>
      </c>
      <c r="FE67">
        <v>10000</v>
      </c>
      <c r="FF67">
        <v>10000</v>
      </c>
      <c r="FG67">
        <v>10000</v>
      </c>
      <c r="FH67">
        <v>10000</v>
      </c>
      <c r="FI67">
        <v>10000</v>
      </c>
      <c r="FJ67">
        <v>10000</v>
      </c>
      <c r="FK67">
        <v>10000</v>
      </c>
      <c r="FL67">
        <v>10000</v>
      </c>
      <c r="FM67">
        <v>10000</v>
      </c>
      <c r="FN67">
        <v>10000</v>
      </c>
      <c r="FO67">
        <v>10000</v>
      </c>
      <c r="FP67">
        <v>10000</v>
      </c>
      <c r="FQ67">
        <v>10000</v>
      </c>
      <c r="FR67">
        <v>10000</v>
      </c>
      <c r="FS67">
        <v>10000</v>
      </c>
      <c r="FT67">
        <v>10000</v>
      </c>
      <c r="FU67">
        <v>10000</v>
      </c>
      <c r="FV67">
        <v>10000</v>
      </c>
      <c r="FW67">
        <v>10000</v>
      </c>
      <c r="FX67">
        <v>10000</v>
      </c>
      <c r="FY67">
        <v>10000</v>
      </c>
      <c r="FZ67">
        <v>10000</v>
      </c>
      <c r="GA67">
        <v>10000</v>
      </c>
      <c r="GB67">
        <v>10000</v>
      </c>
      <c r="GC67">
        <v>10000</v>
      </c>
      <c r="GD67">
        <v>10000</v>
      </c>
      <c r="GE67">
        <v>10000</v>
      </c>
      <c r="GF67">
        <v>10000</v>
      </c>
      <c r="GG67">
        <v>10000</v>
      </c>
      <c r="GH67">
        <v>10000</v>
      </c>
      <c r="GI67">
        <v>10000</v>
      </c>
      <c r="GJ67">
        <v>10000</v>
      </c>
      <c r="GK67">
        <v>10000</v>
      </c>
      <c r="GL67">
        <v>10000</v>
      </c>
      <c r="GM67">
        <v>10000</v>
      </c>
      <c r="GN67">
        <v>10000</v>
      </c>
      <c r="GO67">
        <v>10000</v>
      </c>
      <c r="GP67">
        <v>10000</v>
      </c>
      <c r="GQ67">
        <v>10000</v>
      </c>
      <c r="GR67">
        <v>10000</v>
      </c>
      <c r="GS67">
        <v>10000</v>
      </c>
      <c r="GT67">
        <v>10000</v>
      </c>
      <c r="GU67">
        <v>10000</v>
      </c>
      <c r="GV67">
        <v>10000</v>
      </c>
      <c r="GW67">
        <v>10000</v>
      </c>
      <c r="GX67">
        <v>10000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row>
    <row r="68" spans="1:245" hidden="1">
      <c r="A68" s="343" t="s">
        <v>633</v>
      </c>
      <c r="B68" t="s">
        <v>1010</v>
      </c>
      <c r="F68">
        <v>2</v>
      </c>
      <c r="G68" s="431"/>
      <c r="H68">
        <v>14</v>
      </c>
      <c r="J68" t="str">
        <f t="shared" si="3"/>
        <v>SDJ200214</v>
      </c>
      <c r="K68">
        <v>302</v>
      </c>
      <c r="M68" s="343" t="s">
        <v>633</v>
      </c>
      <c r="N68" t="s">
        <v>1010</v>
      </c>
      <c r="O68">
        <v>2</v>
      </c>
      <c r="P68">
        <v>14</v>
      </c>
      <c r="Q68" s="184" t="str">
        <f t="shared" si="4"/>
        <v>SDJ200214</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10000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s="132"/>
      <c r="DZ68" s="343" t="s">
        <v>633</v>
      </c>
      <c r="EA68" t="s">
        <v>1010</v>
      </c>
      <c r="EB68">
        <v>2</v>
      </c>
      <c r="EC68">
        <v>14</v>
      </c>
      <c r="ED68" s="184" t="str">
        <f t="shared" si="5"/>
        <v>SDJ200214</v>
      </c>
      <c r="EE68">
        <v>10000</v>
      </c>
      <c r="EF68">
        <v>10000</v>
      </c>
      <c r="EG68">
        <v>10000</v>
      </c>
      <c r="EH68">
        <v>10000</v>
      </c>
      <c r="EI68">
        <v>10000</v>
      </c>
      <c r="EJ68">
        <v>10000</v>
      </c>
      <c r="EK68">
        <v>10000</v>
      </c>
      <c r="EL68">
        <v>10000</v>
      </c>
      <c r="EM68">
        <v>10000</v>
      </c>
      <c r="EN68">
        <v>10000</v>
      </c>
      <c r="EO68">
        <v>10000</v>
      </c>
      <c r="EP68">
        <v>10000</v>
      </c>
      <c r="EQ68">
        <v>10000</v>
      </c>
      <c r="ER68">
        <v>10000</v>
      </c>
      <c r="ES68">
        <v>10000</v>
      </c>
      <c r="ET68">
        <v>10000</v>
      </c>
      <c r="EU68">
        <v>10000</v>
      </c>
      <c r="EV68">
        <v>10000</v>
      </c>
      <c r="EW68">
        <v>10000</v>
      </c>
      <c r="EX68">
        <v>10000</v>
      </c>
      <c r="EY68">
        <v>10000</v>
      </c>
      <c r="EZ68">
        <v>10000</v>
      </c>
      <c r="FA68">
        <v>10000</v>
      </c>
      <c r="FB68">
        <v>10000</v>
      </c>
      <c r="FC68">
        <v>10000</v>
      </c>
      <c r="FD68">
        <v>10000</v>
      </c>
      <c r="FE68">
        <v>10000</v>
      </c>
      <c r="FF68">
        <v>10000</v>
      </c>
      <c r="FG68">
        <v>10000</v>
      </c>
      <c r="FH68">
        <v>10000</v>
      </c>
      <c r="FI68">
        <v>10000</v>
      </c>
      <c r="FJ68">
        <v>10000</v>
      </c>
      <c r="FK68">
        <v>10000</v>
      </c>
      <c r="FL68">
        <v>10000</v>
      </c>
      <c r="FM68">
        <v>10000</v>
      </c>
      <c r="FN68">
        <v>10000</v>
      </c>
      <c r="FO68">
        <v>10000</v>
      </c>
      <c r="FP68">
        <v>10000</v>
      </c>
      <c r="FQ68">
        <v>10000</v>
      </c>
      <c r="FR68">
        <v>10000</v>
      </c>
      <c r="FS68">
        <v>10000</v>
      </c>
      <c r="FT68">
        <v>10000</v>
      </c>
      <c r="FU68">
        <v>10000</v>
      </c>
      <c r="FV68">
        <v>10000</v>
      </c>
      <c r="FW68">
        <v>10000</v>
      </c>
      <c r="FX68">
        <v>10000</v>
      </c>
      <c r="FY68">
        <v>10000</v>
      </c>
      <c r="FZ68">
        <v>10000</v>
      </c>
      <c r="GA68">
        <v>10000</v>
      </c>
      <c r="GB68">
        <v>10000</v>
      </c>
      <c r="GC68">
        <v>10000</v>
      </c>
      <c r="GD68">
        <v>10000</v>
      </c>
      <c r="GE68">
        <v>10000</v>
      </c>
      <c r="GF68">
        <v>10000</v>
      </c>
      <c r="GG68">
        <v>10000</v>
      </c>
      <c r="GH68">
        <v>10000</v>
      </c>
      <c r="GI68">
        <v>10000</v>
      </c>
      <c r="GJ68">
        <v>10000</v>
      </c>
      <c r="GK68">
        <v>10000</v>
      </c>
      <c r="GL68">
        <v>10000</v>
      </c>
      <c r="GM68">
        <v>10000</v>
      </c>
      <c r="GN68">
        <v>10000</v>
      </c>
      <c r="GO68">
        <v>10000</v>
      </c>
      <c r="GP68">
        <v>10000</v>
      </c>
      <c r="GQ68">
        <v>10000</v>
      </c>
      <c r="GR68">
        <v>10000</v>
      </c>
      <c r="GS68">
        <v>10000</v>
      </c>
      <c r="GT68">
        <v>10000</v>
      </c>
      <c r="GU68">
        <v>10000</v>
      </c>
      <c r="GV68">
        <v>10000</v>
      </c>
      <c r="GW68">
        <v>10000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row>
    <row r="69" spans="1:245" hidden="1">
      <c r="A69" s="343" t="s">
        <v>633</v>
      </c>
      <c r="B69" t="s">
        <v>1010</v>
      </c>
      <c r="F69">
        <v>2</v>
      </c>
      <c r="G69" s="431"/>
      <c r="H69">
        <v>15</v>
      </c>
      <c r="J69" t="str">
        <f t="shared" si="3"/>
        <v>SDJ200215</v>
      </c>
      <c r="K69">
        <v>310</v>
      </c>
      <c r="M69" s="343" t="s">
        <v>633</v>
      </c>
      <c r="N69" t="s">
        <v>1010</v>
      </c>
      <c r="O69">
        <v>2</v>
      </c>
      <c r="P69">
        <v>15</v>
      </c>
      <c r="Q69" s="184" t="str">
        <f t="shared" si="4"/>
        <v>SDJ200215</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10000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s="132"/>
      <c r="DZ69" s="343" t="s">
        <v>633</v>
      </c>
      <c r="EA69" t="s">
        <v>1010</v>
      </c>
      <c r="EB69">
        <v>2</v>
      </c>
      <c r="EC69">
        <v>15</v>
      </c>
      <c r="ED69" s="184" t="str">
        <f t="shared" si="5"/>
        <v>SDJ200215</v>
      </c>
      <c r="EE69">
        <v>10000</v>
      </c>
      <c r="EF69">
        <v>10000</v>
      </c>
      <c r="EG69">
        <v>10000</v>
      </c>
      <c r="EH69">
        <v>10000</v>
      </c>
      <c r="EI69">
        <v>10000</v>
      </c>
      <c r="EJ69">
        <v>10000</v>
      </c>
      <c r="EK69">
        <v>10000</v>
      </c>
      <c r="EL69">
        <v>10000</v>
      </c>
      <c r="EM69">
        <v>10000</v>
      </c>
      <c r="EN69">
        <v>10000</v>
      </c>
      <c r="EO69">
        <v>10000</v>
      </c>
      <c r="EP69">
        <v>10000</v>
      </c>
      <c r="EQ69">
        <v>10000</v>
      </c>
      <c r="ER69">
        <v>10000</v>
      </c>
      <c r="ES69">
        <v>10000</v>
      </c>
      <c r="ET69">
        <v>10000</v>
      </c>
      <c r="EU69">
        <v>10000</v>
      </c>
      <c r="EV69">
        <v>10000</v>
      </c>
      <c r="EW69">
        <v>10000</v>
      </c>
      <c r="EX69">
        <v>10000</v>
      </c>
      <c r="EY69">
        <v>10000</v>
      </c>
      <c r="EZ69">
        <v>10000</v>
      </c>
      <c r="FA69">
        <v>10000</v>
      </c>
      <c r="FB69">
        <v>10000</v>
      </c>
      <c r="FC69">
        <v>10000</v>
      </c>
      <c r="FD69">
        <v>10000</v>
      </c>
      <c r="FE69">
        <v>10000</v>
      </c>
      <c r="FF69">
        <v>10000</v>
      </c>
      <c r="FG69">
        <v>10000</v>
      </c>
      <c r="FH69">
        <v>10000</v>
      </c>
      <c r="FI69">
        <v>10000</v>
      </c>
      <c r="FJ69">
        <v>10000</v>
      </c>
      <c r="FK69">
        <v>10000</v>
      </c>
      <c r="FL69">
        <v>10000</v>
      </c>
      <c r="FM69">
        <v>10000</v>
      </c>
      <c r="FN69">
        <v>10000</v>
      </c>
      <c r="FO69">
        <v>10000</v>
      </c>
      <c r="FP69">
        <v>10000</v>
      </c>
      <c r="FQ69">
        <v>10000</v>
      </c>
      <c r="FR69">
        <v>10000</v>
      </c>
      <c r="FS69">
        <v>10000</v>
      </c>
      <c r="FT69">
        <v>10000</v>
      </c>
      <c r="FU69">
        <v>10000</v>
      </c>
      <c r="FV69">
        <v>10000</v>
      </c>
      <c r="FW69">
        <v>10000</v>
      </c>
      <c r="FX69">
        <v>10000</v>
      </c>
      <c r="FY69">
        <v>10000</v>
      </c>
      <c r="FZ69">
        <v>10000</v>
      </c>
      <c r="GA69">
        <v>10000</v>
      </c>
      <c r="GB69">
        <v>10000</v>
      </c>
      <c r="GC69">
        <v>10000</v>
      </c>
      <c r="GD69">
        <v>10000</v>
      </c>
      <c r="GE69">
        <v>10000</v>
      </c>
      <c r="GF69">
        <v>10000</v>
      </c>
      <c r="GG69">
        <v>10000</v>
      </c>
      <c r="GH69">
        <v>10000</v>
      </c>
      <c r="GI69">
        <v>10000</v>
      </c>
      <c r="GJ69">
        <v>10000</v>
      </c>
      <c r="GK69">
        <v>10000</v>
      </c>
      <c r="GL69">
        <v>10000</v>
      </c>
      <c r="GM69">
        <v>10000</v>
      </c>
      <c r="GN69">
        <v>10000</v>
      </c>
      <c r="GO69">
        <v>10000</v>
      </c>
      <c r="GP69">
        <v>10000</v>
      </c>
      <c r="GQ69">
        <v>10000</v>
      </c>
      <c r="GR69">
        <v>10000</v>
      </c>
      <c r="GS69">
        <v>10000</v>
      </c>
      <c r="GT69">
        <v>10000</v>
      </c>
      <c r="GU69">
        <v>10000</v>
      </c>
      <c r="GV69">
        <v>10000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row>
    <row r="70" spans="1:245" hidden="1">
      <c r="A70" s="343" t="s">
        <v>633</v>
      </c>
      <c r="B70" t="s">
        <v>1010</v>
      </c>
      <c r="F70">
        <v>2</v>
      </c>
      <c r="G70" s="431"/>
      <c r="H70">
        <v>16</v>
      </c>
      <c r="J70" t="str">
        <f t="shared" si="3"/>
        <v>SDJ200216</v>
      </c>
      <c r="K70">
        <v>317</v>
      </c>
      <c r="M70" s="343" t="s">
        <v>633</v>
      </c>
      <c r="N70" t="s">
        <v>1010</v>
      </c>
      <c r="O70">
        <v>2</v>
      </c>
      <c r="P70">
        <v>16</v>
      </c>
      <c r="Q70" s="184" t="str">
        <f t="shared" si="4"/>
        <v>SDJ200216</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10000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s="132"/>
      <c r="DZ70" s="343" t="s">
        <v>633</v>
      </c>
      <c r="EA70" t="s">
        <v>1010</v>
      </c>
      <c r="EB70">
        <v>2</v>
      </c>
      <c r="EC70">
        <v>16</v>
      </c>
      <c r="ED70" s="184" t="str">
        <f t="shared" si="5"/>
        <v>SDJ200216</v>
      </c>
      <c r="EE70">
        <v>10000</v>
      </c>
      <c r="EF70">
        <v>10000</v>
      </c>
      <c r="EG70">
        <v>10000</v>
      </c>
      <c r="EH70">
        <v>10000</v>
      </c>
      <c r="EI70">
        <v>10000</v>
      </c>
      <c r="EJ70">
        <v>10000</v>
      </c>
      <c r="EK70">
        <v>10000</v>
      </c>
      <c r="EL70">
        <v>10000</v>
      </c>
      <c r="EM70">
        <v>10000</v>
      </c>
      <c r="EN70">
        <v>10000</v>
      </c>
      <c r="EO70">
        <v>10000</v>
      </c>
      <c r="EP70">
        <v>10000</v>
      </c>
      <c r="EQ70">
        <v>10000</v>
      </c>
      <c r="ER70">
        <v>10000</v>
      </c>
      <c r="ES70">
        <v>10000</v>
      </c>
      <c r="ET70">
        <v>10000</v>
      </c>
      <c r="EU70">
        <v>10000</v>
      </c>
      <c r="EV70">
        <v>10000</v>
      </c>
      <c r="EW70">
        <v>10000</v>
      </c>
      <c r="EX70">
        <v>10000</v>
      </c>
      <c r="EY70">
        <v>10000</v>
      </c>
      <c r="EZ70">
        <v>10000</v>
      </c>
      <c r="FA70">
        <v>10000</v>
      </c>
      <c r="FB70">
        <v>10000</v>
      </c>
      <c r="FC70">
        <v>10000</v>
      </c>
      <c r="FD70">
        <v>10000</v>
      </c>
      <c r="FE70">
        <v>10000</v>
      </c>
      <c r="FF70">
        <v>10000</v>
      </c>
      <c r="FG70">
        <v>10000</v>
      </c>
      <c r="FH70">
        <v>10000</v>
      </c>
      <c r="FI70">
        <v>10000</v>
      </c>
      <c r="FJ70">
        <v>10000</v>
      </c>
      <c r="FK70">
        <v>10000</v>
      </c>
      <c r="FL70">
        <v>10000</v>
      </c>
      <c r="FM70">
        <v>10000</v>
      </c>
      <c r="FN70">
        <v>10000</v>
      </c>
      <c r="FO70">
        <v>10000</v>
      </c>
      <c r="FP70">
        <v>10000</v>
      </c>
      <c r="FQ70">
        <v>10000</v>
      </c>
      <c r="FR70">
        <v>10000</v>
      </c>
      <c r="FS70">
        <v>10000</v>
      </c>
      <c r="FT70">
        <v>10000</v>
      </c>
      <c r="FU70">
        <v>10000</v>
      </c>
      <c r="FV70">
        <v>10000</v>
      </c>
      <c r="FW70">
        <v>10000</v>
      </c>
      <c r="FX70">
        <v>10000</v>
      </c>
      <c r="FY70">
        <v>10000</v>
      </c>
      <c r="FZ70">
        <v>10000</v>
      </c>
      <c r="GA70">
        <v>10000</v>
      </c>
      <c r="GB70">
        <v>10000</v>
      </c>
      <c r="GC70">
        <v>10000</v>
      </c>
      <c r="GD70">
        <v>10000</v>
      </c>
      <c r="GE70">
        <v>10000</v>
      </c>
      <c r="GF70">
        <v>10000</v>
      </c>
      <c r="GG70">
        <v>10000</v>
      </c>
      <c r="GH70">
        <v>10000</v>
      </c>
      <c r="GI70">
        <v>10000</v>
      </c>
      <c r="GJ70">
        <v>10000</v>
      </c>
      <c r="GK70">
        <v>10000</v>
      </c>
      <c r="GL70">
        <v>10000</v>
      </c>
      <c r="GM70">
        <v>10000</v>
      </c>
      <c r="GN70">
        <v>10000</v>
      </c>
      <c r="GO70">
        <v>10000</v>
      </c>
      <c r="GP70">
        <v>10000</v>
      </c>
      <c r="GQ70">
        <v>10000</v>
      </c>
      <c r="GR70">
        <v>10000</v>
      </c>
      <c r="GS70">
        <v>10000</v>
      </c>
      <c r="GT70">
        <v>10000</v>
      </c>
      <c r="GU70">
        <v>10000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row>
    <row r="71" spans="1:245" hidden="1">
      <c r="A71" s="343" t="s">
        <v>633</v>
      </c>
      <c r="B71" t="s">
        <v>1010</v>
      </c>
      <c r="F71">
        <v>2</v>
      </c>
      <c r="G71" s="431"/>
      <c r="H71">
        <v>17</v>
      </c>
      <c r="J71" t="str">
        <f t="shared" si="3"/>
        <v>SDJ200217</v>
      </c>
      <c r="K71">
        <v>324</v>
      </c>
      <c r="M71" s="343" t="s">
        <v>633</v>
      </c>
      <c r="N71" t="s">
        <v>1010</v>
      </c>
      <c r="O71">
        <v>2</v>
      </c>
      <c r="P71">
        <v>17</v>
      </c>
      <c r="Q71" s="184" t="str">
        <f t="shared" si="4"/>
        <v>SDJ200217</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10000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s="132"/>
      <c r="DZ71" s="343" t="s">
        <v>633</v>
      </c>
      <c r="EA71" t="s">
        <v>1010</v>
      </c>
      <c r="EB71">
        <v>2</v>
      </c>
      <c r="EC71">
        <v>17</v>
      </c>
      <c r="ED71" s="184" t="str">
        <f t="shared" si="5"/>
        <v>SDJ200217</v>
      </c>
      <c r="EE71">
        <v>10000</v>
      </c>
      <c r="EF71">
        <v>10000</v>
      </c>
      <c r="EG71">
        <v>10000</v>
      </c>
      <c r="EH71">
        <v>10000</v>
      </c>
      <c r="EI71">
        <v>10000</v>
      </c>
      <c r="EJ71">
        <v>10000</v>
      </c>
      <c r="EK71">
        <v>10000</v>
      </c>
      <c r="EL71">
        <v>10000</v>
      </c>
      <c r="EM71">
        <v>10000</v>
      </c>
      <c r="EN71">
        <v>10000</v>
      </c>
      <c r="EO71">
        <v>10000</v>
      </c>
      <c r="EP71">
        <v>10000</v>
      </c>
      <c r="EQ71">
        <v>10000</v>
      </c>
      <c r="ER71">
        <v>10000</v>
      </c>
      <c r="ES71">
        <v>10000</v>
      </c>
      <c r="ET71">
        <v>10000</v>
      </c>
      <c r="EU71">
        <v>10000</v>
      </c>
      <c r="EV71">
        <v>10000</v>
      </c>
      <c r="EW71">
        <v>10000</v>
      </c>
      <c r="EX71">
        <v>10000</v>
      </c>
      <c r="EY71">
        <v>10000</v>
      </c>
      <c r="EZ71">
        <v>10000</v>
      </c>
      <c r="FA71">
        <v>10000</v>
      </c>
      <c r="FB71">
        <v>10000</v>
      </c>
      <c r="FC71">
        <v>10000</v>
      </c>
      <c r="FD71">
        <v>10000</v>
      </c>
      <c r="FE71">
        <v>10000</v>
      </c>
      <c r="FF71">
        <v>10000</v>
      </c>
      <c r="FG71">
        <v>10000</v>
      </c>
      <c r="FH71">
        <v>10000</v>
      </c>
      <c r="FI71">
        <v>10000</v>
      </c>
      <c r="FJ71">
        <v>10000</v>
      </c>
      <c r="FK71">
        <v>10000</v>
      </c>
      <c r="FL71">
        <v>10000</v>
      </c>
      <c r="FM71">
        <v>10000</v>
      </c>
      <c r="FN71">
        <v>10000</v>
      </c>
      <c r="FO71">
        <v>10000</v>
      </c>
      <c r="FP71">
        <v>10000</v>
      </c>
      <c r="FQ71">
        <v>10000</v>
      </c>
      <c r="FR71">
        <v>10000</v>
      </c>
      <c r="FS71">
        <v>10000</v>
      </c>
      <c r="FT71">
        <v>10000</v>
      </c>
      <c r="FU71">
        <v>10000</v>
      </c>
      <c r="FV71">
        <v>10000</v>
      </c>
      <c r="FW71">
        <v>10000</v>
      </c>
      <c r="FX71">
        <v>10000</v>
      </c>
      <c r="FY71">
        <v>10000</v>
      </c>
      <c r="FZ71">
        <v>10000</v>
      </c>
      <c r="GA71">
        <v>10000</v>
      </c>
      <c r="GB71">
        <v>10000</v>
      </c>
      <c r="GC71">
        <v>10000</v>
      </c>
      <c r="GD71">
        <v>10000</v>
      </c>
      <c r="GE71">
        <v>10000</v>
      </c>
      <c r="GF71">
        <v>10000</v>
      </c>
      <c r="GG71">
        <v>10000</v>
      </c>
      <c r="GH71">
        <v>10000</v>
      </c>
      <c r="GI71">
        <v>10000</v>
      </c>
      <c r="GJ71">
        <v>10000</v>
      </c>
      <c r="GK71">
        <v>10000</v>
      </c>
      <c r="GL71">
        <v>10000</v>
      </c>
      <c r="GM71">
        <v>10000</v>
      </c>
      <c r="GN71">
        <v>10000</v>
      </c>
      <c r="GO71">
        <v>10000</v>
      </c>
      <c r="GP71">
        <v>10000</v>
      </c>
      <c r="GQ71">
        <v>10000</v>
      </c>
      <c r="GR71">
        <v>10000</v>
      </c>
      <c r="GS71">
        <v>10000</v>
      </c>
      <c r="GT71">
        <v>10000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row>
    <row r="72" spans="1:245" hidden="1">
      <c r="A72" s="343" t="s">
        <v>633</v>
      </c>
      <c r="B72" t="s">
        <v>1010</v>
      </c>
      <c r="F72">
        <v>2</v>
      </c>
      <c r="G72" s="431"/>
      <c r="H72">
        <v>18</v>
      </c>
      <c r="J72" t="str">
        <f t="shared" si="3"/>
        <v>SDJ200218</v>
      </c>
      <c r="K72">
        <v>331</v>
      </c>
      <c r="M72" s="343" t="s">
        <v>633</v>
      </c>
      <c r="N72" t="s">
        <v>1010</v>
      </c>
      <c r="O72">
        <v>2</v>
      </c>
      <c r="P72">
        <v>18</v>
      </c>
      <c r="Q72" s="184" t="str">
        <f t="shared" si="4"/>
        <v>SDJ200218</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10000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s="132"/>
      <c r="DZ72" s="343" t="s">
        <v>633</v>
      </c>
      <c r="EA72" t="s">
        <v>1010</v>
      </c>
      <c r="EB72">
        <v>2</v>
      </c>
      <c r="EC72">
        <v>18</v>
      </c>
      <c r="ED72" s="184" t="str">
        <f t="shared" si="5"/>
        <v>SDJ200218</v>
      </c>
      <c r="EE72">
        <v>10000</v>
      </c>
      <c r="EF72">
        <v>10000</v>
      </c>
      <c r="EG72">
        <v>10000</v>
      </c>
      <c r="EH72">
        <v>10000</v>
      </c>
      <c r="EI72">
        <v>10000</v>
      </c>
      <c r="EJ72">
        <v>10000</v>
      </c>
      <c r="EK72">
        <v>10000</v>
      </c>
      <c r="EL72">
        <v>10000</v>
      </c>
      <c r="EM72">
        <v>10000</v>
      </c>
      <c r="EN72">
        <v>10000</v>
      </c>
      <c r="EO72">
        <v>10000</v>
      </c>
      <c r="EP72">
        <v>10000</v>
      </c>
      <c r="EQ72">
        <v>10000</v>
      </c>
      <c r="ER72">
        <v>10000</v>
      </c>
      <c r="ES72">
        <v>10000</v>
      </c>
      <c r="ET72">
        <v>10000</v>
      </c>
      <c r="EU72">
        <v>10000</v>
      </c>
      <c r="EV72">
        <v>10000</v>
      </c>
      <c r="EW72">
        <v>10000</v>
      </c>
      <c r="EX72">
        <v>10000</v>
      </c>
      <c r="EY72">
        <v>10000</v>
      </c>
      <c r="EZ72">
        <v>10000</v>
      </c>
      <c r="FA72">
        <v>10000</v>
      </c>
      <c r="FB72">
        <v>10000</v>
      </c>
      <c r="FC72">
        <v>10000</v>
      </c>
      <c r="FD72">
        <v>10000</v>
      </c>
      <c r="FE72">
        <v>10000</v>
      </c>
      <c r="FF72">
        <v>10000</v>
      </c>
      <c r="FG72">
        <v>10000</v>
      </c>
      <c r="FH72">
        <v>10000</v>
      </c>
      <c r="FI72">
        <v>10000</v>
      </c>
      <c r="FJ72">
        <v>10000</v>
      </c>
      <c r="FK72">
        <v>10000</v>
      </c>
      <c r="FL72">
        <v>10000</v>
      </c>
      <c r="FM72">
        <v>10000</v>
      </c>
      <c r="FN72">
        <v>10000</v>
      </c>
      <c r="FO72">
        <v>10000</v>
      </c>
      <c r="FP72">
        <v>10000</v>
      </c>
      <c r="FQ72">
        <v>10000</v>
      </c>
      <c r="FR72">
        <v>10000</v>
      </c>
      <c r="FS72">
        <v>10000</v>
      </c>
      <c r="FT72">
        <v>10000</v>
      </c>
      <c r="FU72">
        <v>10000</v>
      </c>
      <c r="FV72">
        <v>10000</v>
      </c>
      <c r="FW72">
        <v>10000</v>
      </c>
      <c r="FX72">
        <v>10000</v>
      </c>
      <c r="FY72">
        <v>10000</v>
      </c>
      <c r="FZ72">
        <v>10000</v>
      </c>
      <c r="GA72">
        <v>10000</v>
      </c>
      <c r="GB72">
        <v>10000</v>
      </c>
      <c r="GC72">
        <v>10000</v>
      </c>
      <c r="GD72">
        <v>10000</v>
      </c>
      <c r="GE72">
        <v>10000</v>
      </c>
      <c r="GF72">
        <v>10000</v>
      </c>
      <c r="GG72">
        <v>10000</v>
      </c>
      <c r="GH72">
        <v>10000</v>
      </c>
      <c r="GI72">
        <v>10000</v>
      </c>
      <c r="GJ72">
        <v>10000</v>
      </c>
      <c r="GK72">
        <v>10000</v>
      </c>
      <c r="GL72">
        <v>10000</v>
      </c>
      <c r="GM72">
        <v>10000</v>
      </c>
      <c r="GN72">
        <v>10000</v>
      </c>
      <c r="GO72">
        <v>10000</v>
      </c>
      <c r="GP72">
        <v>10000</v>
      </c>
      <c r="GQ72">
        <v>10000</v>
      </c>
      <c r="GR72">
        <v>10000</v>
      </c>
      <c r="GS72">
        <v>10000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row>
    <row r="73" spans="1:245" hidden="1">
      <c r="A73" s="343" t="s">
        <v>633</v>
      </c>
      <c r="B73" t="s">
        <v>1010</v>
      </c>
      <c r="F73">
        <v>2</v>
      </c>
      <c r="G73" s="431"/>
      <c r="H73">
        <v>19</v>
      </c>
      <c r="J73" t="str">
        <f t="shared" si="3"/>
        <v>SDJ200219</v>
      </c>
      <c r="K73">
        <v>338</v>
      </c>
      <c r="M73" s="343" t="s">
        <v>633</v>
      </c>
      <c r="N73" t="s">
        <v>1010</v>
      </c>
      <c r="O73">
        <v>2</v>
      </c>
      <c r="P73">
        <v>19</v>
      </c>
      <c r="Q73" s="184" t="str">
        <f t="shared" si="4"/>
        <v>SDJ200219</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10000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s="132"/>
      <c r="DZ73" s="343" t="s">
        <v>633</v>
      </c>
      <c r="EA73" t="s">
        <v>1010</v>
      </c>
      <c r="EB73">
        <v>2</v>
      </c>
      <c r="EC73">
        <v>19</v>
      </c>
      <c r="ED73" s="184" t="str">
        <f t="shared" si="5"/>
        <v>SDJ200219</v>
      </c>
      <c r="EE73">
        <v>10000</v>
      </c>
      <c r="EF73">
        <v>10000</v>
      </c>
      <c r="EG73">
        <v>10000</v>
      </c>
      <c r="EH73">
        <v>10000</v>
      </c>
      <c r="EI73">
        <v>10000</v>
      </c>
      <c r="EJ73">
        <v>10000</v>
      </c>
      <c r="EK73">
        <v>10000</v>
      </c>
      <c r="EL73">
        <v>10000</v>
      </c>
      <c r="EM73">
        <v>10000</v>
      </c>
      <c r="EN73">
        <v>10000</v>
      </c>
      <c r="EO73">
        <v>10000</v>
      </c>
      <c r="EP73">
        <v>10000</v>
      </c>
      <c r="EQ73">
        <v>10000</v>
      </c>
      <c r="ER73">
        <v>10000</v>
      </c>
      <c r="ES73">
        <v>10000</v>
      </c>
      <c r="ET73">
        <v>10000</v>
      </c>
      <c r="EU73">
        <v>10000</v>
      </c>
      <c r="EV73">
        <v>10000</v>
      </c>
      <c r="EW73">
        <v>10000</v>
      </c>
      <c r="EX73">
        <v>10000</v>
      </c>
      <c r="EY73">
        <v>10000</v>
      </c>
      <c r="EZ73">
        <v>10000</v>
      </c>
      <c r="FA73">
        <v>10000</v>
      </c>
      <c r="FB73">
        <v>10000</v>
      </c>
      <c r="FC73">
        <v>10000</v>
      </c>
      <c r="FD73">
        <v>10000</v>
      </c>
      <c r="FE73">
        <v>10000</v>
      </c>
      <c r="FF73">
        <v>10000</v>
      </c>
      <c r="FG73">
        <v>10000</v>
      </c>
      <c r="FH73">
        <v>10000</v>
      </c>
      <c r="FI73">
        <v>10000</v>
      </c>
      <c r="FJ73">
        <v>10000</v>
      </c>
      <c r="FK73">
        <v>10000</v>
      </c>
      <c r="FL73">
        <v>10000</v>
      </c>
      <c r="FM73">
        <v>10000</v>
      </c>
      <c r="FN73">
        <v>10000</v>
      </c>
      <c r="FO73">
        <v>10000</v>
      </c>
      <c r="FP73">
        <v>10000</v>
      </c>
      <c r="FQ73">
        <v>10000</v>
      </c>
      <c r="FR73">
        <v>10000</v>
      </c>
      <c r="FS73">
        <v>10000</v>
      </c>
      <c r="FT73">
        <v>10000</v>
      </c>
      <c r="FU73">
        <v>10000</v>
      </c>
      <c r="FV73">
        <v>10000</v>
      </c>
      <c r="FW73">
        <v>10000</v>
      </c>
      <c r="FX73">
        <v>10000</v>
      </c>
      <c r="FY73">
        <v>10000</v>
      </c>
      <c r="FZ73">
        <v>10000</v>
      </c>
      <c r="GA73">
        <v>10000</v>
      </c>
      <c r="GB73">
        <v>10000</v>
      </c>
      <c r="GC73">
        <v>10000</v>
      </c>
      <c r="GD73">
        <v>10000</v>
      </c>
      <c r="GE73">
        <v>10000</v>
      </c>
      <c r="GF73">
        <v>10000</v>
      </c>
      <c r="GG73">
        <v>10000</v>
      </c>
      <c r="GH73">
        <v>10000</v>
      </c>
      <c r="GI73">
        <v>10000</v>
      </c>
      <c r="GJ73">
        <v>10000</v>
      </c>
      <c r="GK73">
        <v>10000</v>
      </c>
      <c r="GL73">
        <v>10000</v>
      </c>
      <c r="GM73">
        <v>10000</v>
      </c>
      <c r="GN73">
        <v>10000</v>
      </c>
      <c r="GO73">
        <v>10000</v>
      </c>
      <c r="GP73">
        <v>10000</v>
      </c>
      <c r="GQ73">
        <v>10000</v>
      </c>
      <c r="GR73">
        <v>10000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row>
    <row r="74" spans="1:245" hidden="1">
      <c r="A74" s="343" t="s">
        <v>633</v>
      </c>
      <c r="B74" t="s">
        <v>1010</v>
      </c>
      <c r="F74">
        <v>2</v>
      </c>
      <c r="G74" s="431"/>
      <c r="H74">
        <v>20</v>
      </c>
      <c r="J74" t="str">
        <f t="shared" si="3"/>
        <v>SDJ200220</v>
      </c>
      <c r="K74">
        <v>345</v>
      </c>
      <c r="M74" s="343" t="s">
        <v>633</v>
      </c>
      <c r="N74" t="s">
        <v>1010</v>
      </c>
      <c r="O74">
        <v>2</v>
      </c>
      <c r="P74">
        <v>20</v>
      </c>
      <c r="Q74" s="184" t="str">
        <f t="shared" si="4"/>
        <v>SDJ200220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10000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s="132"/>
      <c r="DZ74" s="343" t="s">
        <v>633</v>
      </c>
      <c r="EA74" t="s">
        <v>1010</v>
      </c>
      <c r="EB74">
        <v>2</v>
      </c>
      <c r="EC74">
        <v>20</v>
      </c>
      <c r="ED74" s="184" t="str">
        <f t="shared" si="5"/>
        <v>SDJ200220</v>
      </c>
      <c r="EE74">
        <v>10000</v>
      </c>
      <c r="EF74">
        <v>10000</v>
      </c>
      <c r="EG74">
        <v>10000</v>
      </c>
      <c r="EH74">
        <v>10000</v>
      </c>
      <c r="EI74">
        <v>10000</v>
      </c>
      <c r="EJ74">
        <v>10000</v>
      </c>
      <c r="EK74">
        <v>10000</v>
      </c>
      <c r="EL74">
        <v>10000</v>
      </c>
      <c r="EM74">
        <v>10000</v>
      </c>
      <c r="EN74">
        <v>10000</v>
      </c>
      <c r="EO74">
        <v>10000</v>
      </c>
      <c r="EP74">
        <v>10000</v>
      </c>
      <c r="EQ74">
        <v>10000</v>
      </c>
      <c r="ER74">
        <v>10000</v>
      </c>
      <c r="ES74">
        <v>10000</v>
      </c>
      <c r="ET74">
        <v>10000</v>
      </c>
      <c r="EU74">
        <v>10000</v>
      </c>
      <c r="EV74">
        <v>10000</v>
      </c>
      <c r="EW74">
        <v>10000</v>
      </c>
      <c r="EX74">
        <v>10000</v>
      </c>
      <c r="EY74">
        <v>10000</v>
      </c>
      <c r="EZ74">
        <v>10000</v>
      </c>
      <c r="FA74">
        <v>10000</v>
      </c>
      <c r="FB74">
        <v>10000</v>
      </c>
      <c r="FC74">
        <v>10000</v>
      </c>
      <c r="FD74">
        <v>10000</v>
      </c>
      <c r="FE74">
        <v>10000</v>
      </c>
      <c r="FF74">
        <v>10000</v>
      </c>
      <c r="FG74">
        <v>10000</v>
      </c>
      <c r="FH74">
        <v>10000</v>
      </c>
      <c r="FI74">
        <v>10000</v>
      </c>
      <c r="FJ74">
        <v>10000</v>
      </c>
      <c r="FK74">
        <v>10000</v>
      </c>
      <c r="FL74">
        <v>10000</v>
      </c>
      <c r="FM74">
        <v>10000</v>
      </c>
      <c r="FN74">
        <v>10000</v>
      </c>
      <c r="FO74">
        <v>10000</v>
      </c>
      <c r="FP74">
        <v>10000</v>
      </c>
      <c r="FQ74">
        <v>10000</v>
      </c>
      <c r="FR74">
        <v>10000</v>
      </c>
      <c r="FS74">
        <v>10000</v>
      </c>
      <c r="FT74">
        <v>10000</v>
      </c>
      <c r="FU74">
        <v>10000</v>
      </c>
      <c r="FV74">
        <v>10000</v>
      </c>
      <c r="FW74">
        <v>10000</v>
      </c>
      <c r="FX74">
        <v>10000</v>
      </c>
      <c r="FY74">
        <v>10000</v>
      </c>
      <c r="FZ74">
        <v>10000</v>
      </c>
      <c r="GA74">
        <v>10000</v>
      </c>
      <c r="GB74">
        <v>10000</v>
      </c>
      <c r="GC74">
        <v>10000</v>
      </c>
      <c r="GD74">
        <v>10000</v>
      </c>
      <c r="GE74">
        <v>10000</v>
      </c>
      <c r="GF74">
        <v>10000</v>
      </c>
      <c r="GG74">
        <v>10000</v>
      </c>
      <c r="GH74">
        <v>10000</v>
      </c>
      <c r="GI74">
        <v>10000</v>
      </c>
      <c r="GJ74">
        <v>10000</v>
      </c>
      <c r="GK74">
        <v>10000</v>
      </c>
      <c r="GL74">
        <v>10000</v>
      </c>
      <c r="GM74">
        <v>10000</v>
      </c>
      <c r="GN74">
        <v>10000</v>
      </c>
      <c r="GO74">
        <v>10000</v>
      </c>
      <c r="GP74">
        <v>10000</v>
      </c>
      <c r="GQ74">
        <v>10000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row>
    <row r="75" spans="1:245" hidden="1">
      <c r="A75" s="343" t="s">
        <v>633</v>
      </c>
      <c r="B75" t="s">
        <v>1010</v>
      </c>
      <c r="F75">
        <v>2</v>
      </c>
      <c r="G75" s="431"/>
      <c r="H75">
        <v>21</v>
      </c>
      <c r="J75" t="str">
        <f t="shared" si="3"/>
        <v>SDJ200221</v>
      </c>
      <c r="K75">
        <v>352</v>
      </c>
      <c r="M75" s="343" t="s">
        <v>633</v>
      </c>
      <c r="N75" t="s">
        <v>1010</v>
      </c>
      <c r="O75">
        <v>2</v>
      </c>
      <c r="P75">
        <v>21</v>
      </c>
      <c r="Q75" s="184" t="str">
        <f t="shared" si="4"/>
        <v>SDJ200221</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10000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s="132"/>
      <c r="DZ75" s="343" t="s">
        <v>633</v>
      </c>
      <c r="EA75" t="s">
        <v>1010</v>
      </c>
      <c r="EB75">
        <v>2</v>
      </c>
      <c r="EC75">
        <v>21</v>
      </c>
      <c r="ED75" s="184" t="str">
        <f t="shared" si="5"/>
        <v>SDJ200221</v>
      </c>
      <c r="EE75">
        <v>10000</v>
      </c>
      <c r="EF75">
        <v>10000</v>
      </c>
      <c r="EG75">
        <v>10000</v>
      </c>
      <c r="EH75">
        <v>10000</v>
      </c>
      <c r="EI75">
        <v>10000</v>
      </c>
      <c r="EJ75">
        <v>10000</v>
      </c>
      <c r="EK75">
        <v>10000</v>
      </c>
      <c r="EL75">
        <v>10000</v>
      </c>
      <c r="EM75">
        <v>10000</v>
      </c>
      <c r="EN75">
        <v>10000</v>
      </c>
      <c r="EO75">
        <v>10000</v>
      </c>
      <c r="EP75">
        <v>10000</v>
      </c>
      <c r="EQ75">
        <v>10000</v>
      </c>
      <c r="ER75">
        <v>10000</v>
      </c>
      <c r="ES75">
        <v>10000</v>
      </c>
      <c r="ET75">
        <v>10000</v>
      </c>
      <c r="EU75">
        <v>10000</v>
      </c>
      <c r="EV75">
        <v>10000</v>
      </c>
      <c r="EW75">
        <v>10000</v>
      </c>
      <c r="EX75">
        <v>10000</v>
      </c>
      <c r="EY75">
        <v>10000</v>
      </c>
      <c r="EZ75">
        <v>10000</v>
      </c>
      <c r="FA75">
        <v>10000</v>
      </c>
      <c r="FB75">
        <v>10000</v>
      </c>
      <c r="FC75">
        <v>10000</v>
      </c>
      <c r="FD75">
        <v>10000</v>
      </c>
      <c r="FE75">
        <v>10000</v>
      </c>
      <c r="FF75">
        <v>10000</v>
      </c>
      <c r="FG75">
        <v>10000</v>
      </c>
      <c r="FH75">
        <v>10000</v>
      </c>
      <c r="FI75">
        <v>10000</v>
      </c>
      <c r="FJ75">
        <v>10000</v>
      </c>
      <c r="FK75">
        <v>10000</v>
      </c>
      <c r="FL75">
        <v>10000</v>
      </c>
      <c r="FM75">
        <v>10000</v>
      </c>
      <c r="FN75">
        <v>10000</v>
      </c>
      <c r="FO75">
        <v>10000</v>
      </c>
      <c r="FP75">
        <v>10000</v>
      </c>
      <c r="FQ75">
        <v>10000</v>
      </c>
      <c r="FR75">
        <v>10000</v>
      </c>
      <c r="FS75">
        <v>10000</v>
      </c>
      <c r="FT75">
        <v>10000</v>
      </c>
      <c r="FU75">
        <v>10000</v>
      </c>
      <c r="FV75">
        <v>10000</v>
      </c>
      <c r="FW75">
        <v>10000</v>
      </c>
      <c r="FX75">
        <v>10000</v>
      </c>
      <c r="FY75">
        <v>10000</v>
      </c>
      <c r="FZ75">
        <v>10000</v>
      </c>
      <c r="GA75">
        <v>10000</v>
      </c>
      <c r="GB75">
        <v>10000</v>
      </c>
      <c r="GC75">
        <v>10000</v>
      </c>
      <c r="GD75">
        <v>10000</v>
      </c>
      <c r="GE75">
        <v>10000</v>
      </c>
      <c r="GF75">
        <v>10000</v>
      </c>
      <c r="GG75">
        <v>10000</v>
      </c>
      <c r="GH75">
        <v>10000</v>
      </c>
      <c r="GI75">
        <v>10000</v>
      </c>
      <c r="GJ75">
        <v>10000</v>
      </c>
      <c r="GK75">
        <v>10000</v>
      </c>
      <c r="GL75">
        <v>10000</v>
      </c>
      <c r="GM75">
        <v>10000</v>
      </c>
      <c r="GN75">
        <v>10000</v>
      </c>
      <c r="GO75">
        <v>10000</v>
      </c>
      <c r="GP75">
        <v>10000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row>
    <row r="76" spans="1:245" hidden="1">
      <c r="A76" s="343" t="s">
        <v>633</v>
      </c>
      <c r="B76" t="s">
        <v>1010</v>
      </c>
      <c r="F76">
        <v>2</v>
      </c>
      <c r="G76" s="431"/>
      <c r="H76">
        <v>22</v>
      </c>
      <c r="J76" t="str">
        <f t="shared" si="3"/>
        <v>SDJ200222</v>
      </c>
      <c r="K76">
        <v>359</v>
      </c>
      <c r="M76" s="343" t="s">
        <v>633</v>
      </c>
      <c r="N76" t="s">
        <v>1010</v>
      </c>
      <c r="O76">
        <v>2</v>
      </c>
      <c r="P76">
        <v>22</v>
      </c>
      <c r="Q76" s="184" t="str">
        <f t="shared" si="4"/>
        <v>SDJ200222</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10000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s="132"/>
      <c r="DZ76" s="343" t="s">
        <v>633</v>
      </c>
      <c r="EA76" t="s">
        <v>1010</v>
      </c>
      <c r="EB76">
        <v>2</v>
      </c>
      <c r="EC76">
        <v>22</v>
      </c>
      <c r="ED76" s="184" t="str">
        <f t="shared" si="5"/>
        <v>SDJ200222</v>
      </c>
      <c r="EE76">
        <v>10000</v>
      </c>
      <c r="EF76">
        <v>10000</v>
      </c>
      <c r="EG76">
        <v>10000</v>
      </c>
      <c r="EH76">
        <v>10000</v>
      </c>
      <c r="EI76">
        <v>10000</v>
      </c>
      <c r="EJ76">
        <v>10000</v>
      </c>
      <c r="EK76">
        <v>10000</v>
      </c>
      <c r="EL76">
        <v>10000</v>
      </c>
      <c r="EM76">
        <v>10000</v>
      </c>
      <c r="EN76">
        <v>10000</v>
      </c>
      <c r="EO76">
        <v>10000</v>
      </c>
      <c r="EP76">
        <v>10000</v>
      </c>
      <c r="EQ76">
        <v>10000</v>
      </c>
      <c r="ER76">
        <v>10000</v>
      </c>
      <c r="ES76">
        <v>10000</v>
      </c>
      <c r="ET76">
        <v>10000</v>
      </c>
      <c r="EU76">
        <v>10000</v>
      </c>
      <c r="EV76">
        <v>10000</v>
      </c>
      <c r="EW76">
        <v>10000</v>
      </c>
      <c r="EX76">
        <v>10000</v>
      </c>
      <c r="EY76">
        <v>10000</v>
      </c>
      <c r="EZ76">
        <v>10000</v>
      </c>
      <c r="FA76">
        <v>10000</v>
      </c>
      <c r="FB76">
        <v>10000</v>
      </c>
      <c r="FC76">
        <v>10000</v>
      </c>
      <c r="FD76">
        <v>10000</v>
      </c>
      <c r="FE76">
        <v>10000</v>
      </c>
      <c r="FF76">
        <v>10000</v>
      </c>
      <c r="FG76">
        <v>10000</v>
      </c>
      <c r="FH76">
        <v>10000</v>
      </c>
      <c r="FI76">
        <v>10000</v>
      </c>
      <c r="FJ76">
        <v>10000</v>
      </c>
      <c r="FK76">
        <v>10000</v>
      </c>
      <c r="FL76">
        <v>10000</v>
      </c>
      <c r="FM76">
        <v>10000</v>
      </c>
      <c r="FN76">
        <v>10000</v>
      </c>
      <c r="FO76">
        <v>10000</v>
      </c>
      <c r="FP76">
        <v>10000</v>
      </c>
      <c r="FQ76">
        <v>10000</v>
      </c>
      <c r="FR76">
        <v>10000</v>
      </c>
      <c r="FS76">
        <v>10000</v>
      </c>
      <c r="FT76">
        <v>10000</v>
      </c>
      <c r="FU76">
        <v>10000</v>
      </c>
      <c r="FV76">
        <v>10000</v>
      </c>
      <c r="FW76">
        <v>10000</v>
      </c>
      <c r="FX76">
        <v>10000</v>
      </c>
      <c r="FY76">
        <v>10000</v>
      </c>
      <c r="FZ76">
        <v>10000</v>
      </c>
      <c r="GA76">
        <v>10000</v>
      </c>
      <c r="GB76">
        <v>10000</v>
      </c>
      <c r="GC76">
        <v>10000</v>
      </c>
      <c r="GD76">
        <v>10000</v>
      </c>
      <c r="GE76">
        <v>10000</v>
      </c>
      <c r="GF76">
        <v>10000</v>
      </c>
      <c r="GG76">
        <v>10000</v>
      </c>
      <c r="GH76">
        <v>10000</v>
      </c>
      <c r="GI76">
        <v>10000</v>
      </c>
      <c r="GJ76">
        <v>10000</v>
      </c>
      <c r="GK76">
        <v>10000</v>
      </c>
      <c r="GL76">
        <v>10000</v>
      </c>
      <c r="GM76">
        <v>10000</v>
      </c>
      <c r="GN76">
        <v>10000</v>
      </c>
      <c r="GO76">
        <v>10000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row>
    <row r="77" spans="1:245" hidden="1">
      <c r="A77" s="343" t="s">
        <v>633</v>
      </c>
      <c r="B77" t="s">
        <v>1010</v>
      </c>
      <c r="F77">
        <v>2</v>
      </c>
      <c r="G77" s="431"/>
      <c r="H77">
        <v>23</v>
      </c>
      <c r="J77" t="str">
        <f t="shared" si="3"/>
        <v>SDJ200223</v>
      </c>
      <c r="K77">
        <v>366</v>
      </c>
      <c r="M77" s="343" t="s">
        <v>633</v>
      </c>
      <c r="N77" t="s">
        <v>1010</v>
      </c>
      <c r="O77">
        <v>2</v>
      </c>
      <c r="P77">
        <v>23</v>
      </c>
      <c r="Q77" s="184" t="str">
        <f t="shared" si="4"/>
        <v>SDJ200223</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10000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s="132"/>
      <c r="DZ77" s="343" t="s">
        <v>633</v>
      </c>
      <c r="EA77" t="s">
        <v>1010</v>
      </c>
      <c r="EB77">
        <v>2</v>
      </c>
      <c r="EC77">
        <v>23</v>
      </c>
      <c r="ED77" s="184" t="str">
        <f t="shared" si="5"/>
        <v>SDJ200223</v>
      </c>
      <c r="EE77">
        <v>10000</v>
      </c>
      <c r="EF77">
        <v>10000</v>
      </c>
      <c r="EG77">
        <v>10000</v>
      </c>
      <c r="EH77">
        <v>10000</v>
      </c>
      <c r="EI77">
        <v>10000</v>
      </c>
      <c r="EJ77">
        <v>10000</v>
      </c>
      <c r="EK77">
        <v>10000</v>
      </c>
      <c r="EL77">
        <v>10000</v>
      </c>
      <c r="EM77">
        <v>10000</v>
      </c>
      <c r="EN77">
        <v>10000</v>
      </c>
      <c r="EO77">
        <v>10000</v>
      </c>
      <c r="EP77">
        <v>10000</v>
      </c>
      <c r="EQ77">
        <v>10000</v>
      </c>
      <c r="ER77">
        <v>10000</v>
      </c>
      <c r="ES77">
        <v>10000</v>
      </c>
      <c r="ET77">
        <v>10000</v>
      </c>
      <c r="EU77">
        <v>10000</v>
      </c>
      <c r="EV77">
        <v>10000</v>
      </c>
      <c r="EW77">
        <v>10000</v>
      </c>
      <c r="EX77">
        <v>10000</v>
      </c>
      <c r="EY77">
        <v>10000</v>
      </c>
      <c r="EZ77">
        <v>10000</v>
      </c>
      <c r="FA77">
        <v>10000</v>
      </c>
      <c r="FB77">
        <v>10000</v>
      </c>
      <c r="FC77">
        <v>10000</v>
      </c>
      <c r="FD77">
        <v>10000</v>
      </c>
      <c r="FE77">
        <v>10000</v>
      </c>
      <c r="FF77">
        <v>10000</v>
      </c>
      <c r="FG77">
        <v>10000</v>
      </c>
      <c r="FH77">
        <v>10000</v>
      </c>
      <c r="FI77">
        <v>10000</v>
      </c>
      <c r="FJ77">
        <v>10000</v>
      </c>
      <c r="FK77">
        <v>10000</v>
      </c>
      <c r="FL77">
        <v>10000</v>
      </c>
      <c r="FM77">
        <v>10000</v>
      </c>
      <c r="FN77">
        <v>10000</v>
      </c>
      <c r="FO77">
        <v>10000</v>
      </c>
      <c r="FP77">
        <v>10000</v>
      </c>
      <c r="FQ77">
        <v>10000</v>
      </c>
      <c r="FR77">
        <v>10000</v>
      </c>
      <c r="FS77">
        <v>10000</v>
      </c>
      <c r="FT77">
        <v>10000</v>
      </c>
      <c r="FU77">
        <v>10000</v>
      </c>
      <c r="FV77">
        <v>10000</v>
      </c>
      <c r="FW77">
        <v>10000</v>
      </c>
      <c r="FX77">
        <v>10000</v>
      </c>
      <c r="FY77">
        <v>10000</v>
      </c>
      <c r="FZ77">
        <v>10000</v>
      </c>
      <c r="GA77">
        <v>10000</v>
      </c>
      <c r="GB77">
        <v>10000</v>
      </c>
      <c r="GC77">
        <v>10000</v>
      </c>
      <c r="GD77">
        <v>10000</v>
      </c>
      <c r="GE77">
        <v>10000</v>
      </c>
      <c r="GF77">
        <v>10000</v>
      </c>
      <c r="GG77">
        <v>10000</v>
      </c>
      <c r="GH77">
        <v>10000</v>
      </c>
      <c r="GI77">
        <v>10000</v>
      </c>
      <c r="GJ77">
        <v>10000</v>
      </c>
      <c r="GK77">
        <v>10000</v>
      </c>
      <c r="GL77">
        <v>10000</v>
      </c>
      <c r="GM77">
        <v>10000</v>
      </c>
      <c r="GN77">
        <v>10000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row>
    <row r="78" spans="1:245" hidden="1">
      <c r="A78" s="343" t="s">
        <v>633</v>
      </c>
      <c r="B78" t="s">
        <v>1010</v>
      </c>
      <c r="F78">
        <v>2</v>
      </c>
      <c r="G78" s="431"/>
      <c r="H78">
        <v>24</v>
      </c>
      <c r="J78" t="str">
        <f t="shared" si="3"/>
        <v>SDJ200224</v>
      </c>
      <c r="K78">
        <v>373</v>
      </c>
      <c r="M78" s="343" t="s">
        <v>633</v>
      </c>
      <c r="N78" t="s">
        <v>1010</v>
      </c>
      <c r="O78">
        <v>2</v>
      </c>
      <c r="P78">
        <v>24</v>
      </c>
      <c r="Q78" s="184" t="str">
        <f t="shared" si="4"/>
        <v>SDJ200224</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10000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s="132"/>
      <c r="DZ78" s="343" t="s">
        <v>633</v>
      </c>
      <c r="EA78" t="s">
        <v>1010</v>
      </c>
      <c r="EB78">
        <v>2</v>
      </c>
      <c r="EC78">
        <v>24</v>
      </c>
      <c r="ED78" s="184" t="str">
        <f t="shared" si="5"/>
        <v>SDJ200224</v>
      </c>
      <c r="EE78">
        <v>10000</v>
      </c>
      <c r="EF78">
        <v>10000</v>
      </c>
      <c r="EG78">
        <v>10000</v>
      </c>
      <c r="EH78">
        <v>10000</v>
      </c>
      <c r="EI78">
        <v>10000</v>
      </c>
      <c r="EJ78">
        <v>10000</v>
      </c>
      <c r="EK78">
        <v>10000</v>
      </c>
      <c r="EL78">
        <v>10000</v>
      </c>
      <c r="EM78">
        <v>10000</v>
      </c>
      <c r="EN78">
        <v>10000</v>
      </c>
      <c r="EO78">
        <v>10000</v>
      </c>
      <c r="EP78">
        <v>10000</v>
      </c>
      <c r="EQ78">
        <v>10000</v>
      </c>
      <c r="ER78">
        <v>10000</v>
      </c>
      <c r="ES78">
        <v>10000</v>
      </c>
      <c r="ET78">
        <v>10000</v>
      </c>
      <c r="EU78">
        <v>10000</v>
      </c>
      <c r="EV78">
        <v>10000</v>
      </c>
      <c r="EW78">
        <v>10000</v>
      </c>
      <c r="EX78">
        <v>10000</v>
      </c>
      <c r="EY78">
        <v>10000</v>
      </c>
      <c r="EZ78">
        <v>10000</v>
      </c>
      <c r="FA78">
        <v>10000</v>
      </c>
      <c r="FB78">
        <v>10000</v>
      </c>
      <c r="FC78">
        <v>10000</v>
      </c>
      <c r="FD78">
        <v>10000</v>
      </c>
      <c r="FE78">
        <v>10000</v>
      </c>
      <c r="FF78">
        <v>10000</v>
      </c>
      <c r="FG78">
        <v>10000</v>
      </c>
      <c r="FH78">
        <v>10000</v>
      </c>
      <c r="FI78">
        <v>10000</v>
      </c>
      <c r="FJ78">
        <v>10000</v>
      </c>
      <c r="FK78">
        <v>10000</v>
      </c>
      <c r="FL78">
        <v>10000</v>
      </c>
      <c r="FM78">
        <v>10000</v>
      </c>
      <c r="FN78">
        <v>10000</v>
      </c>
      <c r="FO78">
        <v>10000</v>
      </c>
      <c r="FP78">
        <v>10000</v>
      </c>
      <c r="FQ78">
        <v>10000</v>
      </c>
      <c r="FR78">
        <v>10000</v>
      </c>
      <c r="FS78">
        <v>10000</v>
      </c>
      <c r="FT78">
        <v>10000</v>
      </c>
      <c r="FU78">
        <v>10000</v>
      </c>
      <c r="FV78">
        <v>10000</v>
      </c>
      <c r="FW78">
        <v>10000</v>
      </c>
      <c r="FX78">
        <v>10000</v>
      </c>
      <c r="FY78">
        <v>10000</v>
      </c>
      <c r="FZ78">
        <v>10000</v>
      </c>
      <c r="GA78">
        <v>10000</v>
      </c>
      <c r="GB78">
        <v>10000</v>
      </c>
      <c r="GC78">
        <v>10000</v>
      </c>
      <c r="GD78">
        <v>10000</v>
      </c>
      <c r="GE78">
        <v>10000</v>
      </c>
      <c r="GF78">
        <v>10000</v>
      </c>
      <c r="GG78">
        <v>10000</v>
      </c>
      <c r="GH78">
        <v>10000</v>
      </c>
      <c r="GI78">
        <v>10000</v>
      </c>
      <c r="GJ78">
        <v>10000</v>
      </c>
      <c r="GK78">
        <v>10000</v>
      </c>
      <c r="GL78">
        <v>10000</v>
      </c>
      <c r="GM78">
        <v>10000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row>
    <row r="79" spans="1:245" hidden="1">
      <c r="A79" s="343" t="s">
        <v>633</v>
      </c>
      <c r="B79" t="s">
        <v>1010</v>
      </c>
      <c r="F79">
        <v>2</v>
      </c>
      <c r="G79" s="431"/>
      <c r="H79">
        <v>25</v>
      </c>
      <c r="J79" t="str">
        <f t="shared" si="3"/>
        <v>SDJ200225</v>
      </c>
      <c r="K79">
        <v>380</v>
      </c>
      <c r="M79" s="343" t="s">
        <v>633</v>
      </c>
      <c r="N79" t="s">
        <v>1010</v>
      </c>
      <c r="O79">
        <v>2</v>
      </c>
      <c r="P79">
        <v>25</v>
      </c>
      <c r="Q79" s="184" t="str">
        <f t="shared" si="4"/>
        <v>SDJ200225</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10000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s="132"/>
      <c r="DZ79" s="343" t="s">
        <v>633</v>
      </c>
      <c r="EA79" t="s">
        <v>1010</v>
      </c>
      <c r="EB79">
        <v>2</v>
      </c>
      <c r="EC79">
        <v>25</v>
      </c>
      <c r="ED79" s="184" t="str">
        <f t="shared" si="5"/>
        <v>SDJ200225</v>
      </c>
      <c r="EE79">
        <v>10000</v>
      </c>
      <c r="EF79">
        <v>10000</v>
      </c>
      <c r="EG79">
        <v>10000</v>
      </c>
      <c r="EH79">
        <v>10000</v>
      </c>
      <c r="EI79">
        <v>10000</v>
      </c>
      <c r="EJ79">
        <v>10000</v>
      </c>
      <c r="EK79">
        <v>10000</v>
      </c>
      <c r="EL79">
        <v>10000</v>
      </c>
      <c r="EM79">
        <v>10000</v>
      </c>
      <c r="EN79">
        <v>10000</v>
      </c>
      <c r="EO79">
        <v>10000</v>
      </c>
      <c r="EP79">
        <v>10000</v>
      </c>
      <c r="EQ79">
        <v>10000</v>
      </c>
      <c r="ER79">
        <v>10000</v>
      </c>
      <c r="ES79">
        <v>10000</v>
      </c>
      <c r="ET79">
        <v>10000</v>
      </c>
      <c r="EU79">
        <v>10000</v>
      </c>
      <c r="EV79">
        <v>10000</v>
      </c>
      <c r="EW79">
        <v>10000</v>
      </c>
      <c r="EX79">
        <v>10000</v>
      </c>
      <c r="EY79">
        <v>10000</v>
      </c>
      <c r="EZ79">
        <v>10000</v>
      </c>
      <c r="FA79">
        <v>10000</v>
      </c>
      <c r="FB79">
        <v>10000</v>
      </c>
      <c r="FC79">
        <v>10000</v>
      </c>
      <c r="FD79">
        <v>10000</v>
      </c>
      <c r="FE79">
        <v>10000</v>
      </c>
      <c r="FF79">
        <v>10000</v>
      </c>
      <c r="FG79">
        <v>10000</v>
      </c>
      <c r="FH79">
        <v>10000</v>
      </c>
      <c r="FI79">
        <v>10000</v>
      </c>
      <c r="FJ79">
        <v>10000</v>
      </c>
      <c r="FK79">
        <v>10000</v>
      </c>
      <c r="FL79">
        <v>10000</v>
      </c>
      <c r="FM79">
        <v>10000</v>
      </c>
      <c r="FN79">
        <v>10000</v>
      </c>
      <c r="FO79">
        <v>10000</v>
      </c>
      <c r="FP79">
        <v>10000</v>
      </c>
      <c r="FQ79">
        <v>10000</v>
      </c>
      <c r="FR79">
        <v>10000</v>
      </c>
      <c r="FS79">
        <v>10000</v>
      </c>
      <c r="FT79">
        <v>10000</v>
      </c>
      <c r="FU79">
        <v>10000</v>
      </c>
      <c r="FV79">
        <v>10000</v>
      </c>
      <c r="FW79">
        <v>10000</v>
      </c>
      <c r="FX79">
        <v>10000</v>
      </c>
      <c r="FY79">
        <v>10000</v>
      </c>
      <c r="FZ79">
        <v>10000</v>
      </c>
      <c r="GA79">
        <v>10000</v>
      </c>
      <c r="GB79">
        <v>10000</v>
      </c>
      <c r="GC79">
        <v>10000</v>
      </c>
      <c r="GD79">
        <v>10000</v>
      </c>
      <c r="GE79">
        <v>10000</v>
      </c>
      <c r="GF79">
        <v>10000</v>
      </c>
      <c r="GG79">
        <v>10000</v>
      </c>
      <c r="GH79">
        <v>10000</v>
      </c>
      <c r="GI79">
        <v>10000</v>
      </c>
      <c r="GJ79">
        <v>10000</v>
      </c>
      <c r="GK79">
        <v>10000</v>
      </c>
      <c r="GL79">
        <v>10000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row>
    <row r="80" spans="1:245" hidden="1">
      <c r="A80" s="343" t="s">
        <v>633</v>
      </c>
      <c r="B80" t="s">
        <v>1010</v>
      </c>
      <c r="F80">
        <v>2</v>
      </c>
      <c r="G80" s="431"/>
      <c r="H80">
        <v>26</v>
      </c>
      <c r="J80" t="str">
        <f t="shared" si="3"/>
        <v>SDJ200226</v>
      </c>
      <c r="K80">
        <v>387</v>
      </c>
      <c r="M80" s="343" t="s">
        <v>633</v>
      </c>
      <c r="N80" t="s">
        <v>1010</v>
      </c>
      <c r="O80">
        <v>2</v>
      </c>
      <c r="P80">
        <v>26</v>
      </c>
      <c r="Q80" s="184" t="str">
        <f t="shared" si="4"/>
        <v>SDJ200226</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10000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s="132"/>
      <c r="DZ80" s="343" t="s">
        <v>633</v>
      </c>
      <c r="EA80" t="s">
        <v>1010</v>
      </c>
      <c r="EB80">
        <v>2</v>
      </c>
      <c r="EC80">
        <v>26</v>
      </c>
      <c r="ED80" s="184" t="str">
        <f t="shared" si="5"/>
        <v>SDJ200226</v>
      </c>
      <c r="EE80">
        <v>10000</v>
      </c>
      <c r="EF80">
        <v>10000</v>
      </c>
      <c r="EG80">
        <v>10000</v>
      </c>
      <c r="EH80">
        <v>10000</v>
      </c>
      <c r="EI80">
        <v>10000</v>
      </c>
      <c r="EJ80">
        <v>10000</v>
      </c>
      <c r="EK80">
        <v>10000</v>
      </c>
      <c r="EL80">
        <v>10000</v>
      </c>
      <c r="EM80">
        <v>10000</v>
      </c>
      <c r="EN80">
        <v>10000</v>
      </c>
      <c r="EO80">
        <v>10000</v>
      </c>
      <c r="EP80">
        <v>10000</v>
      </c>
      <c r="EQ80">
        <v>10000</v>
      </c>
      <c r="ER80">
        <v>10000</v>
      </c>
      <c r="ES80">
        <v>10000</v>
      </c>
      <c r="ET80">
        <v>10000</v>
      </c>
      <c r="EU80">
        <v>10000</v>
      </c>
      <c r="EV80">
        <v>10000</v>
      </c>
      <c r="EW80">
        <v>10000</v>
      </c>
      <c r="EX80">
        <v>10000</v>
      </c>
      <c r="EY80">
        <v>10000</v>
      </c>
      <c r="EZ80">
        <v>10000</v>
      </c>
      <c r="FA80">
        <v>10000</v>
      </c>
      <c r="FB80">
        <v>10000</v>
      </c>
      <c r="FC80">
        <v>10000</v>
      </c>
      <c r="FD80">
        <v>10000</v>
      </c>
      <c r="FE80">
        <v>10000</v>
      </c>
      <c r="FF80">
        <v>10000</v>
      </c>
      <c r="FG80">
        <v>10000</v>
      </c>
      <c r="FH80">
        <v>10000</v>
      </c>
      <c r="FI80">
        <v>10000</v>
      </c>
      <c r="FJ80">
        <v>10000</v>
      </c>
      <c r="FK80">
        <v>10000</v>
      </c>
      <c r="FL80">
        <v>10000</v>
      </c>
      <c r="FM80">
        <v>10000</v>
      </c>
      <c r="FN80">
        <v>10000</v>
      </c>
      <c r="FO80">
        <v>10000</v>
      </c>
      <c r="FP80">
        <v>10000</v>
      </c>
      <c r="FQ80">
        <v>10000</v>
      </c>
      <c r="FR80">
        <v>10000</v>
      </c>
      <c r="FS80">
        <v>10000</v>
      </c>
      <c r="FT80">
        <v>10000</v>
      </c>
      <c r="FU80">
        <v>10000</v>
      </c>
      <c r="FV80">
        <v>10000</v>
      </c>
      <c r="FW80">
        <v>10000</v>
      </c>
      <c r="FX80">
        <v>10000</v>
      </c>
      <c r="FY80">
        <v>10000</v>
      </c>
      <c r="FZ80">
        <v>10000</v>
      </c>
      <c r="GA80">
        <v>10000</v>
      </c>
      <c r="GB80">
        <v>10000</v>
      </c>
      <c r="GC80">
        <v>10000</v>
      </c>
      <c r="GD80">
        <v>10000</v>
      </c>
      <c r="GE80">
        <v>10000</v>
      </c>
      <c r="GF80">
        <v>10000</v>
      </c>
      <c r="GG80">
        <v>10000</v>
      </c>
      <c r="GH80">
        <v>10000</v>
      </c>
      <c r="GI80">
        <v>10000</v>
      </c>
      <c r="GJ80">
        <v>10000</v>
      </c>
      <c r="GK80">
        <v>10000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row>
    <row r="81" spans="1:245" hidden="1">
      <c r="A81" s="343" t="s">
        <v>633</v>
      </c>
      <c r="B81" t="s">
        <v>1010</v>
      </c>
      <c r="F81">
        <v>2</v>
      </c>
      <c r="G81" s="431"/>
      <c r="H81">
        <v>27</v>
      </c>
      <c r="J81" t="str">
        <f t="shared" si="3"/>
        <v>SDJ200227</v>
      </c>
      <c r="K81">
        <v>394</v>
      </c>
      <c r="M81" s="343" t="s">
        <v>633</v>
      </c>
      <c r="N81" t="s">
        <v>1010</v>
      </c>
      <c r="O81">
        <v>2</v>
      </c>
      <c r="P81">
        <v>27</v>
      </c>
      <c r="Q81" s="184" t="str">
        <f t="shared" si="4"/>
        <v>SDJ200227</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10000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s="132"/>
      <c r="DZ81" s="343" t="s">
        <v>633</v>
      </c>
      <c r="EA81" t="s">
        <v>1010</v>
      </c>
      <c r="EB81">
        <v>2</v>
      </c>
      <c r="EC81">
        <v>27</v>
      </c>
      <c r="ED81" s="184" t="str">
        <f t="shared" si="5"/>
        <v>SDJ200227</v>
      </c>
      <c r="EE81">
        <v>10000</v>
      </c>
      <c r="EF81">
        <v>10000</v>
      </c>
      <c r="EG81">
        <v>10000</v>
      </c>
      <c r="EH81">
        <v>10000</v>
      </c>
      <c r="EI81">
        <v>10000</v>
      </c>
      <c r="EJ81">
        <v>10000</v>
      </c>
      <c r="EK81">
        <v>10000</v>
      </c>
      <c r="EL81">
        <v>10000</v>
      </c>
      <c r="EM81">
        <v>10000</v>
      </c>
      <c r="EN81">
        <v>10000</v>
      </c>
      <c r="EO81">
        <v>10000</v>
      </c>
      <c r="EP81">
        <v>10000</v>
      </c>
      <c r="EQ81">
        <v>10000</v>
      </c>
      <c r="ER81">
        <v>10000</v>
      </c>
      <c r="ES81">
        <v>10000</v>
      </c>
      <c r="ET81">
        <v>10000</v>
      </c>
      <c r="EU81">
        <v>10000</v>
      </c>
      <c r="EV81">
        <v>10000</v>
      </c>
      <c r="EW81">
        <v>10000</v>
      </c>
      <c r="EX81">
        <v>10000</v>
      </c>
      <c r="EY81">
        <v>10000</v>
      </c>
      <c r="EZ81">
        <v>10000</v>
      </c>
      <c r="FA81">
        <v>10000</v>
      </c>
      <c r="FB81">
        <v>10000</v>
      </c>
      <c r="FC81">
        <v>10000</v>
      </c>
      <c r="FD81">
        <v>10000</v>
      </c>
      <c r="FE81">
        <v>10000</v>
      </c>
      <c r="FF81">
        <v>10000</v>
      </c>
      <c r="FG81">
        <v>10000</v>
      </c>
      <c r="FH81">
        <v>10000</v>
      </c>
      <c r="FI81">
        <v>10000</v>
      </c>
      <c r="FJ81">
        <v>10000</v>
      </c>
      <c r="FK81">
        <v>10000</v>
      </c>
      <c r="FL81">
        <v>10000</v>
      </c>
      <c r="FM81">
        <v>10000</v>
      </c>
      <c r="FN81">
        <v>10000</v>
      </c>
      <c r="FO81">
        <v>10000</v>
      </c>
      <c r="FP81">
        <v>10000</v>
      </c>
      <c r="FQ81">
        <v>10000</v>
      </c>
      <c r="FR81">
        <v>10000</v>
      </c>
      <c r="FS81">
        <v>10000</v>
      </c>
      <c r="FT81">
        <v>10000</v>
      </c>
      <c r="FU81">
        <v>10000</v>
      </c>
      <c r="FV81">
        <v>10000</v>
      </c>
      <c r="FW81">
        <v>10000</v>
      </c>
      <c r="FX81">
        <v>10000</v>
      </c>
      <c r="FY81">
        <v>10000</v>
      </c>
      <c r="FZ81">
        <v>10000</v>
      </c>
      <c r="GA81">
        <v>10000</v>
      </c>
      <c r="GB81">
        <v>10000</v>
      </c>
      <c r="GC81">
        <v>10000</v>
      </c>
      <c r="GD81">
        <v>10000</v>
      </c>
      <c r="GE81">
        <v>10000</v>
      </c>
      <c r="GF81">
        <v>10000</v>
      </c>
      <c r="GG81">
        <v>10000</v>
      </c>
      <c r="GH81">
        <v>10000</v>
      </c>
      <c r="GI81">
        <v>10000</v>
      </c>
      <c r="GJ81">
        <v>10000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row>
    <row r="82" spans="1:245" hidden="1">
      <c r="A82" s="343" t="s">
        <v>633</v>
      </c>
      <c r="B82" t="s">
        <v>1010</v>
      </c>
      <c r="F82">
        <v>2</v>
      </c>
      <c r="G82" s="431"/>
      <c r="H82">
        <v>28</v>
      </c>
      <c r="J82" t="str">
        <f t="shared" si="3"/>
        <v>SDJ200228</v>
      </c>
      <c r="K82">
        <v>401</v>
      </c>
      <c r="M82" s="343" t="s">
        <v>633</v>
      </c>
      <c r="N82" t="s">
        <v>1010</v>
      </c>
      <c r="O82">
        <v>2</v>
      </c>
      <c r="P82">
        <v>28</v>
      </c>
      <c r="Q82" s="184" t="str">
        <f t="shared" si="4"/>
        <v>SDJ200228</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10000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s="132"/>
      <c r="DZ82" s="343" t="s">
        <v>633</v>
      </c>
      <c r="EA82" t="s">
        <v>1010</v>
      </c>
      <c r="EB82">
        <v>2</v>
      </c>
      <c r="EC82">
        <v>28</v>
      </c>
      <c r="ED82" s="184" t="str">
        <f t="shared" si="5"/>
        <v>SDJ200228</v>
      </c>
      <c r="EE82">
        <v>10000</v>
      </c>
      <c r="EF82">
        <v>10000</v>
      </c>
      <c r="EG82">
        <v>10000</v>
      </c>
      <c r="EH82">
        <v>10000</v>
      </c>
      <c r="EI82">
        <v>10000</v>
      </c>
      <c r="EJ82">
        <v>10000</v>
      </c>
      <c r="EK82">
        <v>10000</v>
      </c>
      <c r="EL82">
        <v>10000</v>
      </c>
      <c r="EM82">
        <v>10000</v>
      </c>
      <c r="EN82">
        <v>10000</v>
      </c>
      <c r="EO82">
        <v>10000</v>
      </c>
      <c r="EP82">
        <v>10000</v>
      </c>
      <c r="EQ82">
        <v>10000</v>
      </c>
      <c r="ER82">
        <v>10000</v>
      </c>
      <c r="ES82">
        <v>10000</v>
      </c>
      <c r="ET82">
        <v>10000</v>
      </c>
      <c r="EU82">
        <v>10000</v>
      </c>
      <c r="EV82">
        <v>10000</v>
      </c>
      <c r="EW82">
        <v>10000</v>
      </c>
      <c r="EX82">
        <v>10000</v>
      </c>
      <c r="EY82">
        <v>10000</v>
      </c>
      <c r="EZ82">
        <v>10000</v>
      </c>
      <c r="FA82">
        <v>10000</v>
      </c>
      <c r="FB82">
        <v>10000</v>
      </c>
      <c r="FC82">
        <v>10000</v>
      </c>
      <c r="FD82">
        <v>10000</v>
      </c>
      <c r="FE82">
        <v>10000</v>
      </c>
      <c r="FF82">
        <v>10000</v>
      </c>
      <c r="FG82">
        <v>10000</v>
      </c>
      <c r="FH82">
        <v>10000</v>
      </c>
      <c r="FI82">
        <v>10000</v>
      </c>
      <c r="FJ82">
        <v>10000</v>
      </c>
      <c r="FK82">
        <v>10000</v>
      </c>
      <c r="FL82">
        <v>10000</v>
      </c>
      <c r="FM82">
        <v>10000</v>
      </c>
      <c r="FN82">
        <v>10000</v>
      </c>
      <c r="FO82">
        <v>10000</v>
      </c>
      <c r="FP82">
        <v>10000</v>
      </c>
      <c r="FQ82">
        <v>10000</v>
      </c>
      <c r="FR82">
        <v>10000</v>
      </c>
      <c r="FS82">
        <v>10000</v>
      </c>
      <c r="FT82">
        <v>10000</v>
      </c>
      <c r="FU82">
        <v>10000</v>
      </c>
      <c r="FV82">
        <v>10000</v>
      </c>
      <c r="FW82">
        <v>10000</v>
      </c>
      <c r="FX82">
        <v>10000</v>
      </c>
      <c r="FY82">
        <v>10000</v>
      </c>
      <c r="FZ82">
        <v>10000</v>
      </c>
      <c r="GA82">
        <v>10000</v>
      </c>
      <c r="GB82">
        <v>10000</v>
      </c>
      <c r="GC82">
        <v>10000</v>
      </c>
      <c r="GD82">
        <v>10000</v>
      </c>
      <c r="GE82">
        <v>10000</v>
      </c>
      <c r="GF82">
        <v>10000</v>
      </c>
      <c r="GG82">
        <v>10000</v>
      </c>
      <c r="GH82">
        <v>10000</v>
      </c>
      <c r="GI82">
        <v>10000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row>
    <row r="83" spans="1:245" hidden="1">
      <c r="A83" s="343" t="s">
        <v>633</v>
      </c>
      <c r="B83" t="s">
        <v>1010</v>
      </c>
      <c r="F83">
        <v>2</v>
      </c>
      <c r="G83" s="431"/>
      <c r="H83">
        <v>29</v>
      </c>
      <c r="J83" t="str">
        <f t="shared" si="3"/>
        <v>SDJ200229</v>
      </c>
      <c r="K83">
        <v>409</v>
      </c>
      <c r="M83" s="343" t="s">
        <v>633</v>
      </c>
      <c r="N83" t="s">
        <v>1010</v>
      </c>
      <c r="O83">
        <v>2</v>
      </c>
      <c r="P83">
        <v>29</v>
      </c>
      <c r="Q83" s="184" t="str">
        <f t="shared" si="4"/>
        <v>SDJ200229</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10000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s="132"/>
      <c r="DZ83" s="343" t="s">
        <v>633</v>
      </c>
      <c r="EA83" t="s">
        <v>1010</v>
      </c>
      <c r="EB83">
        <v>2</v>
      </c>
      <c r="EC83">
        <v>29</v>
      </c>
      <c r="ED83" s="184" t="str">
        <f t="shared" si="5"/>
        <v>SDJ200229</v>
      </c>
      <c r="EE83">
        <v>10000</v>
      </c>
      <c r="EF83">
        <v>10000</v>
      </c>
      <c r="EG83">
        <v>10000</v>
      </c>
      <c r="EH83">
        <v>10000</v>
      </c>
      <c r="EI83">
        <v>10000</v>
      </c>
      <c r="EJ83">
        <v>10000</v>
      </c>
      <c r="EK83">
        <v>10000</v>
      </c>
      <c r="EL83">
        <v>10000</v>
      </c>
      <c r="EM83">
        <v>10000</v>
      </c>
      <c r="EN83">
        <v>10000</v>
      </c>
      <c r="EO83">
        <v>10000</v>
      </c>
      <c r="EP83">
        <v>10000</v>
      </c>
      <c r="EQ83">
        <v>10000</v>
      </c>
      <c r="ER83">
        <v>10000</v>
      </c>
      <c r="ES83">
        <v>10000</v>
      </c>
      <c r="ET83">
        <v>10000</v>
      </c>
      <c r="EU83">
        <v>10000</v>
      </c>
      <c r="EV83">
        <v>10000</v>
      </c>
      <c r="EW83">
        <v>10000</v>
      </c>
      <c r="EX83">
        <v>10000</v>
      </c>
      <c r="EY83">
        <v>10000</v>
      </c>
      <c r="EZ83">
        <v>10000</v>
      </c>
      <c r="FA83">
        <v>10000</v>
      </c>
      <c r="FB83">
        <v>10000</v>
      </c>
      <c r="FC83">
        <v>10000</v>
      </c>
      <c r="FD83">
        <v>10000</v>
      </c>
      <c r="FE83">
        <v>10000</v>
      </c>
      <c r="FF83">
        <v>10000</v>
      </c>
      <c r="FG83">
        <v>10000</v>
      </c>
      <c r="FH83">
        <v>10000</v>
      </c>
      <c r="FI83">
        <v>10000</v>
      </c>
      <c r="FJ83">
        <v>10000</v>
      </c>
      <c r="FK83">
        <v>10000</v>
      </c>
      <c r="FL83">
        <v>10000</v>
      </c>
      <c r="FM83">
        <v>10000</v>
      </c>
      <c r="FN83">
        <v>10000</v>
      </c>
      <c r="FO83">
        <v>10000</v>
      </c>
      <c r="FP83">
        <v>10000</v>
      </c>
      <c r="FQ83">
        <v>10000</v>
      </c>
      <c r="FR83">
        <v>10000</v>
      </c>
      <c r="FS83">
        <v>10000</v>
      </c>
      <c r="FT83">
        <v>10000</v>
      </c>
      <c r="FU83">
        <v>10000</v>
      </c>
      <c r="FV83">
        <v>10000</v>
      </c>
      <c r="FW83">
        <v>10000</v>
      </c>
      <c r="FX83">
        <v>10000</v>
      </c>
      <c r="FY83">
        <v>10000</v>
      </c>
      <c r="FZ83">
        <v>10000</v>
      </c>
      <c r="GA83">
        <v>10000</v>
      </c>
      <c r="GB83">
        <v>10000</v>
      </c>
      <c r="GC83">
        <v>10000</v>
      </c>
      <c r="GD83">
        <v>10000</v>
      </c>
      <c r="GE83">
        <v>10000</v>
      </c>
      <c r="GF83">
        <v>10000</v>
      </c>
      <c r="GG83">
        <v>10000</v>
      </c>
      <c r="GH83">
        <v>10000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row>
    <row r="84" spans="1:245" hidden="1">
      <c r="A84" s="343" t="s">
        <v>633</v>
      </c>
      <c r="B84" t="s">
        <v>1010</v>
      </c>
      <c r="F84">
        <v>2</v>
      </c>
      <c r="G84" s="431"/>
      <c r="H84">
        <v>30</v>
      </c>
      <c r="J84" t="str">
        <f t="shared" si="3"/>
        <v>SDJ200230</v>
      </c>
      <c r="K84">
        <v>416</v>
      </c>
      <c r="M84" s="343" t="s">
        <v>633</v>
      </c>
      <c r="N84" t="s">
        <v>1010</v>
      </c>
      <c r="O84">
        <v>2</v>
      </c>
      <c r="P84">
        <v>30</v>
      </c>
      <c r="Q84" s="184" t="str">
        <f t="shared" si="4"/>
        <v>SDJ200230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10000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s="132"/>
      <c r="DZ84" s="343" t="s">
        <v>633</v>
      </c>
      <c r="EA84" t="s">
        <v>1010</v>
      </c>
      <c r="EB84">
        <v>2</v>
      </c>
      <c r="EC84">
        <v>30</v>
      </c>
      <c r="ED84" s="184" t="str">
        <f t="shared" si="5"/>
        <v>SDJ200230</v>
      </c>
      <c r="EE84">
        <v>10000</v>
      </c>
      <c r="EF84">
        <v>10000</v>
      </c>
      <c r="EG84">
        <v>10000</v>
      </c>
      <c r="EH84">
        <v>10000</v>
      </c>
      <c r="EI84">
        <v>10000</v>
      </c>
      <c r="EJ84">
        <v>10000</v>
      </c>
      <c r="EK84">
        <v>10000</v>
      </c>
      <c r="EL84">
        <v>10000</v>
      </c>
      <c r="EM84">
        <v>10000</v>
      </c>
      <c r="EN84">
        <v>10000</v>
      </c>
      <c r="EO84">
        <v>10000</v>
      </c>
      <c r="EP84">
        <v>10000</v>
      </c>
      <c r="EQ84">
        <v>10000</v>
      </c>
      <c r="ER84">
        <v>10000</v>
      </c>
      <c r="ES84">
        <v>10000</v>
      </c>
      <c r="ET84">
        <v>10000</v>
      </c>
      <c r="EU84">
        <v>10000</v>
      </c>
      <c r="EV84">
        <v>10000</v>
      </c>
      <c r="EW84">
        <v>10000</v>
      </c>
      <c r="EX84">
        <v>10000</v>
      </c>
      <c r="EY84">
        <v>10000</v>
      </c>
      <c r="EZ84">
        <v>10000</v>
      </c>
      <c r="FA84">
        <v>10000</v>
      </c>
      <c r="FB84">
        <v>10000</v>
      </c>
      <c r="FC84">
        <v>10000</v>
      </c>
      <c r="FD84">
        <v>10000</v>
      </c>
      <c r="FE84">
        <v>10000</v>
      </c>
      <c r="FF84">
        <v>10000</v>
      </c>
      <c r="FG84">
        <v>10000</v>
      </c>
      <c r="FH84">
        <v>10000</v>
      </c>
      <c r="FI84">
        <v>10000</v>
      </c>
      <c r="FJ84">
        <v>10000</v>
      </c>
      <c r="FK84">
        <v>10000</v>
      </c>
      <c r="FL84">
        <v>10000</v>
      </c>
      <c r="FM84">
        <v>10000</v>
      </c>
      <c r="FN84">
        <v>10000</v>
      </c>
      <c r="FO84">
        <v>10000</v>
      </c>
      <c r="FP84">
        <v>10000</v>
      </c>
      <c r="FQ84">
        <v>10000</v>
      </c>
      <c r="FR84">
        <v>10000</v>
      </c>
      <c r="FS84">
        <v>10000</v>
      </c>
      <c r="FT84">
        <v>10000</v>
      </c>
      <c r="FU84">
        <v>10000</v>
      </c>
      <c r="FV84">
        <v>10000</v>
      </c>
      <c r="FW84">
        <v>10000</v>
      </c>
      <c r="FX84">
        <v>10000</v>
      </c>
      <c r="FY84">
        <v>10000</v>
      </c>
      <c r="FZ84">
        <v>10000</v>
      </c>
      <c r="GA84">
        <v>10000</v>
      </c>
      <c r="GB84">
        <v>10000</v>
      </c>
      <c r="GC84">
        <v>10000</v>
      </c>
      <c r="GD84">
        <v>10000</v>
      </c>
      <c r="GE84">
        <v>10000</v>
      </c>
      <c r="GF84">
        <v>10000</v>
      </c>
      <c r="GG84">
        <v>10000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row>
    <row r="85" spans="1:245" hidden="1">
      <c r="A85" s="343" t="s">
        <v>633</v>
      </c>
      <c r="B85" t="s">
        <v>1010</v>
      </c>
      <c r="F85">
        <v>2</v>
      </c>
      <c r="H85">
        <v>31</v>
      </c>
      <c r="J85" t="str">
        <f t="shared" si="3"/>
        <v>SDJ200231</v>
      </c>
      <c r="K85">
        <v>418</v>
      </c>
      <c r="M85" s="343" t="s">
        <v>633</v>
      </c>
      <c r="N85" t="s">
        <v>1010</v>
      </c>
      <c r="O85">
        <v>2</v>
      </c>
      <c r="P85">
        <v>31</v>
      </c>
      <c r="Q85" s="184" t="str">
        <f t="shared" si="4"/>
        <v>SDJ200231</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10000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s="132"/>
      <c r="DZ85" s="343" t="s">
        <v>633</v>
      </c>
      <c r="EA85" t="s">
        <v>1010</v>
      </c>
      <c r="EB85">
        <v>2</v>
      </c>
      <c r="EC85">
        <v>31</v>
      </c>
      <c r="ED85" s="184" t="str">
        <f t="shared" si="5"/>
        <v>SDJ200231</v>
      </c>
      <c r="EE85">
        <v>10000</v>
      </c>
      <c r="EF85">
        <v>10000</v>
      </c>
      <c r="EG85">
        <v>10000</v>
      </c>
      <c r="EH85">
        <v>10000</v>
      </c>
      <c r="EI85">
        <v>10000</v>
      </c>
      <c r="EJ85">
        <v>10000</v>
      </c>
      <c r="EK85">
        <v>10000</v>
      </c>
      <c r="EL85">
        <v>10000</v>
      </c>
      <c r="EM85">
        <v>10000</v>
      </c>
      <c r="EN85">
        <v>10000</v>
      </c>
      <c r="EO85">
        <v>10000</v>
      </c>
      <c r="EP85">
        <v>10000</v>
      </c>
      <c r="EQ85">
        <v>10000</v>
      </c>
      <c r="ER85">
        <v>10000</v>
      </c>
      <c r="ES85">
        <v>10000</v>
      </c>
      <c r="ET85">
        <v>10000</v>
      </c>
      <c r="EU85">
        <v>10000</v>
      </c>
      <c r="EV85">
        <v>10000</v>
      </c>
      <c r="EW85">
        <v>10000</v>
      </c>
      <c r="EX85">
        <v>10000</v>
      </c>
      <c r="EY85">
        <v>10000</v>
      </c>
      <c r="EZ85">
        <v>10000</v>
      </c>
      <c r="FA85">
        <v>10000</v>
      </c>
      <c r="FB85">
        <v>10000</v>
      </c>
      <c r="FC85">
        <v>10000</v>
      </c>
      <c r="FD85">
        <v>10000</v>
      </c>
      <c r="FE85">
        <v>10000</v>
      </c>
      <c r="FF85">
        <v>10000</v>
      </c>
      <c r="FG85">
        <v>10000</v>
      </c>
      <c r="FH85">
        <v>10000</v>
      </c>
      <c r="FI85">
        <v>10000</v>
      </c>
      <c r="FJ85">
        <v>10000</v>
      </c>
      <c r="FK85">
        <v>10000</v>
      </c>
      <c r="FL85">
        <v>10000</v>
      </c>
      <c r="FM85">
        <v>10000</v>
      </c>
      <c r="FN85">
        <v>10000</v>
      </c>
      <c r="FO85">
        <v>10000</v>
      </c>
      <c r="FP85">
        <v>10000</v>
      </c>
      <c r="FQ85">
        <v>10000</v>
      </c>
      <c r="FR85">
        <v>10000</v>
      </c>
      <c r="FS85">
        <v>10000</v>
      </c>
      <c r="FT85">
        <v>10000</v>
      </c>
      <c r="FU85">
        <v>10000</v>
      </c>
      <c r="FV85">
        <v>10000</v>
      </c>
      <c r="FW85">
        <v>10000</v>
      </c>
      <c r="FX85">
        <v>10000</v>
      </c>
      <c r="FY85">
        <v>10000</v>
      </c>
      <c r="FZ85">
        <v>10000</v>
      </c>
      <c r="GA85">
        <v>10000</v>
      </c>
      <c r="GB85">
        <v>10000</v>
      </c>
      <c r="GC85">
        <v>10000</v>
      </c>
      <c r="GD85">
        <v>10000</v>
      </c>
      <c r="GE85">
        <v>10000</v>
      </c>
      <c r="GF85">
        <v>10000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row>
    <row r="86" spans="1:245" hidden="1">
      <c r="A86" s="343" t="s">
        <v>633</v>
      </c>
      <c r="B86" t="s">
        <v>1010</v>
      </c>
      <c r="F86">
        <v>2</v>
      </c>
      <c r="H86">
        <v>32</v>
      </c>
      <c r="J86" t="str">
        <f t="shared" si="3"/>
        <v>SDJ200232</v>
      </c>
      <c r="K86">
        <v>424</v>
      </c>
      <c r="M86" s="343" t="s">
        <v>633</v>
      </c>
      <c r="N86" t="s">
        <v>1010</v>
      </c>
      <c r="O86">
        <v>2</v>
      </c>
      <c r="P86">
        <v>32</v>
      </c>
      <c r="Q86" s="184" t="str">
        <f t="shared" si="4"/>
        <v>SDJ200232</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10000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s="132"/>
      <c r="DZ86" s="343" t="s">
        <v>633</v>
      </c>
      <c r="EA86" t="s">
        <v>1010</v>
      </c>
      <c r="EB86">
        <v>2</v>
      </c>
      <c r="EC86">
        <v>32</v>
      </c>
      <c r="ED86" s="184" t="str">
        <f t="shared" si="5"/>
        <v>SDJ200232</v>
      </c>
      <c r="EE86">
        <v>10000</v>
      </c>
      <c r="EF86">
        <v>10000</v>
      </c>
      <c r="EG86">
        <v>10000</v>
      </c>
      <c r="EH86">
        <v>10000</v>
      </c>
      <c r="EI86">
        <v>10000</v>
      </c>
      <c r="EJ86">
        <v>10000</v>
      </c>
      <c r="EK86">
        <v>10000</v>
      </c>
      <c r="EL86">
        <v>10000</v>
      </c>
      <c r="EM86">
        <v>10000</v>
      </c>
      <c r="EN86">
        <v>10000</v>
      </c>
      <c r="EO86">
        <v>10000</v>
      </c>
      <c r="EP86">
        <v>10000</v>
      </c>
      <c r="EQ86">
        <v>10000</v>
      </c>
      <c r="ER86">
        <v>10000</v>
      </c>
      <c r="ES86">
        <v>10000</v>
      </c>
      <c r="ET86">
        <v>10000</v>
      </c>
      <c r="EU86">
        <v>10000</v>
      </c>
      <c r="EV86">
        <v>10000</v>
      </c>
      <c r="EW86">
        <v>10000</v>
      </c>
      <c r="EX86">
        <v>10000</v>
      </c>
      <c r="EY86">
        <v>10000</v>
      </c>
      <c r="EZ86">
        <v>10000</v>
      </c>
      <c r="FA86">
        <v>10000</v>
      </c>
      <c r="FB86">
        <v>10000</v>
      </c>
      <c r="FC86">
        <v>10000</v>
      </c>
      <c r="FD86">
        <v>10000</v>
      </c>
      <c r="FE86">
        <v>10000</v>
      </c>
      <c r="FF86">
        <v>10000</v>
      </c>
      <c r="FG86">
        <v>10000</v>
      </c>
      <c r="FH86">
        <v>10000</v>
      </c>
      <c r="FI86">
        <v>10000</v>
      </c>
      <c r="FJ86">
        <v>10000</v>
      </c>
      <c r="FK86">
        <v>10000</v>
      </c>
      <c r="FL86">
        <v>10000</v>
      </c>
      <c r="FM86">
        <v>10000</v>
      </c>
      <c r="FN86">
        <v>10000</v>
      </c>
      <c r="FO86">
        <v>10000</v>
      </c>
      <c r="FP86">
        <v>10000</v>
      </c>
      <c r="FQ86">
        <v>10000</v>
      </c>
      <c r="FR86">
        <v>10000</v>
      </c>
      <c r="FS86">
        <v>10000</v>
      </c>
      <c r="FT86">
        <v>10000</v>
      </c>
      <c r="FU86">
        <v>10000</v>
      </c>
      <c r="FV86">
        <v>10000</v>
      </c>
      <c r="FW86">
        <v>10000</v>
      </c>
      <c r="FX86">
        <v>10000</v>
      </c>
      <c r="FY86">
        <v>10000</v>
      </c>
      <c r="FZ86">
        <v>10000</v>
      </c>
      <c r="GA86">
        <v>10000</v>
      </c>
      <c r="GB86">
        <v>10000</v>
      </c>
      <c r="GC86">
        <v>10000</v>
      </c>
      <c r="GD86">
        <v>10000</v>
      </c>
      <c r="GE86">
        <v>10000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row>
    <row r="87" spans="1:245" hidden="1">
      <c r="A87" s="343" t="s">
        <v>633</v>
      </c>
      <c r="B87" t="s">
        <v>1010</v>
      </c>
      <c r="F87">
        <v>2</v>
      </c>
      <c r="H87">
        <v>33</v>
      </c>
      <c r="J87" t="str">
        <f t="shared" si="3"/>
        <v>SDJ200233</v>
      </c>
      <c r="K87">
        <v>429</v>
      </c>
      <c r="M87" s="343" t="s">
        <v>633</v>
      </c>
      <c r="N87" t="s">
        <v>1010</v>
      </c>
      <c r="O87">
        <v>2</v>
      </c>
      <c r="P87">
        <v>33</v>
      </c>
      <c r="Q87" s="184" t="str">
        <f t="shared" si="4"/>
        <v>SDJ200233</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10000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s="132"/>
      <c r="DZ87" s="343" t="s">
        <v>633</v>
      </c>
      <c r="EA87" t="s">
        <v>1010</v>
      </c>
      <c r="EB87">
        <v>2</v>
      </c>
      <c r="EC87">
        <v>33</v>
      </c>
      <c r="ED87" s="184" t="str">
        <f t="shared" si="5"/>
        <v>SDJ200233</v>
      </c>
      <c r="EE87">
        <v>10000</v>
      </c>
      <c r="EF87">
        <v>10000</v>
      </c>
      <c r="EG87">
        <v>10000</v>
      </c>
      <c r="EH87">
        <v>10000</v>
      </c>
      <c r="EI87">
        <v>10000</v>
      </c>
      <c r="EJ87">
        <v>10000</v>
      </c>
      <c r="EK87">
        <v>10000</v>
      </c>
      <c r="EL87">
        <v>10000</v>
      </c>
      <c r="EM87">
        <v>10000</v>
      </c>
      <c r="EN87">
        <v>10000</v>
      </c>
      <c r="EO87">
        <v>10000</v>
      </c>
      <c r="EP87">
        <v>10000</v>
      </c>
      <c r="EQ87">
        <v>10000</v>
      </c>
      <c r="ER87">
        <v>10000</v>
      </c>
      <c r="ES87">
        <v>10000</v>
      </c>
      <c r="ET87">
        <v>10000</v>
      </c>
      <c r="EU87">
        <v>10000</v>
      </c>
      <c r="EV87">
        <v>10000</v>
      </c>
      <c r="EW87">
        <v>10000</v>
      </c>
      <c r="EX87">
        <v>10000</v>
      </c>
      <c r="EY87">
        <v>10000</v>
      </c>
      <c r="EZ87">
        <v>10000</v>
      </c>
      <c r="FA87">
        <v>10000</v>
      </c>
      <c r="FB87">
        <v>10000</v>
      </c>
      <c r="FC87">
        <v>10000</v>
      </c>
      <c r="FD87">
        <v>10000</v>
      </c>
      <c r="FE87">
        <v>10000</v>
      </c>
      <c r="FF87">
        <v>10000</v>
      </c>
      <c r="FG87">
        <v>10000</v>
      </c>
      <c r="FH87">
        <v>10000</v>
      </c>
      <c r="FI87">
        <v>10000</v>
      </c>
      <c r="FJ87">
        <v>10000</v>
      </c>
      <c r="FK87">
        <v>10000</v>
      </c>
      <c r="FL87">
        <v>10000</v>
      </c>
      <c r="FM87">
        <v>10000</v>
      </c>
      <c r="FN87">
        <v>10000</v>
      </c>
      <c r="FO87">
        <v>10000</v>
      </c>
      <c r="FP87">
        <v>10000</v>
      </c>
      <c r="FQ87">
        <v>10000</v>
      </c>
      <c r="FR87">
        <v>10000</v>
      </c>
      <c r="FS87">
        <v>10000</v>
      </c>
      <c r="FT87">
        <v>10000</v>
      </c>
      <c r="FU87">
        <v>10000</v>
      </c>
      <c r="FV87">
        <v>10000</v>
      </c>
      <c r="FW87">
        <v>10000</v>
      </c>
      <c r="FX87">
        <v>10000</v>
      </c>
      <c r="FY87">
        <v>10000</v>
      </c>
      <c r="FZ87">
        <v>10000</v>
      </c>
      <c r="GA87">
        <v>10000</v>
      </c>
      <c r="GB87">
        <v>10000</v>
      </c>
      <c r="GC87">
        <v>10000</v>
      </c>
      <c r="GD87">
        <v>10000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row>
    <row r="88" spans="1:245" hidden="1">
      <c r="A88" s="343" t="s">
        <v>633</v>
      </c>
      <c r="B88" t="s">
        <v>1010</v>
      </c>
      <c r="F88">
        <v>2</v>
      </c>
      <c r="H88">
        <v>34</v>
      </c>
      <c r="J88" t="str">
        <f t="shared" si="3"/>
        <v>SDJ200234</v>
      </c>
      <c r="K88">
        <v>435</v>
      </c>
      <c r="M88" s="343" t="s">
        <v>633</v>
      </c>
      <c r="N88" t="s">
        <v>1010</v>
      </c>
      <c r="O88">
        <v>2</v>
      </c>
      <c r="P88">
        <v>34</v>
      </c>
      <c r="Q88" s="184" t="str">
        <f t="shared" si="4"/>
        <v>SDJ200234</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10000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s="132"/>
      <c r="DZ88" s="343" t="s">
        <v>633</v>
      </c>
      <c r="EA88" t="s">
        <v>1010</v>
      </c>
      <c r="EB88">
        <v>2</v>
      </c>
      <c r="EC88">
        <v>34</v>
      </c>
      <c r="ED88" s="184" t="str">
        <f t="shared" si="5"/>
        <v>SDJ200234</v>
      </c>
      <c r="EE88">
        <v>10000</v>
      </c>
      <c r="EF88">
        <v>10000</v>
      </c>
      <c r="EG88">
        <v>10000</v>
      </c>
      <c r="EH88">
        <v>10000</v>
      </c>
      <c r="EI88">
        <v>10000</v>
      </c>
      <c r="EJ88">
        <v>10000</v>
      </c>
      <c r="EK88">
        <v>10000</v>
      </c>
      <c r="EL88">
        <v>10000</v>
      </c>
      <c r="EM88">
        <v>10000</v>
      </c>
      <c r="EN88">
        <v>10000</v>
      </c>
      <c r="EO88">
        <v>10000</v>
      </c>
      <c r="EP88">
        <v>10000</v>
      </c>
      <c r="EQ88">
        <v>10000</v>
      </c>
      <c r="ER88">
        <v>10000</v>
      </c>
      <c r="ES88">
        <v>10000</v>
      </c>
      <c r="ET88">
        <v>10000</v>
      </c>
      <c r="EU88">
        <v>10000</v>
      </c>
      <c r="EV88">
        <v>10000</v>
      </c>
      <c r="EW88">
        <v>10000</v>
      </c>
      <c r="EX88">
        <v>10000</v>
      </c>
      <c r="EY88">
        <v>10000</v>
      </c>
      <c r="EZ88">
        <v>10000</v>
      </c>
      <c r="FA88">
        <v>10000</v>
      </c>
      <c r="FB88">
        <v>10000</v>
      </c>
      <c r="FC88">
        <v>10000</v>
      </c>
      <c r="FD88">
        <v>10000</v>
      </c>
      <c r="FE88">
        <v>10000</v>
      </c>
      <c r="FF88">
        <v>10000</v>
      </c>
      <c r="FG88">
        <v>10000</v>
      </c>
      <c r="FH88">
        <v>10000</v>
      </c>
      <c r="FI88">
        <v>10000</v>
      </c>
      <c r="FJ88">
        <v>10000</v>
      </c>
      <c r="FK88">
        <v>10000</v>
      </c>
      <c r="FL88">
        <v>10000</v>
      </c>
      <c r="FM88">
        <v>10000</v>
      </c>
      <c r="FN88">
        <v>10000</v>
      </c>
      <c r="FO88">
        <v>10000</v>
      </c>
      <c r="FP88">
        <v>10000</v>
      </c>
      <c r="FQ88">
        <v>10000</v>
      </c>
      <c r="FR88">
        <v>10000</v>
      </c>
      <c r="FS88">
        <v>10000</v>
      </c>
      <c r="FT88">
        <v>10000</v>
      </c>
      <c r="FU88">
        <v>10000</v>
      </c>
      <c r="FV88">
        <v>10000</v>
      </c>
      <c r="FW88">
        <v>10000</v>
      </c>
      <c r="FX88">
        <v>10000</v>
      </c>
      <c r="FY88">
        <v>10000</v>
      </c>
      <c r="FZ88">
        <v>10000</v>
      </c>
      <c r="GA88">
        <v>10000</v>
      </c>
      <c r="GB88">
        <v>10000</v>
      </c>
      <c r="GC88">
        <v>10000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row>
    <row r="89" spans="1:245" hidden="1">
      <c r="A89" s="343" t="s">
        <v>633</v>
      </c>
      <c r="B89" t="s">
        <v>1010</v>
      </c>
      <c r="F89">
        <v>2</v>
      </c>
      <c r="H89">
        <v>35</v>
      </c>
      <c r="J89" t="str">
        <f t="shared" si="3"/>
        <v>SDJ200235</v>
      </c>
      <c r="K89">
        <v>438</v>
      </c>
      <c r="M89" s="343" t="s">
        <v>633</v>
      </c>
      <c r="N89" t="s">
        <v>1010</v>
      </c>
      <c r="O89">
        <v>2</v>
      </c>
      <c r="P89">
        <v>35</v>
      </c>
      <c r="Q89" s="184" t="str">
        <f t="shared" si="4"/>
        <v>SDJ200235</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10000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s="132"/>
      <c r="DZ89" s="343" t="s">
        <v>633</v>
      </c>
      <c r="EA89" t="s">
        <v>1010</v>
      </c>
      <c r="EB89">
        <v>2</v>
      </c>
      <c r="EC89">
        <v>35</v>
      </c>
      <c r="ED89" s="184" t="str">
        <f t="shared" si="5"/>
        <v>SDJ200235</v>
      </c>
      <c r="EE89">
        <v>10000</v>
      </c>
      <c r="EF89">
        <v>10000</v>
      </c>
      <c r="EG89">
        <v>10000</v>
      </c>
      <c r="EH89">
        <v>10000</v>
      </c>
      <c r="EI89">
        <v>10000</v>
      </c>
      <c r="EJ89">
        <v>10000</v>
      </c>
      <c r="EK89">
        <v>10000</v>
      </c>
      <c r="EL89">
        <v>10000</v>
      </c>
      <c r="EM89">
        <v>10000</v>
      </c>
      <c r="EN89">
        <v>10000</v>
      </c>
      <c r="EO89">
        <v>10000</v>
      </c>
      <c r="EP89">
        <v>10000</v>
      </c>
      <c r="EQ89">
        <v>10000</v>
      </c>
      <c r="ER89">
        <v>10000</v>
      </c>
      <c r="ES89">
        <v>10000</v>
      </c>
      <c r="ET89">
        <v>10000</v>
      </c>
      <c r="EU89">
        <v>10000</v>
      </c>
      <c r="EV89">
        <v>10000</v>
      </c>
      <c r="EW89">
        <v>10000</v>
      </c>
      <c r="EX89">
        <v>10000</v>
      </c>
      <c r="EY89">
        <v>10000</v>
      </c>
      <c r="EZ89">
        <v>10000</v>
      </c>
      <c r="FA89">
        <v>10000</v>
      </c>
      <c r="FB89">
        <v>10000</v>
      </c>
      <c r="FC89">
        <v>10000</v>
      </c>
      <c r="FD89">
        <v>10000</v>
      </c>
      <c r="FE89">
        <v>10000</v>
      </c>
      <c r="FF89">
        <v>10000</v>
      </c>
      <c r="FG89">
        <v>10000</v>
      </c>
      <c r="FH89">
        <v>10000</v>
      </c>
      <c r="FI89">
        <v>10000</v>
      </c>
      <c r="FJ89">
        <v>10000</v>
      </c>
      <c r="FK89">
        <v>10000</v>
      </c>
      <c r="FL89">
        <v>10000</v>
      </c>
      <c r="FM89">
        <v>10000</v>
      </c>
      <c r="FN89">
        <v>10000</v>
      </c>
      <c r="FO89">
        <v>10000</v>
      </c>
      <c r="FP89">
        <v>10000</v>
      </c>
      <c r="FQ89">
        <v>10000</v>
      </c>
      <c r="FR89">
        <v>10000</v>
      </c>
      <c r="FS89">
        <v>10000</v>
      </c>
      <c r="FT89">
        <v>10000</v>
      </c>
      <c r="FU89">
        <v>10000</v>
      </c>
      <c r="FV89">
        <v>10000</v>
      </c>
      <c r="FW89">
        <v>10000</v>
      </c>
      <c r="FX89">
        <v>10000</v>
      </c>
      <c r="FY89">
        <v>10000</v>
      </c>
      <c r="FZ89">
        <v>10000</v>
      </c>
      <c r="GA89">
        <v>10000</v>
      </c>
      <c r="GB89">
        <v>10000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row>
    <row r="90" spans="1:245" hidden="1">
      <c r="A90" s="343" t="s">
        <v>633</v>
      </c>
      <c r="B90" t="s">
        <v>1010</v>
      </c>
      <c r="F90">
        <v>2</v>
      </c>
      <c r="H90">
        <v>36</v>
      </c>
      <c r="J90" t="str">
        <f t="shared" si="3"/>
        <v>SDJ200236</v>
      </c>
      <c r="K90">
        <v>442</v>
      </c>
      <c r="M90" s="343" t="s">
        <v>633</v>
      </c>
      <c r="N90" t="s">
        <v>1010</v>
      </c>
      <c r="O90">
        <v>2</v>
      </c>
      <c r="P90">
        <v>36</v>
      </c>
      <c r="Q90" s="184" t="str">
        <f t="shared" si="4"/>
        <v>SDJ200236</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10000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s="132"/>
      <c r="DZ90" s="343" t="s">
        <v>633</v>
      </c>
      <c r="EA90" t="s">
        <v>1010</v>
      </c>
      <c r="EB90">
        <v>2</v>
      </c>
      <c r="EC90">
        <v>36</v>
      </c>
      <c r="ED90" s="184" t="str">
        <f t="shared" si="5"/>
        <v>SDJ200236</v>
      </c>
      <c r="EE90">
        <v>10000</v>
      </c>
      <c r="EF90">
        <v>10000</v>
      </c>
      <c r="EG90">
        <v>10000</v>
      </c>
      <c r="EH90">
        <v>10000</v>
      </c>
      <c r="EI90">
        <v>10000</v>
      </c>
      <c r="EJ90">
        <v>10000</v>
      </c>
      <c r="EK90">
        <v>10000</v>
      </c>
      <c r="EL90">
        <v>10000</v>
      </c>
      <c r="EM90">
        <v>10000</v>
      </c>
      <c r="EN90">
        <v>10000</v>
      </c>
      <c r="EO90">
        <v>10000</v>
      </c>
      <c r="EP90">
        <v>10000</v>
      </c>
      <c r="EQ90">
        <v>10000</v>
      </c>
      <c r="ER90">
        <v>10000</v>
      </c>
      <c r="ES90">
        <v>10000</v>
      </c>
      <c r="ET90">
        <v>10000</v>
      </c>
      <c r="EU90">
        <v>10000</v>
      </c>
      <c r="EV90">
        <v>10000</v>
      </c>
      <c r="EW90">
        <v>10000</v>
      </c>
      <c r="EX90">
        <v>10000</v>
      </c>
      <c r="EY90">
        <v>10000</v>
      </c>
      <c r="EZ90">
        <v>10000</v>
      </c>
      <c r="FA90">
        <v>10000</v>
      </c>
      <c r="FB90">
        <v>10000</v>
      </c>
      <c r="FC90">
        <v>10000</v>
      </c>
      <c r="FD90">
        <v>10000</v>
      </c>
      <c r="FE90">
        <v>10000</v>
      </c>
      <c r="FF90">
        <v>10000</v>
      </c>
      <c r="FG90">
        <v>10000</v>
      </c>
      <c r="FH90">
        <v>10000</v>
      </c>
      <c r="FI90">
        <v>10000</v>
      </c>
      <c r="FJ90">
        <v>10000</v>
      </c>
      <c r="FK90">
        <v>10000</v>
      </c>
      <c r="FL90">
        <v>10000</v>
      </c>
      <c r="FM90">
        <v>10000</v>
      </c>
      <c r="FN90">
        <v>10000</v>
      </c>
      <c r="FO90">
        <v>10000</v>
      </c>
      <c r="FP90">
        <v>10000</v>
      </c>
      <c r="FQ90">
        <v>10000</v>
      </c>
      <c r="FR90">
        <v>10000</v>
      </c>
      <c r="FS90">
        <v>10000</v>
      </c>
      <c r="FT90">
        <v>10000</v>
      </c>
      <c r="FU90">
        <v>10000</v>
      </c>
      <c r="FV90">
        <v>10000</v>
      </c>
      <c r="FW90">
        <v>10000</v>
      </c>
      <c r="FX90">
        <v>10000</v>
      </c>
      <c r="FY90">
        <v>10000</v>
      </c>
      <c r="FZ90">
        <v>10000</v>
      </c>
      <c r="GA90">
        <v>10000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row>
    <row r="91" spans="1:245" hidden="1">
      <c r="A91" s="343" t="s">
        <v>633</v>
      </c>
      <c r="B91" t="s">
        <v>1010</v>
      </c>
      <c r="F91">
        <v>2</v>
      </c>
      <c r="H91">
        <v>37</v>
      </c>
      <c r="J91" t="str">
        <f t="shared" si="3"/>
        <v>SDJ200237</v>
      </c>
      <c r="K91">
        <v>447</v>
      </c>
      <c r="M91" s="343" t="s">
        <v>633</v>
      </c>
      <c r="N91" t="s">
        <v>1010</v>
      </c>
      <c r="O91">
        <v>2</v>
      </c>
      <c r="P91">
        <v>37</v>
      </c>
      <c r="Q91" s="184" t="str">
        <f t="shared" si="4"/>
        <v>SDJ200237</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10000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s="132"/>
      <c r="DZ91" s="343" t="s">
        <v>633</v>
      </c>
      <c r="EA91" t="s">
        <v>1010</v>
      </c>
      <c r="EB91">
        <v>2</v>
      </c>
      <c r="EC91">
        <v>37</v>
      </c>
      <c r="ED91" s="184" t="str">
        <f t="shared" si="5"/>
        <v>SDJ200237</v>
      </c>
      <c r="EE91">
        <v>10000</v>
      </c>
      <c r="EF91">
        <v>10000</v>
      </c>
      <c r="EG91">
        <v>10000</v>
      </c>
      <c r="EH91">
        <v>10000</v>
      </c>
      <c r="EI91">
        <v>10000</v>
      </c>
      <c r="EJ91">
        <v>10000</v>
      </c>
      <c r="EK91">
        <v>10000</v>
      </c>
      <c r="EL91">
        <v>10000</v>
      </c>
      <c r="EM91">
        <v>10000</v>
      </c>
      <c r="EN91">
        <v>10000</v>
      </c>
      <c r="EO91">
        <v>10000</v>
      </c>
      <c r="EP91">
        <v>10000</v>
      </c>
      <c r="EQ91">
        <v>10000</v>
      </c>
      <c r="ER91">
        <v>10000</v>
      </c>
      <c r="ES91">
        <v>10000</v>
      </c>
      <c r="ET91">
        <v>10000</v>
      </c>
      <c r="EU91">
        <v>10000</v>
      </c>
      <c r="EV91">
        <v>10000</v>
      </c>
      <c r="EW91">
        <v>10000</v>
      </c>
      <c r="EX91">
        <v>10000</v>
      </c>
      <c r="EY91">
        <v>10000</v>
      </c>
      <c r="EZ91">
        <v>10000</v>
      </c>
      <c r="FA91">
        <v>10000</v>
      </c>
      <c r="FB91">
        <v>10000</v>
      </c>
      <c r="FC91">
        <v>10000</v>
      </c>
      <c r="FD91">
        <v>10000</v>
      </c>
      <c r="FE91">
        <v>10000</v>
      </c>
      <c r="FF91">
        <v>10000</v>
      </c>
      <c r="FG91">
        <v>10000</v>
      </c>
      <c r="FH91">
        <v>10000</v>
      </c>
      <c r="FI91">
        <v>10000</v>
      </c>
      <c r="FJ91">
        <v>10000</v>
      </c>
      <c r="FK91">
        <v>10000</v>
      </c>
      <c r="FL91">
        <v>10000</v>
      </c>
      <c r="FM91">
        <v>10000</v>
      </c>
      <c r="FN91">
        <v>10000</v>
      </c>
      <c r="FO91">
        <v>10000</v>
      </c>
      <c r="FP91">
        <v>10000</v>
      </c>
      <c r="FQ91">
        <v>10000</v>
      </c>
      <c r="FR91">
        <v>10000</v>
      </c>
      <c r="FS91">
        <v>10000</v>
      </c>
      <c r="FT91">
        <v>10000</v>
      </c>
      <c r="FU91">
        <v>10000</v>
      </c>
      <c r="FV91">
        <v>10000</v>
      </c>
      <c r="FW91">
        <v>10000</v>
      </c>
      <c r="FX91">
        <v>10000</v>
      </c>
      <c r="FY91">
        <v>10000</v>
      </c>
      <c r="FZ91">
        <v>10000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row>
    <row r="92" spans="1:245" hidden="1">
      <c r="A92" s="343" t="s">
        <v>633</v>
      </c>
      <c r="B92" t="s">
        <v>1010</v>
      </c>
      <c r="F92">
        <v>2</v>
      </c>
      <c r="H92">
        <v>38</v>
      </c>
      <c r="J92" t="str">
        <f t="shared" si="3"/>
        <v>SDJ200238</v>
      </c>
      <c r="K92">
        <v>454</v>
      </c>
      <c r="M92" s="343" t="s">
        <v>633</v>
      </c>
      <c r="N92" t="s">
        <v>1010</v>
      </c>
      <c r="O92">
        <v>2</v>
      </c>
      <c r="P92">
        <v>38</v>
      </c>
      <c r="Q92" s="184" t="str">
        <f t="shared" si="4"/>
        <v>SDJ200238</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10000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s="132"/>
      <c r="DZ92" s="343" t="s">
        <v>633</v>
      </c>
      <c r="EA92" t="s">
        <v>1010</v>
      </c>
      <c r="EB92">
        <v>2</v>
      </c>
      <c r="EC92">
        <v>38</v>
      </c>
      <c r="ED92" s="184" t="str">
        <f t="shared" si="5"/>
        <v>SDJ200238</v>
      </c>
      <c r="EE92">
        <v>10000</v>
      </c>
      <c r="EF92">
        <v>10000</v>
      </c>
      <c r="EG92">
        <v>10000</v>
      </c>
      <c r="EH92">
        <v>10000</v>
      </c>
      <c r="EI92">
        <v>10000</v>
      </c>
      <c r="EJ92">
        <v>10000</v>
      </c>
      <c r="EK92">
        <v>10000</v>
      </c>
      <c r="EL92">
        <v>10000</v>
      </c>
      <c r="EM92">
        <v>10000</v>
      </c>
      <c r="EN92">
        <v>10000</v>
      </c>
      <c r="EO92">
        <v>10000</v>
      </c>
      <c r="EP92">
        <v>10000</v>
      </c>
      <c r="EQ92">
        <v>10000</v>
      </c>
      <c r="ER92">
        <v>10000</v>
      </c>
      <c r="ES92">
        <v>10000</v>
      </c>
      <c r="ET92">
        <v>10000</v>
      </c>
      <c r="EU92">
        <v>10000</v>
      </c>
      <c r="EV92">
        <v>10000</v>
      </c>
      <c r="EW92">
        <v>10000</v>
      </c>
      <c r="EX92">
        <v>10000</v>
      </c>
      <c r="EY92">
        <v>10000</v>
      </c>
      <c r="EZ92">
        <v>10000</v>
      </c>
      <c r="FA92">
        <v>10000</v>
      </c>
      <c r="FB92">
        <v>10000</v>
      </c>
      <c r="FC92">
        <v>10000</v>
      </c>
      <c r="FD92">
        <v>10000</v>
      </c>
      <c r="FE92">
        <v>10000</v>
      </c>
      <c r="FF92">
        <v>10000</v>
      </c>
      <c r="FG92">
        <v>10000</v>
      </c>
      <c r="FH92">
        <v>10000</v>
      </c>
      <c r="FI92">
        <v>10000</v>
      </c>
      <c r="FJ92">
        <v>10000</v>
      </c>
      <c r="FK92">
        <v>10000</v>
      </c>
      <c r="FL92">
        <v>10000</v>
      </c>
      <c r="FM92">
        <v>10000</v>
      </c>
      <c r="FN92">
        <v>10000</v>
      </c>
      <c r="FO92">
        <v>10000</v>
      </c>
      <c r="FP92">
        <v>10000</v>
      </c>
      <c r="FQ92">
        <v>10000</v>
      </c>
      <c r="FR92">
        <v>10000</v>
      </c>
      <c r="FS92">
        <v>10000</v>
      </c>
      <c r="FT92">
        <v>10000</v>
      </c>
      <c r="FU92">
        <v>10000</v>
      </c>
      <c r="FV92">
        <v>10000</v>
      </c>
      <c r="FW92">
        <v>10000</v>
      </c>
      <c r="FX92">
        <v>10000</v>
      </c>
      <c r="FY92">
        <v>10000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row>
    <row r="93" spans="1:245" hidden="1">
      <c r="A93" s="343" t="s">
        <v>633</v>
      </c>
      <c r="B93" t="s">
        <v>1010</v>
      </c>
      <c r="F93">
        <v>2</v>
      </c>
      <c r="H93">
        <v>39</v>
      </c>
      <c r="J93" t="str">
        <f t="shared" si="3"/>
        <v>SDJ200239</v>
      </c>
      <c r="K93">
        <v>458</v>
      </c>
      <c r="M93" s="343" t="s">
        <v>633</v>
      </c>
      <c r="N93" t="s">
        <v>1010</v>
      </c>
      <c r="O93">
        <v>2</v>
      </c>
      <c r="P93">
        <v>39</v>
      </c>
      <c r="Q93" s="184" t="str">
        <f t="shared" si="4"/>
        <v>SDJ200239</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10000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s="132"/>
      <c r="DZ93" s="343" t="s">
        <v>633</v>
      </c>
      <c r="EA93" t="s">
        <v>1010</v>
      </c>
      <c r="EB93">
        <v>2</v>
      </c>
      <c r="EC93">
        <v>39</v>
      </c>
      <c r="ED93" s="184" t="str">
        <f t="shared" si="5"/>
        <v>SDJ200239</v>
      </c>
      <c r="EE93">
        <v>10000</v>
      </c>
      <c r="EF93">
        <v>10000</v>
      </c>
      <c r="EG93">
        <v>10000</v>
      </c>
      <c r="EH93">
        <v>10000</v>
      </c>
      <c r="EI93">
        <v>10000</v>
      </c>
      <c r="EJ93">
        <v>10000</v>
      </c>
      <c r="EK93">
        <v>10000</v>
      </c>
      <c r="EL93">
        <v>10000</v>
      </c>
      <c r="EM93">
        <v>10000</v>
      </c>
      <c r="EN93">
        <v>10000</v>
      </c>
      <c r="EO93">
        <v>10000</v>
      </c>
      <c r="EP93">
        <v>10000</v>
      </c>
      <c r="EQ93">
        <v>10000</v>
      </c>
      <c r="ER93">
        <v>10000</v>
      </c>
      <c r="ES93">
        <v>10000</v>
      </c>
      <c r="ET93">
        <v>10000</v>
      </c>
      <c r="EU93">
        <v>10000</v>
      </c>
      <c r="EV93">
        <v>10000</v>
      </c>
      <c r="EW93">
        <v>10000</v>
      </c>
      <c r="EX93">
        <v>10000</v>
      </c>
      <c r="EY93">
        <v>10000</v>
      </c>
      <c r="EZ93">
        <v>10000</v>
      </c>
      <c r="FA93">
        <v>10000</v>
      </c>
      <c r="FB93">
        <v>10000</v>
      </c>
      <c r="FC93">
        <v>10000</v>
      </c>
      <c r="FD93">
        <v>10000</v>
      </c>
      <c r="FE93">
        <v>10000</v>
      </c>
      <c r="FF93">
        <v>10000</v>
      </c>
      <c r="FG93">
        <v>10000</v>
      </c>
      <c r="FH93">
        <v>10000</v>
      </c>
      <c r="FI93">
        <v>10000</v>
      </c>
      <c r="FJ93">
        <v>10000</v>
      </c>
      <c r="FK93">
        <v>10000</v>
      </c>
      <c r="FL93">
        <v>10000</v>
      </c>
      <c r="FM93">
        <v>10000</v>
      </c>
      <c r="FN93">
        <v>10000</v>
      </c>
      <c r="FO93">
        <v>10000</v>
      </c>
      <c r="FP93">
        <v>10000</v>
      </c>
      <c r="FQ93">
        <v>10000</v>
      </c>
      <c r="FR93">
        <v>10000</v>
      </c>
      <c r="FS93">
        <v>10000</v>
      </c>
      <c r="FT93">
        <v>10000</v>
      </c>
      <c r="FU93">
        <v>10000</v>
      </c>
      <c r="FV93">
        <v>10000</v>
      </c>
      <c r="FW93">
        <v>10000</v>
      </c>
      <c r="FX93">
        <v>10000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row>
    <row r="94" spans="1:245" hidden="1">
      <c r="A94" s="343" t="s">
        <v>633</v>
      </c>
      <c r="B94" t="s">
        <v>1010</v>
      </c>
      <c r="F94">
        <v>2</v>
      </c>
      <c r="H94">
        <v>40</v>
      </c>
      <c r="J94" t="str">
        <f t="shared" si="3"/>
        <v>SDJ200240</v>
      </c>
      <c r="K94">
        <v>463</v>
      </c>
      <c r="M94" s="343" t="s">
        <v>633</v>
      </c>
      <c r="N94" t="s">
        <v>1010</v>
      </c>
      <c r="O94">
        <v>2</v>
      </c>
      <c r="P94">
        <v>40</v>
      </c>
      <c r="Q94" s="184" t="str">
        <f t="shared" si="4"/>
        <v>SDJ200240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10000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s="132"/>
      <c r="DZ94" s="343" t="s">
        <v>633</v>
      </c>
      <c r="EA94" t="s">
        <v>1010</v>
      </c>
      <c r="EB94">
        <v>2</v>
      </c>
      <c r="EC94">
        <v>40</v>
      </c>
      <c r="ED94" s="184" t="str">
        <f t="shared" si="5"/>
        <v>SDJ200240</v>
      </c>
      <c r="EE94">
        <v>10000</v>
      </c>
      <c r="EF94">
        <v>10000</v>
      </c>
      <c r="EG94">
        <v>10000</v>
      </c>
      <c r="EH94">
        <v>10000</v>
      </c>
      <c r="EI94">
        <v>10000</v>
      </c>
      <c r="EJ94">
        <v>10000</v>
      </c>
      <c r="EK94">
        <v>10000</v>
      </c>
      <c r="EL94">
        <v>10000</v>
      </c>
      <c r="EM94">
        <v>10000</v>
      </c>
      <c r="EN94">
        <v>10000</v>
      </c>
      <c r="EO94">
        <v>10000</v>
      </c>
      <c r="EP94">
        <v>10000</v>
      </c>
      <c r="EQ94">
        <v>10000</v>
      </c>
      <c r="ER94">
        <v>10000</v>
      </c>
      <c r="ES94">
        <v>10000</v>
      </c>
      <c r="ET94">
        <v>10000</v>
      </c>
      <c r="EU94">
        <v>10000</v>
      </c>
      <c r="EV94">
        <v>10000</v>
      </c>
      <c r="EW94">
        <v>10000</v>
      </c>
      <c r="EX94">
        <v>10000</v>
      </c>
      <c r="EY94">
        <v>10000</v>
      </c>
      <c r="EZ94">
        <v>10000</v>
      </c>
      <c r="FA94">
        <v>10000</v>
      </c>
      <c r="FB94">
        <v>10000</v>
      </c>
      <c r="FC94">
        <v>10000</v>
      </c>
      <c r="FD94">
        <v>10000</v>
      </c>
      <c r="FE94">
        <v>10000</v>
      </c>
      <c r="FF94">
        <v>10000</v>
      </c>
      <c r="FG94">
        <v>10000</v>
      </c>
      <c r="FH94">
        <v>10000</v>
      </c>
      <c r="FI94">
        <v>10000</v>
      </c>
      <c r="FJ94">
        <v>10000</v>
      </c>
      <c r="FK94">
        <v>10000</v>
      </c>
      <c r="FL94">
        <v>10000</v>
      </c>
      <c r="FM94">
        <v>10000</v>
      </c>
      <c r="FN94">
        <v>10000</v>
      </c>
      <c r="FO94">
        <v>10000</v>
      </c>
      <c r="FP94">
        <v>10000</v>
      </c>
      <c r="FQ94">
        <v>10000</v>
      </c>
      <c r="FR94">
        <v>10000</v>
      </c>
      <c r="FS94">
        <v>10000</v>
      </c>
      <c r="FT94">
        <v>10000</v>
      </c>
      <c r="FU94">
        <v>10000</v>
      </c>
      <c r="FV94">
        <v>10000</v>
      </c>
      <c r="FW94">
        <v>10000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row>
    <row r="95" spans="1:245" hidden="1">
      <c r="A95" s="343" t="s">
        <v>633</v>
      </c>
      <c r="B95" t="s">
        <v>1010</v>
      </c>
      <c r="F95">
        <v>2</v>
      </c>
      <c r="H95">
        <v>41</v>
      </c>
      <c r="J95" t="str">
        <f t="shared" si="3"/>
        <v>SDJ200241</v>
      </c>
      <c r="K95">
        <v>469</v>
      </c>
      <c r="M95" s="343" t="s">
        <v>633</v>
      </c>
      <c r="N95" t="s">
        <v>1010</v>
      </c>
      <c r="O95">
        <v>2</v>
      </c>
      <c r="P95">
        <v>41</v>
      </c>
      <c r="Q95" s="184" t="str">
        <f t="shared" si="4"/>
        <v>SDJ200241</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10000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s="132"/>
      <c r="DZ95" s="343" t="s">
        <v>633</v>
      </c>
      <c r="EA95" t="s">
        <v>1010</v>
      </c>
      <c r="EB95">
        <v>2</v>
      </c>
      <c r="EC95">
        <v>41</v>
      </c>
      <c r="ED95" s="184" t="str">
        <f t="shared" si="5"/>
        <v>SDJ200241</v>
      </c>
      <c r="EE95">
        <v>10000</v>
      </c>
      <c r="EF95">
        <v>10000</v>
      </c>
      <c r="EG95">
        <v>10000</v>
      </c>
      <c r="EH95">
        <v>10000</v>
      </c>
      <c r="EI95">
        <v>10000</v>
      </c>
      <c r="EJ95">
        <v>10000</v>
      </c>
      <c r="EK95">
        <v>10000</v>
      </c>
      <c r="EL95">
        <v>10000</v>
      </c>
      <c r="EM95">
        <v>10000</v>
      </c>
      <c r="EN95">
        <v>10000</v>
      </c>
      <c r="EO95">
        <v>10000</v>
      </c>
      <c r="EP95">
        <v>10000</v>
      </c>
      <c r="EQ95">
        <v>10000</v>
      </c>
      <c r="ER95">
        <v>10000</v>
      </c>
      <c r="ES95">
        <v>10000</v>
      </c>
      <c r="ET95">
        <v>10000</v>
      </c>
      <c r="EU95">
        <v>10000</v>
      </c>
      <c r="EV95">
        <v>10000</v>
      </c>
      <c r="EW95">
        <v>10000</v>
      </c>
      <c r="EX95">
        <v>10000</v>
      </c>
      <c r="EY95">
        <v>10000</v>
      </c>
      <c r="EZ95">
        <v>10000</v>
      </c>
      <c r="FA95">
        <v>10000</v>
      </c>
      <c r="FB95">
        <v>10000</v>
      </c>
      <c r="FC95">
        <v>10000</v>
      </c>
      <c r="FD95">
        <v>10000</v>
      </c>
      <c r="FE95">
        <v>10000</v>
      </c>
      <c r="FF95">
        <v>10000</v>
      </c>
      <c r="FG95">
        <v>10000</v>
      </c>
      <c r="FH95">
        <v>10000</v>
      </c>
      <c r="FI95">
        <v>10000</v>
      </c>
      <c r="FJ95">
        <v>10000</v>
      </c>
      <c r="FK95">
        <v>10000</v>
      </c>
      <c r="FL95">
        <v>10000</v>
      </c>
      <c r="FM95">
        <v>10000</v>
      </c>
      <c r="FN95">
        <v>10000</v>
      </c>
      <c r="FO95">
        <v>10000</v>
      </c>
      <c r="FP95">
        <v>10000</v>
      </c>
      <c r="FQ95">
        <v>10000</v>
      </c>
      <c r="FR95">
        <v>10000</v>
      </c>
      <c r="FS95">
        <v>10000</v>
      </c>
      <c r="FT95">
        <v>10000</v>
      </c>
      <c r="FU95">
        <v>10000</v>
      </c>
      <c r="FV95">
        <v>10000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row>
    <row r="96" spans="1:245" hidden="1">
      <c r="A96" s="343" t="s">
        <v>633</v>
      </c>
      <c r="B96" t="s">
        <v>1010</v>
      </c>
      <c r="F96">
        <v>2</v>
      </c>
      <c r="H96">
        <v>42</v>
      </c>
      <c r="J96" t="str">
        <f t="shared" si="3"/>
        <v>SDJ200242</v>
      </c>
      <c r="K96">
        <v>485</v>
      </c>
      <c r="M96" s="343" t="s">
        <v>633</v>
      </c>
      <c r="N96" t="s">
        <v>1010</v>
      </c>
      <c r="O96">
        <v>2</v>
      </c>
      <c r="P96">
        <v>42</v>
      </c>
      <c r="Q96" s="184" t="str">
        <f t="shared" si="4"/>
        <v>SDJ200242</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10282</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s="132"/>
      <c r="DZ96" s="343" t="s">
        <v>633</v>
      </c>
      <c r="EA96" t="s">
        <v>1010</v>
      </c>
      <c r="EB96">
        <v>2</v>
      </c>
      <c r="EC96">
        <v>42</v>
      </c>
      <c r="ED96" s="184" t="str">
        <f t="shared" si="5"/>
        <v>SDJ200242</v>
      </c>
      <c r="EE96">
        <v>10000</v>
      </c>
      <c r="EF96">
        <v>10000</v>
      </c>
      <c r="EG96">
        <v>10000</v>
      </c>
      <c r="EH96">
        <v>10000</v>
      </c>
      <c r="EI96">
        <v>10000</v>
      </c>
      <c r="EJ96">
        <v>10000</v>
      </c>
      <c r="EK96">
        <v>10000</v>
      </c>
      <c r="EL96">
        <v>10000</v>
      </c>
      <c r="EM96">
        <v>10000</v>
      </c>
      <c r="EN96">
        <v>10000</v>
      </c>
      <c r="EO96">
        <v>10000</v>
      </c>
      <c r="EP96">
        <v>10000</v>
      </c>
      <c r="EQ96">
        <v>10000</v>
      </c>
      <c r="ER96">
        <v>10000</v>
      </c>
      <c r="ES96">
        <v>10000</v>
      </c>
      <c r="ET96">
        <v>10000</v>
      </c>
      <c r="EU96">
        <v>10000</v>
      </c>
      <c r="EV96">
        <v>10000</v>
      </c>
      <c r="EW96">
        <v>10000</v>
      </c>
      <c r="EX96">
        <v>10282</v>
      </c>
      <c r="EY96">
        <v>10282</v>
      </c>
      <c r="EZ96">
        <v>10282</v>
      </c>
      <c r="FA96">
        <v>10282</v>
      </c>
      <c r="FB96">
        <v>10282</v>
      </c>
      <c r="FC96">
        <v>10282</v>
      </c>
      <c r="FD96">
        <v>10282</v>
      </c>
      <c r="FE96">
        <v>10282</v>
      </c>
      <c r="FF96">
        <v>10282</v>
      </c>
      <c r="FG96">
        <v>10282</v>
      </c>
      <c r="FH96">
        <v>10282</v>
      </c>
      <c r="FI96">
        <v>10282</v>
      </c>
      <c r="FJ96">
        <v>10282</v>
      </c>
      <c r="FK96">
        <v>10282</v>
      </c>
      <c r="FL96">
        <v>10282</v>
      </c>
      <c r="FM96">
        <v>10282</v>
      </c>
      <c r="FN96">
        <v>10282</v>
      </c>
      <c r="FO96">
        <v>10282</v>
      </c>
      <c r="FP96">
        <v>10282</v>
      </c>
      <c r="FQ96">
        <v>10282</v>
      </c>
      <c r="FR96">
        <v>10282</v>
      </c>
      <c r="FS96">
        <v>10282</v>
      </c>
      <c r="FT96">
        <v>10282</v>
      </c>
      <c r="FU96">
        <v>10282</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row>
    <row r="97" spans="1:245" hidden="1">
      <c r="A97" s="343" t="s">
        <v>633</v>
      </c>
      <c r="B97" t="s">
        <v>1010</v>
      </c>
      <c r="F97">
        <v>2</v>
      </c>
      <c r="H97">
        <v>43</v>
      </c>
      <c r="J97" t="str">
        <f t="shared" si="3"/>
        <v>SDJ200243</v>
      </c>
      <c r="K97">
        <v>506</v>
      </c>
      <c r="M97" s="343" t="s">
        <v>633</v>
      </c>
      <c r="N97" t="s">
        <v>1010</v>
      </c>
      <c r="O97">
        <v>2</v>
      </c>
      <c r="P97">
        <v>43</v>
      </c>
      <c r="Q97" s="184" t="str">
        <f t="shared" si="4"/>
        <v>SDJ200243</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10727.2</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s="132"/>
      <c r="DZ97" s="343" t="s">
        <v>633</v>
      </c>
      <c r="EA97" t="s">
        <v>1010</v>
      </c>
      <c r="EB97">
        <v>2</v>
      </c>
      <c r="EC97">
        <v>43</v>
      </c>
      <c r="ED97" s="184" t="str">
        <f t="shared" si="5"/>
        <v>SDJ200243</v>
      </c>
      <c r="EE97">
        <v>10000</v>
      </c>
      <c r="EF97">
        <v>10000</v>
      </c>
      <c r="EG97">
        <v>10000</v>
      </c>
      <c r="EH97">
        <v>10000</v>
      </c>
      <c r="EI97">
        <v>10000</v>
      </c>
      <c r="EJ97">
        <v>10000</v>
      </c>
      <c r="EK97">
        <v>10000</v>
      </c>
      <c r="EL97">
        <v>10000</v>
      </c>
      <c r="EM97">
        <v>10000</v>
      </c>
      <c r="EN97">
        <v>10000</v>
      </c>
      <c r="EO97">
        <v>10000</v>
      </c>
      <c r="EP97">
        <v>10000</v>
      </c>
      <c r="EQ97">
        <v>10000</v>
      </c>
      <c r="ER97">
        <v>10000</v>
      </c>
      <c r="ES97">
        <v>10000</v>
      </c>
      <c r="ET97">
        <v>10000</v>
      </c>
      <c r="EU97">
        <v>10000</v>
      </c>
      <c r="EV97">
        <v>10000</v>
      </c>
      <c r="EW97">
        <v>10190.799999999999</v>
      </c>
      <c r="EX97">
        <v>10727.2</v>
      </c>
      <c r="EY97">
        <v>10727.2</v>
      </c>
      <c r="EZ97">
        <v>10727.2</v>
      </c>
      <c r="FA97">
        <v>10727.2</v>
      </c>
      <c r="FB97">
        <v>10727.2</v>
      </c>
      <c r="FC97">
        <v>10727.2</v>
      </c>
      <c r="FD97">
        <v>10727.2</v>
      </c>
      <c r="FE97">
        <v>10727.2</v>
      </c>
      <c r="FF97">
        <v>10727.2</v>
      </c>
      <c r="FG97">
        <v>10727.2</v>
      </c>
      <c r="FH97">
        <v>10727.2</v>
      </c>
      <c r="FI97">
        <v>10727.2</v>
      </c>
      <c r="FJ97">
        <v>10727.2</v>
      </c>
      <c r="FK97">
        <v>10727.2</v>
      </c>
      <c r="FL97">
        <v>10727.2</v>
      </c>
      <c r="FM97">
        <v>10727.2</v>
      </c>
      <c r="FN97">
        <v>10727.2</v>
      </c>
      <c r="FO97">
        <v>10727.2</v>
      </c>
      <c r="FP97">
        <v>10727.2</v>
      </c>
      <c r="FQ97">
        <v>10727.2</v>
      </c>
      <c r="FR97">
        <v>10727.2</v>
      </c>
      <c r="FS97">
        <v>10727.2</v>
      </c>
      <c r="FT97">
        <v>10727.2</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row>
    <row r="98" spans="1:245" hidden="1">
      <c r="A98" s="343" t="s">
        <v>633</v>
      </c>
      <c r="B98" t="s">
        <v>1010</v>
      </c>
      <c r="F98">
        <v>2</v>
      </c>
      <c r="H98">
        <v>44</v>
      </c>
      <c r="J98" t="str">
        <f t="shared" si="3"/>
        <v>SDJ200244</v>
      </c>
      <c r="K98">
        <v>527</v>
      </c>
      <c r="M98" s="343" t="s">
        <v>633</v>
      </c>
      <c r="N98" t="s">
        <v>1010</v>
      </c>
      <c r="O98">
        <v>2</v>
      </c>
      <c r="P98">
        <v>44</v>
      </c>
      <c r="Q98" s="184" t="str">
        <f t="shared" si="4"/>
        <v>SDJ200244</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11172.4</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s="132"/>
      <c r="DZ98" s="343" t="s">
        <v>633</v>
      </c>
      <c r="EA98" t="s">
        <v>1010</v>
      </c>
      <c r="EB98">
        <v>2</v>
      </c>
      <c r="EC98">
        <v>44</v>
      </c>
      <c r="ED98" s="184" t="str">
        <f t="shared" si="5"/>
        <v>SDJ200244</v>
      </c>
      <c r="EE98">
        <v>10000</v>
      </c>
      <c r="EF98">
        <v>10000</v>
      </c>
      <c r="EG98">
        <v>10000</v>
      </c>
      <c r="EH98">
        <v>10000</v>
      </c>
      <c r="EI98">
        <v>10000</v>
      </c>
      <c r="EJ98">
        <v>10000</v>
      </c>
      <c r="EK98">
        <v>10000</v>
      </c>
      <c r="EL98">
        <v>10000</v>
      </c>
      <c r="EM98">
        <v>10000</v>
      </c>
      <c r="EN98">
        <v>10000</v>
      </c>
      <c r="EO98">
        <v>10000</v>
      </c>
      <c r="EP98">
        <v>10000</v>
      </c>
      <c r="EQ98">
        <v>10000</v>
      </c>
      <c r="ER98">
        <v>10000</v>
      </c>
      <c r="ES98">
        <v>10000</v>
      </c>
      <c r="ET98">
        <v>10000</v>
      </c>
      <c r="EU98">
        <v>10000</v>
      </c>
      <c r="EV98">
        <v>10055.200000000001</v>
      </c>
      <c r="EW98">
        <v>10613.8</v>
      </c>
      <c r="EX98">
        <v>11172.4</v>
      </c>
      <c r="EY98">
        <v>11172.4</v>
      </c>
      <c r="EZ98">
        <v>11172.4</v>
      </c>
      <c r="FA98">
        <v>11172.4</v>
      </c>
      <c r="FB98">
        <v>11172.4</v>
      </c>
      <c r="FC98">
        <v>11172.4</v>
      </c>
      <c r="FD98">
        <v>11172.4</v>
      </c>
      <c r="FE98">
        <v>11172.4</v>
      </c>
      <c r="FF98">
        <v>11172.4</v>
      </c>
      <c r="FG98">
        <v>11172.4</v>
      </c>
      <c r="FH98">
        <v>11172.4</v>
      </c>
      <c r="FI98">
        <v>11172.4</v>
      </c>
      <c r="FJ98">
        <v>11172.4</v>
      </c>
      <c r="FK98">
        <v>11172.4</v>
      </c>
      <c r="FL98">
        <v>11172.4</v>
      </c>
      <c r="FM98">
        <v>11172.4</v>
      </c>
      <c r="FN98">
        <v>11172.4</v>
      </c>
      <c r="FO98">
        <v>11172.4</v>
      </c>
      <c r="FP98">
        <v>11172.4</v>
      </c>
      <c r="FQ98">
        <v>11172.4</v>
      </c>
      <c r="FR98">
        <v>11172.4</v>
      </c>
      <c r="FS98">
        <v>11172.4</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row>
    <row r="99" spans="1:245" hidden="1">
      <c r="A99" s="343" t="s">
        <v>633</v>
      </c>
      <c r="B99" t="s">
        <v>1010</v>
      </c>
      <c r="F99">
        <v>2</v>
      </c>
      <c r="H99">
        <v>45</v>
      </c>
      <c r="J99" t="str">
        <f t="shared" si="3"/>
        <v>SDJ200245</v>
      </c>
      <c r="K99">
        <v>548</v>
      </c>
      <c r="M99" s="343" t="s">
        <v>633</v>
      </c>
      <c r="N99" t="s">
        <v>1010</v>
      </c>
      <c r="O99">
        <v>2</v>
      </c>
      <c r="P99">
        <v>45</v>
      </c>
      <c r="Q99" s="184" t="str">
        <f t="shared" si="4"/>
        <v>SDJ200245</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11617.6</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s="132"/>
      <c r="DZ99" s="343" t="s">
        <v>633</v>
      </c>
      <c r="EA99" t="s">
        <v>1010</v>
      </c>
      <c r="EB99">
        <v>2</v>
      </c>
      <c r="EC99">
        <v>45</v>
      </c>
      <c r="ED99" s="184" t="str">
        <f t="shared" si="5"/>
        <v>SDJ200245</v>
      </c>
      <c r="EE99">
        <v>10000</v>
      </c>
      <c r="EF99">
        <v>10000</v>
      </c>
      <c r="EG99">
        <v>10000</v>
      </c>
      <c r="EH99">
        <v>10000</v>
      </c>
      <c r="EI99">
        <v>10000</v>
      </c>
      <c r="EJ99">
        <v>10000</v>
      </c>
      <c r="EK99">
        <v>10000</v>
      </c>
      <c r="EL99">
        <v>10000</v>
      </c>
      <c r="EM99">
        <v>10000</v>
      </c>
      <c r="EN99">
        <v>10000</v>
      </c>
      <c r="EO99">
        <v>10000</v>
      </c>
      <c r="EP99">
        <v>10000</v>
      </c>
      <c r="EQ99">
        <v>10000</v>
      </c>
      <c r="ER99">
        <v>10000</v>
      </c>
      <c r="ES99">
        <v>10000</v>
      </c>
      <c r="ET99">
        <v>10000</v>
      </c>
      <c r="EU99">
        <v>10000</v>
      </c>
      <c r="EV99">
        <v>10455.799999999999</v>
      </c>
      <c r="EW99">
        <v>11036.7</v>
      </c>
      <c r="EX99">
        <v>11617.6</v>
      </c>
      <c r="EY99">
        <v>11617.6</v>
      </c>
      <c r="EZ99">
        <v>11617.6</v>
      </c>
      <c r="FA99">
        <v>11617.6</v>
      </c>
      <c r="FB99">
        <v>11617.6</v>
      </c>
      <c r="FC99">
        <v>11617.6</v>
      </c>
      <c r="FD99">
        <v>11617.6</v>
      </c>
      <c r="FE99">
        <v>11617.6</v>
      </c>
      <c r="FF99">
        <v>11617.6</v>
      </c>
      <c r="FG99">
        <v>11617.6</v>
      </c>
      <c r="FH99">
        <v>11617.6</v>
      </c>
      <c r="FI99">
        <v>11617.6</v>
      </c>
      <c r="FJ99">
        <v>11617.6</v>
      </c>
      <c r="FK99">
        <v>11617.6</v>
      </c>
      <c r="FL99">
        <v>11617.6</v>
      </c>
      <c r="FM99">
        <v>11617.6</v>
      </c>
      <c r="FN99">
        <v>11617.6</v>
      </c>
      <c r="FO99">
        <v>11617.6</v>
      </c>
      <c r="FP99">
        <v>11617.6</v>
      </c>
      <c r="FQ99">
        <v>11617.6</v>
      </c>
      <c r="FR99">
        <v>11617.6</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row>
    <row r="100" spans="1:245" hidden="1">
      <c r="A100" s="343" t="s">
        <v>633</v>
      </c>
      <c r="B100" t="s">
        <v>1010</v>
      </c>
      <c r="F100">
        <v>2</v>
      </c>
      <c r="H100">
        <v>46</v>
      </c>
      <c r="J100" t="str">
        <f t="shared" si="3"/>
        <v>SDJ200246</v>
      </c>
      <c r="K100">
        <v>569</v>
      </c>
      <c r="M100" s="343" t="s">
        <v>633</v>
      </c>
      <c r="N100" t="s">
        <v>1010</v>
      </c>
      <c r="O100">
        <v>2</v>
      </c>
      <c r="P100">
        <v>46</v>
      </c>
      <c r="Q100" s="184" t="str">
        <f t="shared" si="4"/>
        <v>SDJ200246</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12062.8</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s="132"/>
      <c r="DZ100" s="343" t="s">
        <v>633</v>
      </c>
      <c r="EA100" t="s">
        <v>1010</v>
      </c>
      <c r="EB100">
        <v>2</v>
      </c>
      <c r="EC100">
        <v>46</v>
      </c>
      <c r="ED100" s="184" t="str">
        <f t="shared" si="5"/>
        <v>SDJ200246</v>
      </c>
      <c r="EE100">
        <v>10000</v>
      </c>
      <c r="EF100">
        <v>10000</v>
      </c>
      <c r="EG100">
        <v>10000</v>
      </c>
      <c r="EH100">
        <v>10000</v>
      </c>
      <c r="EI100">
        <v>10000</v>
      </c>
      <c r="EJ100">
        <v>10000</v>
      </c>
      <c r="EK100">
        <v>10000</v>
      </c>
      <c r="EL100">
        <v>10000</v>
      </c>
      <c r="EM100">
        <v>10000</v>
      </c>
      <c r="EN100">
        <v>10000</v>
      </c>
      <c r="EO100">
        <v>10000</v>
      </c>
      <c r="EP100">
        <v>10000</v>
      </c>
      <c r="EQ100">
        <v>10000</v>
      </c>
      <c r="ER100">
        <v>10000</v>
      </c>
      <c r="ES100">
        <v>10000</v>
      </c>
      <c r="ET100">
        <v>10000</v>
      </c>
      <c r="EU100">
        <v>10253.4</v>
      </c>
      <c r="EV100">
        <v>10856.5</v>
      </c>
      <c r="EW100">
        <v>11459.7</v>
      </c>
      <c r="EX100">
        <v>12062.8</v>
      </c>
      <c r="EY100">
        <v>12062.8</v>
      </c>
      <c r="EZ100">
        <v>12062.8</v>
      </c>
      <c r="FA100">
        <v>12062.8</v>
      </c>
      <c r="FB100">
        <v>12062.8</v>
      </c>
      <c r="FC100">
        <v>12062.8</v>
      </c>
      <c r="FD100">
        <v>12062.8</v>
      </c>
      <c r="FE100">
        <v>12062.8</v>
      </c>
      <c r="FF100">
        <v>12062.8</v>
      </c>
      <c r="FG100">
        <v>12062.8</v>
      </c>
      <c r="FH100">
        <v>12062.8</v>
      </c>
      <c r="FI100">
        <v>12062.8</v>
      </c>
      <c r="FJ100">
        <v>12062.8</v>
      </c>
      <c r="FK100">
        <v>12062.8</v>
      </c>
      <c r="FL100">
        <v>12062.8</v>
      </c>
      <c r="FM100">
        <v>12062.8</v>
      </c>
      <c r="FN100">
        <v>12062.8</v>
      </c>
      <c r="FO100">
        <v>12062.8</v>
      </c>
      <c r="FP100">
        <v>12062.8</v>
      </c>
      <c r="FQ100">
        <v>12062.8</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c r="IK100">
        <v>0</v>
      </c>
    </row>
    <row r="101" spans="1:245" hidden="1">
      <c r="A101" s="343" t="s">
        <v>633</v>
      </c>
      <c r="B101" t="s">
        <v>1010</v>
      </c>
      <c r="F101">
        <v>2</v>
      </c>
      <c r="H101">
        <v>47</v>
      </c>
      <c r="J101" t="str">
        <f t="shared" si="3"/>
        <v>SDJ200247</v>
      </c>
      <c r="K101">
        <v>590</v>
      </c>
      <c r="M101" s="343" t="s">
        <v>633</v>
      </c>
      <c r="N101" t="s">
        <v>1010</v>
      </c>
      <c r="O101">
        <v>2</v>
      </c>
      <c r="P101">
        <v>47</v>
      </c>
      <c r="Q101" s="184" t="str">
        <f t="shared" si="4"/>
        <v>SDJ200247</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12508</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s="132"/>
      <c r="DZ101" s="343" t="s">
        <v>633</v>
      </c>
      <c r="EA101" t="s">
        <v>1010</v>
      </c>
      <c r="EB101">
        <v>2</v>
      </c>
      <c r="EC101">
        <v>47</v>
      </c>
      <c r="ED101" s="184" t="str">
        <f t="shared" si="5"/>
        <v>SDJ200247</v>
      </c>
      <c r="EE101">
        <v>10000</v>
      </c>
      <c r="EF101">
        <v>10000</v>
      </c>
      <c r="EG101">
        <v>10000</v>
      </c>
      <c r="EH101">
        <v>10000</v>
      </c>
      <c r="EI101">
        <v>10000</v>
      </c>
      <c r="EJ101">
        <v>10000</v>
      </c>
      <c r="EK101">
        <v>10000</v>
      </c>
      <c r="EL101">
        <v>10000</v>
      </c>
      <c r="EM101">
        <v>10000</v>
      </c>
      <c r="EN101">
        <v>10000</v>
      </c>
      <c r="EO101">
        <v>10000</v>
      </c>
      <c r="EP101">
        <v>10000</v>
      </c>
      <c r="EQ101">
        <v>10000</v>
      </c>
      <c r="ER101">
        <v>10000</v>
      </c>
      <c r="ES101">
        <v>10000</v>
      </c>
      <c r="ET101">
        <v>10006.4</v>
      </c>
      <c r="EU101">
        <v>10631.8</v>
      </c>
      <c r="EV101">
        <v>11257.2</v>
      </c>
      <c r="EW101">
        <v>11882.6</v>
      </c>
      <c r="EX101">
        <v>12508</v>
      </c>
      <c r="EY101">
        <v>12508</v>
      </c>
      <c r="EZ101">
        <v>12508</v>
      </c>
      <c r="FA101">
        <v>12508</v>
      </c>
      <c r="FB101">
        <v>12508</v>
      </c>
      <c r="FC101">
        <v>12508</v>
      </c>
      <c r="FD101">
        <v>12508</v>
      </c>
      <c r="FE101">
        <v>12508</v>
      </c>
      <c r="FF101">
        <v>12508</v>
      </c>
      <c r="FG101">
        <v>12508</v>
      </c>
      <c r="FH101">
        <v>12508</v>
      </c>
      <c r="FI101">
        <v>12508</v>
      </c>
      <c r="FJ101">
        <v>12508</v>
      </c>
      <c r="FK101">
        <v>12508</v>
      </c>
      <c r="FL101">
        <v>12508</v>
      </c>
      <c r="FM101">
        <v>12508</v>
      </c>
      <c r="FN101">
        <v>12508</v>
      </c>
      <c r="FO101">
        <v>12508</v>
      </c>
      <c r="FP101">
        <v>12508</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0</v>
      </c>
      <c r="IK101">
        <v>0</v>
      </c>
    </row>
    <row r="102" spans="1:245" hidden="1">
      <c r="A102" s="343" t="s">
        <v>633</v>
      </c>
      <c r="B102" t="s">
        <v>1010</v>
      </c>
      <c r="F102">
        <v>2</v>
      </c>
      <c r="H102">
        <v>48</v>
      </c>
      <c r="J102" t="str">
        <f t="shared" si="3"/>
        <v>SDJ200248</v>
      </c>
      <c r="K102">
        <v>611</v>
      </c>
      <c r="M102" s="343" t="s">
        <v>633</v>
      </c>
      <c r="N102" t="s">
        <v>1010</v>
      </c>
      <c r="O102">
        <v>2</v>
      </c>
      <c r="P102">
        <v>48</v>
      </c>
      <c r="Q102" s="184" t="str">
        <f t="shared" si="4"/>
        <v>SDJ200248</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12953.2</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s="132"/>
      <c r="DZ102" s="343" t="s">
        <v>633</v>
      </c>
      <c r="EA102" t="s">
        <v>1010</v>
      </c>
      <c r="EB102">
        <v>2</v>
      </c>
      <c r="EC102">
        <v>48</v>
      </c>
      <c r="ED102" s="184" t="str">
        <f t="shared" si="5"/>
        <v>SDJ200248</v>
      </c>
      <c r="EE102">
        <v>10000</v>
      </c>
      <c r="EF102">
        <v>10000</v>
      </c>
      <c r="EG102">
        <v>10000</v>
      </c>
      <c r="EH102">
        <v>10000</v>
      </c>
      <c r="EI102">
        <v>10000</v>
      </c>
      <c r="EJ102">
        <v>10000</v>
      </c>
      <c r="EK102">
        <v>10000</v>
      </c>
      <c r="EL102">
        <v>10000</v>
      </c>
      <c r="EM102">
        <v>10000</v>
      </c>
      <c r="EN102">
        <v>10000</v>
      </c>
      <c r="EO102">
        <v>10000</v>
      </c>
      <c r="EP102">
        <v>10000</v>
      </c>
      <c r="EQ102">
        <v>10000</v>
      </c>
      <c r="ER102">
        <v>10000</v>
      </c>
      <c r="ES102">
        <v>10000</v>
      </c>
      <c r="ET102">
        <v>10362.6</v>
      </c>
      <c r="EU102">
        <v>11010.2</v>
      </c>
      <c r="EV102">
        <v>11657.9</v>
      </c>
      <c r="EW102">
        <v>12305.5</v>
      </c>
      <c r="EX102">
        <v>12953.2</v>
      </c>
      <c r="EY102">
        <v>12953.2</v>
      </c>
      <c r="EZ102">
        <v>12953.2</v>
      </c>
      <c r="FA102">
        <v>12953.2</v>
      </c>
      <c r="FB102">
        <v>12953.2</v>
      </c>
      <c r="FC102">
        <v>12953.2</v>
      </c>
      <c r="FD102">
        <v>12953.2</v>
      </c>
      <c r="FE102">
        <v>12953.2</v>
      </c>
      <c r="FF102">
        <v>12953.2</v>
      </c>
      <c r="FG102">
        <v>12953.2</v>
      </c>
      <c r="FH102">
        <v>12953.2</v>
      </c>
      <c r="FI102">
        <v>12953.2</v>
      </c>
      <c r="FJ102">
        <v>12953.2</v>
      </c>
      <c r="FK102">
        <v>12953.2</v>
      </c>
      <c r="FL102">
        <v>12953.2</v>
      </c>
      <c r="FM102">
        <v>12953.2</v>
      </c>
      <c r="FN102">
        <v>12953.2</v>
      </c>
      <c r="FO102">
        <v>12953.2</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row>
    <row r="103" spans="1:245" hidden="1">
      <c r="A103" s="343" t="s">
        <v>633</v>
      </c>
      <c r="B103" t="s">
        <v>1010</v>
      </c>
      <c r="F103">
        <v>2</v>
      </c>
      <c r="H103">
        <v>49</v>
      </c>
      <c r="J103" t="str">
        <f t="shared" si="3"/>
        <v>SDJ200249</v>
      </c>
      <c r="K103">
        <v>638</v>
      </c>
      <c r="M103" s="343" t="s">
        <v>633</v>
      </c>
      <c r="N103" t="s">
        <v>1010</v>
      </c>
      <c r="O103">
        <v>2</v>
      </c>
      <c r="P103">
        <v>49</v>
      </c>
      <c r="Q103" s="184" t="str">
        <f t="shared" si="4"/>
        <v>SDJ200249</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13525.6</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s="132"/>
      <c r="DZ103" s="343" t="s">
        <v>633</v>
      </c>
      <c r="EA103" t="s">
        <v>1010</v>
      </c>
      <c r="EB103">
        <v>2</v>
      </c>
      <c r="EC103">
        <v>49</v>
      </c>
      <c r="ED103" s="184" t="str">
        <f t="shared" si="5"/>
        <v>SDJ200249</v>
      </c>
      <c r="EE103">
        <v>10000</v>
      </c>
      <c r="EF103">
        <v>10000</v>
      </c>
      <c r="EG103">
        <v>10000</v>
      </c>
      <c r="EH103">
        <v>10000</v>
      </c>
      <c r="EI103">
        <v>10000</v>
      </c>
      <c r="EJ103">
        <v>10000</v>
      </c>
      <c r="EK103">
        <v>10000</v>
      </c>
      <c r="EL103">
        <v>10000</v>
      </c>
      <c r="EM103">
        <v>10000</v>
      </c>
      <c r="EN103">
        <v>10000</v>
      </c>
      <c r="EO103">
        <v>10000</v>
      </c>
      <c r="EP103">
        <v>10000</v>
      </c>
      <c r="EQ103">
        <v>10000</v>
      </c>
      <c r="ER103">
        <v>10000</v>
      </c>
      <c r="ES103">
        <v>10144.200000000001</v>
      </c>
      <c r="ET103">
        <v>10820.5</v>
      </c>
      <c r="EU103">
        <v>11496.8</v>
      </c>
      <c r="EV103">
        <v>12173</v>
      </c>
      <c r="EW103">
        <v>12849.3</v>
      </c>
      <c r="EX103">
        <v>13525.6</v>
      </c>
      <c r="EY103">
        <v>13525.6</v>
      </c>
      <c r="EZ103">
        <v>13525.6</v>
      </c>
      <c r="FA103">
        <v>13525.6</v>
      </c>
      <c r="FB103">
        <v>13525.6</v>
      </c>
      <c r="FC103">
        <v>13525.6</v>
      </c>
      <c r="FD103">
        <v>13525.6</v>
      </c>
      <c r="FE103">
        <v>13525.6</v>
      </c>
      <c r="FF103">
        <v>13525.6</v>
      </c>
      <c r="FG103">
        <v>13525.6</v>
      </c>
      <c r="FH103">
        <v>13525.6</v>
      </c>
      <c r="FI103">
        <v>13525.6</v>
      </c>
      <c r="FJ103">
        <v>13525.6</v>
      </c>
      <c r="FK103">
        <v>13525.6</v>
      </c>
      <c r="FL103">
        <v>13525.6</v>
      </c>
      <c r="FM103">
        <v>13525.6</v>
      </c>
      <c r="FN103">
        <v>13525.6</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row>
    <row r="104" spans="1:245" hidden="1">
      <c r="A104" s="343" t="s">
        <v>633</v>
      </c>
      <c r="B104" t="s">
        <v>1010</v>
      </c>
      <c r="F104">
        <v>2</v>
      </c>
      <c r="H104">
        <v>50</v>
      </c>
      <c r="J104" t="str">
        <f t="shared" si="3"/>
        <v>SDJ200250</v>
      </c>
      <c r="K104">
        <v>665</v>
      </c>
      <c r="M104" s="343" t="s">
        <v>633</v>
      </c>
      <c r="N104" t="s">
        <v>1010</v>
      </c>
      <c r="O104">
        <v>2</v>
      </c>
      <c r="P104">
        <v>50</v>
      </c>
      <c r="Q104" s="184" t="str">
        <f t="shared" si="4"/>
        <v>SDJ200250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14098</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s="132"/>
      <c r="DZ104" s="343" t="s">
        <v>633</v>
      </c>
      <c r="EA104" t="s">
        <v>1010</v>
      </c>
      <c r="EB104">
        <v>2</v>
      </c>
      <c r="EC104">
        <v>50</v>
      </c>
      <c r="ED104" s="184" t="str">
        <f t="shared" si="5"/>
        <v>SDJ200250</v>
      </c>
      <c r="EE104">
        <v>10000</v>
      </c>
      <c r="EF104">
        <v>10000</v>
      </c>
      <c r="EG104">
        <v>10000</v>
      </c>
      <c r="EH104">
        <v>10000</v>
      </c>
      <c r="EI104">
        <v>10000</v>
      </c>
      <c r="EJ104">
        <v>10000</v>
      </c>
      <c r="EK104">
        <v>10000</v>
      </c>
      <c r="EL104">
        <v>10000</v>
      </c>
      <c r="EM104">
        <v>10000</v>
      </c>
      <c r="EN104">
        <v>10000</v>
      </c>
      <c r="EO104">
        <v>10000</v>
      </c>
      <c r="EP104">
        <v>10000</v>
      </c>
      <c r="EQ104">
        <v>10000</v>
      </c>
      <c r="ER104">
        <v>10000</v>
      </c>
      <c r="ES104">
        <v>10573.5</v>
      </c>
      <c r="ET104">
        <v>11278.4</v>
      </c>
      <c r="EU104">
        <v>11983.3</v>
      </c>
      <c r="EV104">
        <v>12688.2</v>
      </c>
      <c r="EW104">
        <v>13393.1</v>
      </c>
      <c r="EX104">
        <v>14098</v>
      </c>
      <c r="EY104">
        <v>14098</v>
      </c>
      <c r="EZ104">
        <v>14098</v>
      </c>
      <c r="FA104">
        <v>14098</v>
      </c>
      <c r="FB104">
        <v>14098</v>
      </c>
      <c r="FC104">
        <v>14098</v>
      </c>
      <c r="FD104">
        <v>14098</v>
      </c>
      <c r="FE104">
        <v>14098</v>
      </c>
      <c r="FF104">
        <v>14098</v>
      </c>
      <c r="FG104">
        <v>14098</v>
      </c>
      <c r="FH104">
        <v>14098</v>
      </c>
      <c r="FI104">
        <v>14098</v>
      </c>
      <c r="FJ104">
        <v>14098</v>
      </c>
      <c r="FK104">
        <v>14098</v>
      </c>
      <c r="FL104">
        <v>14098</v>
      </c>
      <c r="FM104">
        <v>14098</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0</v>
      </c>
    </row>
    <row r="105" spans="1:245" ht="16.5" hidden="1">
      <c r="A105" s="413"/>
      <c r="B105" s="413"/>
      <c r="C105" s="413"/>
      <c r="D105" s="344"/>
      <c r="E105" s="413"/>
      <c r="F105" s="413"/>
      <c r="G105" s="344"/>
      <c r="H105" s="414"/>
      <c r="I105" s="344"/>
      <c r="K105" s="414"/>
      <c r="M105" s="413"/>
      <c r="N105" s="413"/>
      <c r="O105" s="413"/>
      <c r="P105" s="414"/>
      <c r="Q105" s="184"/>
      <c r="R105" s="414"/>
      <c r="S105" s="414"/>
      <c r="T105" s="414"/>
      <c r="U105" s="414"/>
      <c r="V105" s="414"/>
      <c r="W105" s="414"/>
      <c r="X105" s="414"/>
      <c r="Y105" s="414"/>
      <c r="Z105" s="414"/>
      <c r="AA105" s="414"/>
      <c r="AB105" s="414"/>
      <c r="AC105" s="414"/>
      <c r="AD105" s="414"/>
      <c r="AE105" s="414"/>
      <c r="AF105" s="414"/>
      <c r="AG105" s="414"/>
      <c r="AH105" s="414"/>
      <c r="AI105" s="414"/>
      <c r="AJ105" s="414"/>
      <c r="AK105" s="414"/>
      <c r="AL105" s="414"/>
      <c r="AM105" s="414"/>
      <c r="AN105" s="414"/>
      <c r="AO105" s="414"/>
      <c r="AP105" s="414"/>
      <c r="AQ105" s="414"/>
      <c r="AR105" s="414"/>
      <c r="AS105" s="414"/>
      <c r="AT105" s="414"/>
      <c r="AU105" s="414"/>
      <c r="AV105" s="414"/>
      <c r="AW105" s="414"/>
      <c r="AX105" s="414"/>
      <c r="AY105" s="414"/>
      <c r="AZ105" s="414"/>
      <c r="BA105" s="414"/>
      <c r="BB105" s="414"/>
      <c r="BC105" s="414"/>
      <c r="BD105" s="414"/>
      <c r="BE105" s="414"/>
      <c r="BF105" s="414"/>
      <c r="BG105" s="414"/>
      <c r="BH105" s="414"/>
      <c r="BI105" s="414"/>
      <c r="BJ105" s="414"/>
      <c r="BK105" s="414"/>
      <c r="BL105" s="414"/>
      <c r="BM105" s="414"/>
      <c r="BN105" s="414"/>
      <c r="BO105" s="414"/>
      <c r="BP105" s="414"/>
      <c r="BQ105" s="414"/>
      <c r="BR105" s="414"/>
      <c r="BS105" s="414"/>
      <c r="BT105" s="414"/>
      <c r="BU105" s="414"/>
      <c r="BV105" s="414"/>
      <c r="BW105" s="414"/>
      <c r="BX105" s="414"/>
      <c r="BY105" s="414"/>
      <c r="BZ105" s="414"/>
      <c r="CA105" s="414"/>
      <c r="CB105" s="414"/>
      <c r="CC105" s="414"/>
      <c r="CD105" s="414"/>
      <c r="CE105" s="414"/>
      <c r="CF105" s="414"/>
      <c r="CG105" s="414"/>
      <c r="CH105" s="414"/>
      <c r="CI105" s="414"/>
      <c r="CJ105" s="414"/>
      <c r="CK105" s="414"/>
      <c r="CL105" s="414"/>
      <c r="CM105" s="414"/>
      <c r="CN105" s="414"/>
      <c r="CO105" s="414"/>
      <c r="CP105" s="414"/>
      <c r="CQ105" s="414"/>
      <c r="CR105" s="414"/>
      <c r="CS105" s="414"/>
      <c r="CT105" s="414"/>
      <c r="CU105" s="414"/>
      <c r="CV105" s="414"/>
      <c r="CW105" s="414"/>
      <c r="CX105" s="414"/>
      <c r="CY105" s="414"/>
      <c r="CZ105" s="414"/>
      <c r="DA105" s="414"/>
      <c r="DB105" s="414"/>
      <c r="DC105" s="414"/>
      <c r="DD105" s="414"/>
      <c r="DE105" s="414"/>
      <c r="DF105" s="414"/>
      <c r="DG105" s="414"/>
      <c r="DH105" s="414"/>
      <c r="DI105" s="414"/>
      <c r="DJ105" s="414"/>
      <c r="DK105" s="414"/>
      <c r="DL105" s="414"/>
      <c r="DM105" s="414"/>
      <c r="DN105" s="414"/>
      <c r="DO105" s="414"/>
      <c r="DP105" s="414"/>
      <c r="DQ105" s="414"/>
      <c r="DR105" s="414"/>
      <c r="DS105" s="414"/>
      <c r="DT105" s="414"/>
      <c r="DU105" s="414"/>
      <c r="DV105" s="414"/>
      <c r="DW105" s="414"/>
      <c r="DX105" s="414"/>
      <c r="DZ105" s="413"/>
      <c r="EA105" s="413"/>
      <c r="EB105" s="413"/>
      <c r="EC105" s="414"/>
      <c r="ED105" s="184"/>
      <c r="EE105" s="414"/>
      <c r="EF105" s="414"/>
      <c r="EG105" s="414"/>
      <c r="EH105" s="414"/>
      <c r="EI105" s="414"/>
      <c r="EJ105" s="414"/>
      <c r="EK105" s="414"/>
      <c r="EL105" s="414"/>
      <c r="EM105" s="414"/>
      <c r="EN105" s="414"/>
      <c r="EO105" s="414"/>
      <c r="EP105" s="414"/>
      <c r="EQ105" s="414"/>
      <c r="ER105" s="414"/>
      <c r="ES105" s="414"/>
      <c r="ET105" s="414"/>
      <c r="EU105" s="414"/>
      <c r="EV105" s="414"/>
      <c r="EW105" s="414"/>
      <c r="EX105" s="414"/>
      <c r="EY105" s="414"/>
      <c r="EZ105" s="414"/>
      <c r="FA105" s="414"/>
      <c r="FB105" s="414"/>
      <c r="FC105" s="414"/>
      <c r="FD105" s="414"/>
      <c r="FE105" s="414"/>
      <c r="FF105" s="414"/>
      <c r="FG105" s="414"/>
      <c r="FH105" s="414"/>
      <c r="FI105" s="414"/>
      <c r="FJ105" s="414"/>
      <c r="FK105" s="414"/>
      <c r="FL105" s="414"/>
      <c r="FM105" s="414"/>
      <c r="FN105" s="414"/>
      <c r="FO105" s="414"/>
      <c r="FP105" s="414"/>
      <c r="FQ105" s="414"/>
      <c r="FR105" s="414"/>
      <c r="FS105" s="414"/>
      <c r="FT105" s="414"/>
      <c r="FU105" s="414"/>
      <c r="FV105" s="414"/>
      <c r="FW105" s="414"/>
      <c r="FX105" s="414"/>
      <c r="FY105" s="414"/>
      <c r="FZ105" s="414"/>
      <c r="GA105" s="414"/>
      <c r="GB105" s="414"/>
      <c r="GC105" s="414"/>
      <c r="GD105" s="414"/>
      <c r="GE105" s="414"/>
      <c r="GF105" s="414"/>
      <c r="GG105" s="414"/>
      <c r="GH105" s="414"/>
      <c r="GI105" s="414"/>
      <c r="GJ105" s="414"/>
      <c r="GK105" s="414"/>
      <c r="GL105" s="414"/>
      <c r="GM105" s="414"/>
      <c r="GN105" s="414"/>
      <c r="GO105" s="414"/>
      <c r="GP105" s="414"/>
      <c r="GQ105" s="414"/>
      <c r="GR105" s="414"/>
      <c r="GS105" s="414"/>
      <c r="GT105" s="414"/>
      <c r="GU105" s="414"/>
      <c r="GV105" s="414"/>
      <c r="GW105" s="414"/>
      <c r="GX105" s="414"/>
      <c r="GY105" s="414"/>
      <c r="GZ105" s="414"/>
      <c r="HA105" s="414"/>
      <c r="HB105" s="414"/>
      <c r="HC105" s="414"/>
      <c r="HD105" s="414"/>
      <c r="HE105" s="414"/>
      <c r="HF105" s="414"/>
      <c r="HG105" s="414"/>
      <c r="HH105" s="414"/>
      <c r="HI105" s="414"/>
      <c r="HJ105" s="414"/>
      <c r="HK105" s="414"/>
      <c r="HL105" s="414"/>
      <c r="HM105" s="414"/>
      <c r="HN105" s="414"/>
      <c r="HO105" s="414"/>
      <c r="HP105" s="414"/>
      <c r="HQ105" s="414"/>
      <c r="HR105" s="414"/>
      <c r="HS105" s="414"/>
      <c r="HT105" s="414"/>
      <c r="HU105" s="414"/>
      <c r="HV105" s="414"/>
      <c r="HW105" s="414"/>
      <c r="HX105" s="414"/>
      <c r="HY105" s="414"/>
      <c r="HZ105" s="414"/>
      <c r="IA105" s="414"/>
      <c r="IB105" s="414"/>
      <c r="IC105" s="414"/>
      <c r="ID105" s="414"/>
      <c r="IE105" s="414"/>
      <c r="IF105" s="414"/>
      <c r="IG105" s="414"/>
      <c r="IH105" s="414"/>
      <c r="II105" s="414"/>
      <c r="IJ105" s="414"/>
      <c r="IK105" s="414"/>
    </row>
    <row r="106" spans="1:245" ht="16.5" hidden="1">
      <c r="A106" s="413"/>
      <c r="B106" s="413"/>
      <c r="C106" s="413"/>
      <c r="D106" s="344"/>
      <c r="E106" s="413"/>
      <c r="F106" s="413"/>
      <c r="G106" s="344"/>
      <c r="H106" s="414"/>
      <c r="I106" s="344"/>
      <c r="K106" s="414"/>
      <c r="M106" s="413"/>
      <c r="N106" s="413"/>
      <c r="O106" s="413"/>
      <c r="P106" s="414"/>
      <c r="Q106" s="184"/>
      <c r="R106" s="414"/>
      <c r="S106" s="414"/>
      <c r="T106" s="414"/>
      <c r="U106" s="414"/>
      <c r="V106" s="414"/>
      <c r="W106" s="414"/>
      <c r="X106" s="414"/>
      <c r="Y106" s="414"/>
      <c r="Z106" s="414"/>
      <c r="AA106" s="414"/>
      <c r="AB106" s="414"/>
      <c r="AC106" s="414"/>
      <c r="AD106" s="414"/>
      <c r="AE106" s="414"/>
      <c r="AF106" s="414"/>
      <c r="AG106" s="414"/>
      <c r="AH106" s="414"/>
      <c r="AI106" s="414"/>
      <c r="AJ106" s="414"/>
      <c r="AK106" s="414"/>
      <c r="AL106" s="414"/>
      <c r="AM106" s="414"/>
      <c r="AN106" s="414"/>
      <c r="AO106" s="414"/>
      <c r="AP106" s="414"/>
      <c r="AQ106" s="414"/>
      <c r="AR106" s="414"/>
      <c r="AS106" s="414"/>
      <c r="AT106" s="414"/>
      <c r="AU106" s="414"/>
      <c r="AV106" s="414"/>
      <c r="AW106" s="414"/>
      <c r="AX106" s="414"/>
      <c r="AY106" s="414"/>
      <c r="AZ106" s="414"/>
      <c r="BA106" s="414"/>
      <c r="BB106" s="414"/>
      <c r="BC106" s="414"/>
      <c r="BD106" s="414"/>
      <c r="BE106" s="414"/>
      <c r="BF106" s="414"/>
      <c r="BG106" s="414"/>
      <c r="BH106" s="414"/>
      <c r="BI106" s="414"/>
      <c r="BJ106" s="414"/>
      <c r="BK106" s="414"/>
      <c r="BL106" s="414"/>
      <c r="BM106" s="414"/>
      <c r="BN106" s="414"/>
      <c r="BO106" s="414"/>
      <c r="BP106" s="414"/>
      <c r="BQ106" s="414"/>
      <c r="BR106" s="414"/>
      <c r="BS106" s="414"/>
      <c r="BT106" s="414"/>
      <c r="BU106" s="414"/>
      <c r="BV106" s="414"/>
      <c r="BW106" s="414"/>
      <c r="BX106" s="414"/>
      <c r="BY106" s="414"/>
      <c r="BZ106" s="414"/>
      <c r="CA106" s="414"/>
      <c r="CB106" s="414"/>
      <c r="CC106" s="414"/>
      <c r="CD106" s="414"/>
      <c r="CE106" s="414"/>
      <c r="CF106" s="414"/>
      <c r="CG106" s="414"/>
      <c r="CH106" s="414"/>
      <c r="CI106" s="414"/>
      <c r="CJ106" s="414"/>
      <c r="CK106" s="414"/>
      <c r="CL106" s="414"/>
      <c r="CM106" s="414"/>
      <c r="CN106" s="414"/>
      <c r="CO106" s="414"/>
      <c r="CP106" s="414"/>
      <c r="CQ106" s="414"/>
      <c r="CR106" s="414"/>
      <c r="CS106" s="414"/>
      <c r="CT106" s="414"/>
      <c r="CU106" s="414"/>
      <c r="CV106" s="414"/>
      <c r="CW106" s="414"/>
      <c r="CX106" s="414"/>
      <c r="CY106" s="414"/>
      <c r="CZ106" s="414"/>
      <c r="DA106" s="414"/>
      <c r="DB106" s="414"/>
      <c r="DC106" s="414"/>
      <c r="DD106" s="414"/>
      <c r="DE106" s="414"/>
      <c r="DF106" s="414"/>
      <c r="DG106" s="414"/>
      <c r="DH106" s="414"/>
      <c r="DI106" s="414"/>
      <c r="DJ106" s="414"/>
      <c r="DK106" s="414"/>
      <c r="DL106" s="414"/>
      <c r="DM106" s="414"/>
      <c r="DN106" s="414"/>
      <c r="DO106" s="414"/>
      <c r="DP106" s="414"/>
      <c r="DQ106" s="414"/>
      <c r="DR106" s="414"/>
      <c r="DS106" s="414"/>
      <c r="DT106" s="414"/>
      <c r="DU106" s="414"/>
      <c r="DV106" s="414"/>
      <c r="DW106" s="414"/>
      <c r="DX106" s="414"/>
      <c r="DZ106" s="413"/>
      <c r="EA106" s="413"/>
      <c r="EB106" s="413"/>
      <c r="EC106" s="414"/>
      <c r="ED106" s="184"/>
      <c r="EE106" s="414"/>
      <c r="EF106" s="414"/>
      <c r="EG106" s="414"/>
      <c r="EH106" s="414"/>
      <c r="EI106" s="414"/>
      <c r="EJ106" s="414"/>
      <c r="EK106" s="414"/>
      <c r="EL106" s="414"/>
      <c r="EM106" s="414"/>
      <c r="EN106" s="414"/>
      <c r="EO106" s="414"/>
      <c r="EP106" s="414"/>
      <c r="EQ106" s="414"/>
      <c r="ER106" s="414"/>
      <c r="ES106" s="414"/>
      <c r="ET106" s="414"/>
      <c r="EU106" s="414"/>
      <c r="EV106" s="414"/>
      <c r="EW106" s="414"/>
      <c r="EX106" s="414"/>
      <c r="EY106" s="414"/>
      <c r="EZ106" s="414"/>
      <c r="FA106" s="414"/>
      <c r="FB106" s="414"/>
      <c r="FC106" s="414"/>
      <c r="FD106" s="414"/>
      <c r="FE106" s="414"/>
      <c r="FF106" s="414"/>
      <c r="FG106" s="414"/>
      <c r="FH106" s="414"/>
      <c r="FI106" s="414"/>
      <c r="FJ106" s="414"/>
      <c r="FK106" s="414"/>
      <c r="FL106" s="414"/>
      <c r="FM106" s="414"/>
      <c r="FN106" s="414"/>
      <c r="FO106" s="414"/>
      <c r="FP106" s="414"/>
      <c r="FQ106" s="414"/>
      <c r="FR106" s="414"/>
      <c r="FS106" s="414"/>
      <c r="FT106" s="414"/>
      <c r="FU106" s="414"/>
      <c r="FV106" s="414"/>
      <c r="FW106" s="414"/>
      <c r="FX106" s="414"/>
      <c r="FY106" s="414"/>
      <c r="FZ106" s="414"/>
      <c r="GA106" s="414"/>
      <c r="GB106" s="414"/>
      <c r="GC106" s="414"/>
      <c r="GD106" s="414"/>
      <c r="GE106" s="414"/>
      <c r="GF106" s="414"/>
      <c r="GG106" s="414"/>
      <c r="GH106" s="414"/>
      <c r="GI106" s="414"/>
      <c r="GJ106" s="414"/>
      <c r="GK106" s="414"/>
      <c r="GL106" s="414"/>
      <c r="GM106" s="414"/>
      <c r="GN106" s="414"/>
      <c r="GO106" s="414"/>
      <c r="GP106" s="414"/>
      <c r="GQ106" s="414"/>
      <c r="GR106" s="414"/>
      <c r="GS106" s="414"/>
      <c r="GT106" s="414"/>
      <c r="GU106" s="414"/>
      <c r="GV106" s="414"/>
      <c r="GW106" s="414"/>
      <c r="GX106" s="414"/>
      <c r="GY106" s="414"/>
      <c r="GZ106" s="414"/>
      <c r="HA106" s="414"/>
      <c r="HB106" s="414"/>
      <c r="HC106" s="414"/>
      <c r="HD106" s="414"/>
      <c r="HE106" s="414"/>
      <c r="HF106" s="414"/>
      <c r="HG106" s="414"/>
      <c r="HH106" s="414"/>
      <c r="HI106" s="414"/>
      <c r="HJ106" s="414"/>
      <c r="HK106" s="414"/>
      <c r="HL106" s="414"/>
      <c r="HM106" s="414"/>
      <c r="HN106" s="414"/>
      <c r="HO106" s="414"/>
      <c r="HP106" s="414"/>
      <c r="HQ106" s="414"/>
      <c r="HR106" s="414"/>
      <c r="HS106" s="414"/>
      <c r="HT106" s="414"/>
      <c r="HU106" s="414"/>
      <c r="HV106" s="414"/>
      <c r="HW106" s="414"/>
      <c r="HX106" s="414"/>
      <c r="HY106" s="414"/>
      <c r="HZ106" s="414"/>
      <c r="IA106" s="414"/>
      <c r="IB106" s="414"/>
      <c r="IC106" s="414"/>
      <c r="ID106" s="414"/>
      <c r="IE106" s="414"/>
      <c r="IF106" s="414"/>
      <c r="IG106" s="414"/>
      <c r="IH106" s="414"/>
      <c r="II106" s="414"/>
      <c r="IJ106" s="414"/>
      <c r="IK106" s="414"/>
    </row>
    <row r="107" spans="1:245" hidden="1">
      <c r="Q107" s="184"/>
      <c r="ED107" s="184"/>
    </row>
    <row r="108" spans="1:245" hidden="1">
      <c r="Q108" s="184"/>
      <c r="ED108" s="184"/>
    </row>
    <row r="109" spans="1:245" hidden="1">
      <c r="M109" t="s">
        <v>512</v>
      </c>
      <c r="Q109" s="184" t="str">
        <f t="shared" ref="Q109:Q172" si="6">N109&amp;TEXT(O109,"00")&amp;TEXT(P109,"00")</f>
        <v>0000</v>
      </c>
      <c r="DZ109" t="s">
        <v>624</v>
      </c>
      <c r="ED109" s="184" t="str">
        <f t="shared" ref="ED109:ED172" si="7">EA109&amp;TEXT(EB109,"00")&amp;TEXT(EC109,"00")</f>
        <v>0000</v>
      </c>
    </row>
    <row r="110" spans="1:245" ht="24" hidden="1">
      <c r="M110" s="342" t="s">
        <v>110</v>
      </c>
      <c r="N110" s="342" t="s">
        <v>15</v>
      </c>
      <c r="O110" s="342" t="s">
        <v>17</v>
      </c>
      <c r="P110" s="342" t="s">
        <v>16</v>
      </c>
      <c r="Q110" s="184" t="str">
        <f t="shared" si="6"/>
        <v>商品代號性別年齡</v>
      </c>
      <c r="R110" s="342" t="s">
        <v>401</v>
      </c>
      <c r="S110" s="342" t="s">
        <v>402</v>
      </c>
      <c r="T110" s="342" t="s">
        <v>403</v>
      </c>
      <c r="U110" s="342" t="s">
        <v>404</v>
      </c>
      <c r="V110" s="342" t="s">
        <v>405</v>
      </c>
      <c r="W110" s="342" t="s">
        <v>406</v>
      </c>
      <c r="X110" s="342" t="s">
        <v>407</v>
      </c>
      <c r="Y110" s="342" t="s">
        <v>408</v>
      </c>
      <c r="Z110" s="342" t="s">
        <v>409</v>
      </c>
      <c r="AA110" s="342" t="s">
        <v>410</v>
      </c>
      <c r="AB110" s="342" t="s">
        <v>411</v>
      </c>
      <c r="AC110" s="342" t="s">
        <v>412</v>
      </c>
      <c r="AD110" s="342" t="s">
        <v>413</v>
      </c>
      <c r="AE110" s="342" t="s">
        <v>414</v>
      </c>
      <c r="AF110" s="342" t="s">
        <v>415</v>
      </c>
      <c r="AG110" s="342" t="s">
        <v>416</v>
      </c>
      <c r="AH110" s="342" t="s">
        <v>417</v>
      </c>
      <c r="AI110" s="342" t="s">
        <v>418</v>
      </c>
      <c r="AJ110" s="342" t="s">
        <v>419</v>
      </c>
      <c r="AK110" s="342" t="s">
        <v>420</v>
      </c>
      <c r="AL110" s="342" t="s">
        <v>421</v>
      </c>
      <c r="AM110" s="342" t="s">
        <v>422</v>
      </c>
      <c r="AN110" s="342" t="s">
        <v>423</v>
      </c>
      <c r="AO110" s="342" t="s">
        <v>424</v>
      </c>
      <c r="AP110" s="342" t="s">
        <v>425</v>
      </c>
      <c r="AQ110" s="342" t="s">
        <v>426</v>
      </c>
      <c r="AR110" s="342" t="s">
        <v>427</v>
      </c>
      <c r="AS110" s="342" t="s">
        <v>428</v>
      </c>
      <c r="AT110" s="342" t="s">
        <v>429</v>
      </c>
      <c r="AU110" s="342" t="s">
        <v>430</v>
      </c>
      <c r="AV110" s="342" t="s">
        <v>431</v>
      </c>
      <c r="AW110" s="342" t="s">
        <v>432</v>
      </c>
      <c r="AX110" s="342" t="s">
        <v>433</v>
      </c>
      <c r="AY110" s="342" t="s">
        <v>434</v>
      </c>
      <c r="AZ110" s="342" t="s">
        <v>435</v>
      </c>
      <c r="BA110" s="342" t="s">
        <v>436</v>
      </c>
      <c r="BB110" s="342" t="s">
        <v>437</v>
      </c>
      <c r="BC110" s="342" t="s">
        <v>438</v>
      </c>
      <c r="BD110" s="342" t="s">
        <v>439</v>
      </c>
      <c r="BE110" s="342" t="s">
        <v>440</v>
      </c>
      <c r="BF110" s="342" t="s">
        <v>441</v>
      </c>
      <c r="BG110" s="342" t="s">
        <v>442</v>
      </c>
      <c r="BH110" s="342" t="s">
        <v>443</v>
      </c>
      <c r="BI110" s="342" t="s">
        <v>444</v>
      </c>
      <c r="BJ110" s="342" t="s">
        <v>445</v>
      </c>
      <c r="BK110" s="342" t="s">
        <v>446</v>
      </c>
      <c r="BL110" s="342" t="s">
        <v>447</v>
      </c>
      <c r="BM110" s="342" t="s">
        <v>448</v>
      </c>
      <c r="BN110" s="342" t="s">
        <v>449</v>
      </c>
      <c r="BO110" s="342" t="s">
        <v>450</v>
      </c>
      <c r="BP110" s="342" t="s">
        <v>451</v>
      </c>
      <c r="BQ110" s="342" t="s">
        <v>452</v>
      </c>
      <c r="BR110" s="342" t="s">
        <v>453</v>
      </c>
      <c r="BS110" s="342" t="s">
        <v>454</v>
      </c>
      <c r="BT110" s="342" t="s">
        <v>455</v>
      </c>
      <c r="BU110" s="342" t="s">
        <v>456</v>
      </c>
      <c r="BV110" s="342" t="s">
        <v>457</v>
      </c>
      <c r="BW110" s="342" t="s">
        <v>458</v>
      </c>
      <c r="BX110" s="342" t="s">
        <v>459</v>
      </c>
      <c r="BY110" s="342" t="s">
        <v>460</v>
      </c>
      <c r="BZ110" s="342" t="s">
        <v>461</v>
      </c>
      <c r="CA110" s="342" t="s">
        <v>462</v>
      </c>
      <c r="CB110" s="342" t="s">
        <v>463</v>
      </c>
      <c r="CC110" s="342" t="s">
        <v>464</v>
      </c>
      <c r="CD110" s="342" t="s">
        <v>465</v>
      </c>
      <c r="CE110" s="342" t="s">
        <v>466</v>
      </c>
      <c r="CF110" s="342" t="s">
        <v>467</v>
      </c>
      <c r="CG110" s="342" t="s">
        <v>468</v>
      </c>
      <c r="CH110" s="342" t="s">
        <v>469</v>
      </c>
      <c r="CI110" s="342" t="s">
        <v>470</v>
      </c>
      <c r="CJ110" s="342" t="s">
        <v>471</v>
      </c>
      <c r="CK110" s="342" t="s">
        <v>472</v>
      </c>
      <c r="CL110" s="342" t="s">
        <v>473</v>
      </c>
      <c r="CM110" s="342" t="s">
        <v>474</v>
      </c>
      <c r="CN110" s="342" t="s">
        <v>475</v>
      </c>
      <c r="CO110" s="342" t="s">
        <v>476</v>
      </c>
      <c r="CP110" s="342" t="s">
        <v>477</v>
      </c>
      <c r="CQ110" s="342" t="s">
        <v>478</v>
      </c>
      <c r="CR110" s="342" t="s">
        <v>479</v>
      </c>
      <c r="CS110" s="342" t="s">
        <v>480</v>
      </c>
      <c r="CT110" s="342" t="s">
        <v>481</v>
      </c>
      <c r="CU110" s="342" t="s">
        <v>482</v>
      </c>
      <c r="CV110" s="342" t="s">
        <v>483</v>
      </c>
      <c r="CW110" s="342" t="s">
        <v>484</v>
      </c>
      <c r="CX110" s="342" t="s">
        <v>485</v>
      </c>
      <c r="CY110" s="342" t="s">
        <v>486</v>
      </c>
      <c r="CZ110" s="342" t="s">
        <v>487</v>
      </c>
      <c r="DA110" s="342" t="s">
        <v>488</v>
      </c>
      <c r="DB110" s="342" t="s">
        <v>489</v>
      </c>
      <c r="DC110" s="342" t="s">
        <v>490</v>
      </c>
      <c r="DD110" s="342" t="s">
        <v>491</v>
      </c>
      <c r="DE110" s="342" t="s">
        <v>492</v>
      </c>
      <c r="DF110" s="342" t="s">
        <v>493</v>
      </c>
      <c r="DG110" s="342" t="s">
        <v>494</v>
      </c>
      <c r="DH110" s="342" t="s">
        <v>495</v>
      </c>
      <c r="DI110" s="342" t="s">
        <v>496</v>
      </c>
      <c r="DJ110" s="342" t="s">
        <v>497</v>
      </c>
      <c r="DK110" s="342" t="s">
        <v>498</v>
      </c>
      <c r="DL110" s="342" t="s">
        <v>499</v>
      </c>
      <c r="DM110" s="342" t="s">
        <v>500</v>
      </c>
      <c r="DN110" s="342" t="s">
        <v>501</v>
      </c>
      <c r="DO110" s="342" t="s">
        <v>502</v>
      </c>
      <c r="DP110" s="342" t="s">
        <v>503</v>
      </c>
      <c r="DQ110" s="342" t="s">
        <v>504</v>
      </c>
      <c r="DR110" s="342" t="s">
        <v>505</v>
      </c>
      <c r="DS110" s="342" t="s">
        <v>506</v>
      </c>
      <c r="DT110" s="342" t="s">
        <v>507</v>
      </c>
      <c r="DU110" s="342" t="s">
        <v>508</v>
      </c>
      <c r="DV110" s="342" t="s">
        <v>509</v>
      </c>
      <c r="DW110" s="342" t="s">
        <v>510</v>
      </c>
      <c r="DX110" s="342" t="s">
        <v>511</v>
      </c>
      <c r="DZ110" s="342" t="s">
        <v>110</v>
      </c>
      <c r="EA110" s="342" t="s">
        <v>15</v>
      </c>
      <c r="EB110" s="342" t="s">
        <v>17</v>
      </c>
      <c r="EC110" s="342" t="s">
        <v>16</v>
      </c>
      <c r="ED110" s="184" t="str">
        <f t="shared" si="7"/>
        <v>商品代號性別年齡</v>
      </c>
      <c r="EE110" s="342" t="s">
        <v>513</v>
      </c>
      <c r="EF110" s="342" t="s">
        <v>514</v>
      </c>
      <c r="EG110" s="342" t="s">
        <v>515</v>
      </c>
      <c r="EH110" s="342" t="s">
        <v>516</v>
      </c>
      <c r="EI110" s="342" t="s">
        <v>517</v>
      </c>
      <c r="EJ110" s="342" t="s">
        <v>518</v>
      </c>
      <c r="EK110" s="342" t="s">
        <v>519</v>
      </c>
      <c r="EL110" s="342" t="s">
        <v>520</v>
      </c>
      <c r="EM110" s="342" t="s">
        <v>521</v>
      </c>
      <c r="EN110" s="342" t="s">
        <v>522</v>
      </c>
      <c r="EO110" s="342" t="s">
        <v>523</v>
      </c>
      <c r="EP110" s="342" t="s">
        <v>524</v>
      </c>
      <c r="EQ110" s="342" t="s">
        <v>525</v>
      </c>
      <c r="ER110" s="342" t="s">
        <v>526</v>
      </c>
      <c r="ES110" s="342" t="s">
        <v>527</v>
      </c>
      <c r="ET110" s="342" t="s">
        <v>528</v>
      </c>
      <c r="EU110" s="342" t="s">
        <v>529</v>
      </c>
      <c r="EV110" s="342" t="s">
        <v>530</v>
      </c>
      <c r="EW110" s="342" t="s">
        <v>531</v>
      </c>
      <c r="EX110" s="342" t="s">
        <v>532</v>
      </c>
      <c r="EY110" s="342" t="s">
        <v>533</v>
      </c>
      <c r="EZ110" s="342" t="s">
        <v>534</v>
      </c>
      <c r="FA110" s="342" t="s">
        <v>535</v>
      </c>
      <c r="FB110" s="342" t="s">
        <v>536</v>
      </c>
      <c r="FC110" s="342" t="s">
        <v>537</v>
      </c>
      <c r="FD110" s="342" t="s">
        <v>538</v>
      </c>
      <c r="FE110" s="342" t="s">
        <v>539</v>
      </c>
      <c r="FF110" s="342" t="s">
        <v>540</v>
      </c>
      <c r="FG110" s="342" t="s">
        <v>541</v>
      </c>
      <c r="FH110" s="342" t="s">
        <v>542</v>
      </c>
      <c r="FI110" s="342" t="s">
        <v>543</v>
      </c>
      <c r="FJ110" s="342" t="s">
        <v>544</v>
      </c>
      <c r="FK110" s="342" t="s">
        <v>545</v>
      </c>
      <c r="FL110" s="342" t="s">
        <v>546</v>
      </c>
      <c r="FM110" s="342" t="s">
        <v>547</v>
      </c>
      <c r="FN110" s="342" t="s">
        <v>548</v>
      </c>
      <c r="FO110" s="342" t="s">
        <v>549</v>
      </c>
      <c r="FP110" s="342" t="s">
        <v>550</v>
      </c>
      <c r="FQ110" s="342" t="s">
        <v>551</v>
      </c>
      <c r="FR110" s="342" t="s">
        <v>552</v>
      </c>
      <c r="FS110" s="342" t="s">
        <v>553</v>
      </c>
      <c r="FT110" s="342" t="s">
        <v>554</v>
      </c>
      <c r="FU110" s="342" t="s">
        <v>555</v>
      </c>
      <c r="FV110" s="342" t="s">
        <v>556</v>
      </c>
      <c r="FW110" s="342" t="s">
        <v>557</v>
      </c>
      <c r="FX110" s="342" t="s">
        <v>558</v>
      </c>
      <c r="FY110" s="342" t="s">
        <v>559</v>
      </c>
      <c r="FZ110" s="342" t="s">
        <v>560</v>
      </c>
      <c r="GA110" s="342" t="s">
        <v>561</v>
      </c>
      <c r="GB110" s="342" t="s">
        <v>562</v>
      </c>
      <c r="GC110" s="342" t="s">
        <v>563</v>
      </c>
      <c r="GD110" s="342" t="s">
        <v>564</v>
      </c>
      <c r="GE110" s="342" t="s">
        <v>565</v>
      </c>
      <c r="GF110" s="342" t="s">
        <v>566</v>
      </c>
      <c r="GG110" s="342" t="s">
        <v>567</v>
      </c>
      <c r="GH110" s="342" t="s">
        <v>568</v>
      </c>
      <c r="GI110" s="342" t="s">
        <v>569</v>
      </c>
      <c r="GJ110" s="342" t="s">
        <v>570</v>
      </c>
      <c r="GK110" s="342" t="s">
        <v>571</v>
      </c>
      <c r="GL110" s="342" t="s">
        <v>572</v>
      </c>
      <c r="GM110" s="342" t="s">
        <v>573</v>
      </c>
      <c r="GN110" s="342" t="s">
        <v>574</v>
      </c>
      <c r="GO110" s="342" t="s">
        <v>575</v>
      </c>
      <c r="GP110" s="342" t="s">
        <v>576</v>
      </c>
      <c r="GQ110" s="342" t="s">
        <v>577</v>
      </c>
      <c r="GR110" s="342" t="s">
        <v>578</v>
      </c>
      <c r="GS110" s="342" t="s">
        <v>579</v>
      </c>
      <c r="GT110" s="342" t="s">
        <v>580</v>
      </c>
      <c r="GU110" s="342" t="s">
        <v>581</v>
      </c>
      <c r="GV110" s="342" t="s">
        <v>582</v>
      </c>
      <c r="GW110" s="342" t="s">
        <v>583</v>
      </c>
      <c r="GX110" s="342" t="s">
        <v>584</v>
      </c>
      <c r="GY110" s="342" t="s">
        <v>585</v>
      </c>
      <c r="GZ110" s="342" t="s">
        <v>586</v>
      </c>
      <c r="HA110" s="342" t="s">
        <v>587</v>
      </c>
      <c r="HB110" s="342" t="s">
        <v>588</v>
      </c>
      <c r="HC110" s="342" t="s">
        <v>589</v>
      </c>
      <c r="HD110" s="342" t="s">
        <v>590</v>
      </c>
      <c r="HE110" s="342" t="s">
        <v>591</v>
      </c>
      <c r="HF110" s="342" t="s">
        <v>592</v>
      </c>
      <c r="HG110" s="342" t="s">
        <v>593</v>
      </c>
      <c r="HH110" s="342" t="s">
        <v>594</v>
      </c>
      <c r="HI110" s="342" t="s">
        <v>595</v>
      </c>
      <c r="HJ110" s="342" t="s">
        <v>596</v>
      </c>
      <c r="HK110" s="342" t="s">
        <v>597</v>
      </c>
      <c r="HL110" s="342" t="s">
        <v>598</v>
      </c>
      <c r="HM110" s="342" t="s">
        <v>599</v>
      </c>
      <c r="HN110" s="342" t="s">
        <v>600</v>
      </c>
      <c r="HO110" s="342" t="s">
        <v>601</v>
      </c>
      <c r="HP110" s="342" t="s">
        <v>602</v>
      </c>
      <c r="HQ110" s="342" t="s">
        <v>603</v>
      </c>
      <c r="HR110" s="342" t="s">
        <v>604</v>
      </c>
      <c r="HS110" s="342" t="s">
        <v>605</v>
      </c>
      <c r="HT110" s="342" t="s">
        <v>606</v>
      </c>
      <c r="HU110" s="342" t="s">
        <v>607</v>
      </c>
      <c r="HV110" s="342" t="s">
        <v>608</v>
      </c>
      <c r="HW110" s="342" t="s">
        <v>609</v>
      </c>
      <c r="HX110" s="342" t="s">
        <v>610</v>
      </c>
      <c r="HY110" s="342" t="s">
        <v>611</v>
      </c>
      <c r="HZ110" s="342" t="s">
        <v>612</v>
      </c>
      <c r="IA110" s="342" t="s">
        <v>613</v>
      </c>
      <c r="IB110" s="342" t="s">
        <v>614</v>
      </c>
      <c r="IC110" s="342" t="s">
        <v>615</v>
      </c>
      <c r="ID110" s="342" t="s">
        <v>616</v>
      </c>
      <c r="IE110" s="342" t="s">
        <v>617</v>
      </c>
      <c r="IF110" s="342" t="s">
        <v>618</v>
      </c>
      <c r="IG110" s="342" t="s">
        <v>619</v>
      </c>
      <c r="IH110" s="342" t="s">
        <v>620</v>
      </c>
      <c r="II110" s="342" t="s">
        <v>621</v>
      </c>
      <c r="IJ110" s="342" t="s">
        <v>622</v>
      </c>
      <c r="IK110" s="342" t="s">
        <v>623</v>
      </c>
    </row>
    <row r="111" spans="1:245" hidden="1">
      <c r="M111" s="343" t="s">
        <v>633</v>
      </c>
      <c r="N111" t="s">
        <v>1010</v>
      </c>
      <c r="O111">
        <v>1</v>
      </c>
      <c r="P111">
        <v>0</v>
      </c>
      <c r="Q111" s="184" t="str">
        <f t="shared" si="6"/>
        <v>SDJ200100</v>
      </c>
      <c r="R111">
        <v>0</v>
      </c>
      <c r="S111">
        <v>17</v>
      </c>
      <c r="T111">
        <v>34</v>
      </c>
      <c r="U111">
        <v>52</v>
      </c>
      <c r="V111">
        <v>75</v>
      </c>
      <c r="W111">
        <v>94</v>
      </c>
      <c r="X111">
        <v>129</v>
      </c>
      <c r="Y111">
        <v>152</v>
      </c>
      <c r="Z111">
        <v>176</v>
      </c>
      <c r="AA111">
        <v>221</v>
      </c>
      <c r="AB111">
        <v>249</v>
      </c>
      <c r="AC111">
        <v>276</v>
      </c>
      <c r="AD111">
        <v>304</v>
      </c>
      <c r="AE111">
        <v>333</v>
      </c>
      <c r="AF111">
        <v>362</v>
      </c>
      <c r="AG111">
        <v>391</v>
      </c>
      <c r="AH111">
        <v>420</v>
      </c>
      <c r="AI111">
        <v>450</v>
      </c>
      <c r="AJ111">
        <v>481</v>
      </c>
      <c r="AK111">
        <v>513</v>
      </c>
      <c r="AL111">
        <v>522</v>
      </c>
      <c r="AM111">
        <v>531</v>
      </c>
      <c r="AN111">
        <v>540</v>
      </c>
      <c r="AO111">
        <v>549</v>
      </c>
      <c r="AP111">
        <v>559</v>
      </c>
      <c r="AQ111">
        <v>568</v>
      </c>
      <c r="AR111">
        <v>578</v>
      </c>
      <c r="AS111">
        <v>588</v>
      </c>
      <c r="AT111">
        <v>599</v>
      </c>
      <c r="AU111">
        <v>609</v>
      </c>
      <c r="AV111">
        <v>620</v>
      </c>
      <c r="AW111">
        <v>630</v>
      </c>
      <c r="AX111">
        <v>641</v>
      </c>
      <c r="AY111">
        <v>652</v>
      </c>
      <c r="AZ111">
        <v>663</v>
      </c>
      <c r="BA111">
        <v>674</v>
      </c>
      <c r="BB111">
        <v>686</v>
      </c>
      <c r="BC111">
        <v>697</v>
      </c>
      <c r="BD111">
        <v>709</v>
      </c>
      <c r="BE111">
        <v>721</v>
      </c>
      <c r="BF111">
        <v>734</v>
      </c>
      <c r="BG111">
        <v>748</v>
      </c>
      <c r="BH111">
        <v>762</v>
      </c>
      <c r="BI111">
        <v>776</v>
      </c>
      <c r="BJ111">
        <v>791</v>
      </c>
      <c r="BK111">
        <v>807</v>
      </c>
      <c r="BL111">
        <v>825</v>
      </c>
      <c r="BM111">
        <v>843</v>
      </c>
      <c r="BN111">
        <v>862</v>
      </c>
      <c r="BO111">
        <v>883</v>
      </c>
      <c r="BP111">
        <v>907</v>
      </c>
      <c r="BQ111">
        <v>932</v>
      </c>
      <c r="BR111">
        <v>959</v>
      </c>
      <c r="BS111">
        <v>988</v>
      </c>
      <c r="BT111">
        <v>1019</v>
      </c>
      <c r="BU111">
        <v>1054</v>
      </c>
      <c r="BV111">
        <v>1090</v>
      </c>
      <c r="BW111">
        <v>1129</v>
      </c>
      <c r="BX111">
        <v>1173</v>
      </c>
      <c r="BY111">
        <v>1220</v>
      </c>
      <c r="BZ111">
        <v>1272</v>
      </c>
      <c r="CA111">
        <v>1328</v>
      </c>
      <c r="CB111">
        <v>1388</v>
      </c>
      <c r="CC111">
        <v>1455</v>
      </c>
      <c r="CD111">
        <v>1527</v>
      </c>
      <c r="CE111">
        <v>1610</v>
      </c>
      <c r="CF111">
        <v>1701</v>
      </c>
      <c r="CG111">
        <v>1801</v>
      </c>
      <c r="CH111">
        <v>1908</v>
      </c>
      <c r="CI111">
        <v>2028</v>
      </c>
      <c r="CJ111">
        <v>2169</v>
      </c>
      <c r="CK111">
        <v>2324</v>
      </c>
      <c r="CL111">
        <v>2499</v>
      </c>
      <c r="CM111">
        <v>2696</v>
      </c>
      <c r="CN111">
        <v>2920</v>
      </c>
      <c r="CO111">
        <v>3209</v>
      </c>
      <c r="CP111">
        <v>3547</v>
      </c>
      <c r="CQ111">
        <v>3933</v>
      </c>
      <c r="CR111">
        <v>4392</v>
      </c>
      <c r="CS111">
        <v>4919</v>
      </c>
      <c r="CT111">
        <v>5577</v>
      </c>
      <c r="CU111">
        <v>6376</v>
      </c>
      <c r="CV111">
        <v>7342</v>
      </c>
      <c r="CW111">
        <v>8535</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Z111" s="343" t="s">
        <v>633</v>
      </c>
      <c r="EA111" t="s">
        <v>1010</v>
      </c>
      <c r="EB111">
        <v>1</v>
      </c>
      <c r="EC111" s="431">
        <v>0</v>
      </c>
      <c r="ED111" s="184" t="str">
        <f t="shared" si="7"/>
        <v>SDJ200100</v>
      </c>
      <c r="EE111">
        <v>0</v>
      </c>
      <c r="EF111">
        <v>65</v>
      </c>
      <c r="EG111">
        <v>125</v>
      </c>
      <c r="EH111">
        <v>184</v>
      </c>
      <c r="EI111">
        <v>256</v>
      </c>
      <c r="EJ111">
        <v>310</v>
      </c>
      <c r="EK111">
        <v>413</v>
      </c>
      <c r="EL111">
        <v>474</v>
      </c>
      <c r="EM111">
        <v>534</v>
      </c>
      <c r="EN111">
        <v>652</v>
      </c>
      <c r="EO111">
        <v>714</v>
      </c>
      <c r="EP111">
        <v>770</v>
      </c>
      <c r="EQ111">
        <v>825</v>
      </c>
      <c r="ER111">
        <v>879</v>
      </c>
      <c r="ES111">
        <v>929</v>
      </c>
      <c r="ET111">
        <v>977</v>
      </c>
      <c r="EU111">
        <v>1022</v>
      </c>
      <c r="EV111">
        <v>1067</v>
      </c>
      <c r="EW111">
        <v>1112</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row>
    <row r="112" spans="1:245" hidden="1">
      <c r="M112" s="343" t="s">
        <v>633</v>
      </c>
      <c r="N112" t="s">
        <v>1010</v>
      </c>
      <c r="O112">
        <v>1</v>
      </c>
      <c r="P112">
        <v>1</v>
      </c>
      <c r="Q112" s="184" t="str">
        <f t="shared" si="6"/>
        <v>SDJ200101</v>
      </c>
      <c r="R112">
        <v>0</v>
      </c>
      <c r="S112">
        <v>17</v>
      </c>
      <c r="T112">
        <v>35</v>
      </c>
      <c r="U112">
        <v>53</v>
      </c>
      <c r="V112">
        <v>77</v>
      </c>
      <c r="W112">
        <v>97</v>
      </c>
      <c r="X112">
        <v>131</v>
      </c>
      <c r="Y112">
        <v>155</v>
      </c>
      <c r="Z112">
        <v>179</v>
      </c>
      <c r="AA112">
        <v>226</v>
      </c>
      <c r="AB112">
        <v>254</v>
      </c>
      <c r="AC112">
        <v>282</v>
      </c>
      <c r="AD112">
        <v>310</v>
      </c>
      <c r="AE112">
        <v>339</v>
      </c>
      <c r="AF112">
        <v>368</v>
      </c>
      <c r="AG112">
        <v>397</v>
      </c>
      <c r="AH112">
        <v>427</v>
      </c>
      <c r="AI112">
        <v>458</v>
      </c>
      <c r="AJ112">
        <v>489</v>
      </c>
      <c r="AK112">
        <v>522</v>
      </c>
      <c r="AL112">
        <v>531</v>
      </c>
      <c r="AM112">
        <v>540</v>
      </c>
      <c r="AN112">
        <v>549</v>
      </c>
      <c r="AO112">
        <v>559</v>
      </c>
      <c r="AP112">
        <v>568</v>
      </c>
      <c r="AQ112">
        <v>578</v>
      </c>
      <c r="AR112">
        <v>588</v>
      </c>
      <c r="AS112">
        <v>599</v>
      </c>
      <c r="AT112">
        <v>609</v>
      </c>
      <c r="AU112">
        <v>620</v>
      </c>
      <c r="AV112">
        <v>630</v>
      </c>
      <c r="AW112">
        <v>641</v>
      </c>
      <c r="AX112">
        <v>652</v>
      </c>
      <c r="AY112">
        <v>663</v>
      </c>
      <c r="AZ112">
        <v>674</v>
      </c>
      <c r="BA112">
        <v>686</v>
      </c>
      <c r="BB112">
        <v>697</v>
      </c>
      <c r="BC112">
        <v>709</v>
      </c>
      <c r="BD112">
        <v>721</v>
      </c>
      <c r="BE112">
        <v>734</v>
      </c>
      <c r="BF112">
        <v>748</v>
      </c>
      <c r="BG112">
        <v>762</v>
      </c>
      <c r="BH112">
        <v>776</v>
      </c>
      <c r="BI112">
        <v>791</v>
      </c>
      <c r="BJ112">
        <v>807</v>
      </c>
      <c r="BK112">
        <v>825</v>
      </c>
      <c r="BL112">
        <v>843</v>
      </c>
      <c r="BM112">
        <v>862</v>
      </c>
      <c r="BN112">
        <v>883</v>
      </c>
      <c r="BO112">
        <v>907</v>
      </c>
      <c r="BP112">
        <v>932</v>
      </c>
      <c r="BQ112">
        <v>959</v>
      </c>
      <c r="BR112">
        <v>988</v>
      </c>
      <c r="BS112">
        <v>1019</v>
      </c>
      <c r="BT112">
        <v>1054</v>
      </c>
      <c r="BU112">
        <v>1090</v>
      </c>
      <c r="BV112">
        <v>1129</v>
      </c>
      <c r="BW112">
        <v>1173</v>
      </c>
      <c r="BX112">
        <v>1220</v>
      </c>
      <c r="BY112">
        <v>1272</v>
      </c>
      <c r="BZ112">
        <v>1328</v>
      </c>
      <c r="CA112">
        <v>1388</v>
      </c>
      <c r="CB112">
        <v>1455</v>
      </c>
      <c r="CC112">
        <v>1527</v>
      </c>
      <c r="CD112">
        <v>1610</v>
      </c>
      <c r="CE112">
        <v>1701</v>
      </c>
      <c r="CF112">
        <v>1801</v>
      </c>
      <c r="CG112">
        <v>1908</v>
      </c>
      <c r="CH112">
        <v>2028</v>
      </c>
      <c r="CI112">
        <v>2169</v>
      </c>
      <c r="CJ112">
        <v>2324</v>
      </c>
      <c r="CK112">
        <v>2499</v>
      </c>
      <c r="CL112">
        <v>2696</v>
      </c>
      <c r="CM112">
        <v>2920</v>
      </c>
      <c r="CN112">
        <v>3209</v>
      </c>
      <c r="CO112">
        <v>3547</v>
      </c>
      <c r="CP112">
        <v>3933</v>
      </c>
      <c r="CQ112">
        <v>4392</v>
      </c>
      <c r="CR112">
        <v>4919</v>
      </c>
      <c r="CS112">
        <v>5577</v>
      </c>
      <c r="CT112">
        <v>6376</v>
      </c>
      <c r="CU112">
        <v>7342</v>
      </c>
      <c r="CV112">
        <v>8535</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Z112" s="343" t="s">
        <v>633</v>
      </c>
      <c r="EA112" t="s">
        <v>1010</v>
      </c>
      <c r="EB112">
        <v>1</v>
      </c>
      <c r="EC112">
        <v>1</v>
      </c>
      <c r="ED112" s="184" t="str">
        <f t="shared" si="7"/>
        <v>SDJ200101</v>
      </c>
      <c r="EE112">
        <v>0</v>
      </c>
      <c r="EF112">
        <v>64</v>
      </c>
      <c r="EG112">
        <v>127</v>
      </c>
      <c r="EH112">
        <v>184</v>
      </c>
      <c r="EI112">
        <v>259</v>
      </c>
      <c r="EJ112">
        <v>315</v>
      </c>
      <c r="EK112">
        <v>412</v>
      </c>
      <c r="EL112">
        <v>474</v>
      </c>
      <c r="EM112">
        <v>532</v>
      </c>
      <c r="EN112">
        <v>653</v>
      </c>
      <c r="EO112">
        <v>714</v>
      </c>
      <c r="EP112">
        <v>771</v>
      </c>
      <c r="EQ112">
        <v>825</v>
      </c>
      <c r="ER112">
        <v>877</v>
      </c>
      <c r="ES112">
        <v>927</v>
      </c>
      <c r="ET112">
        <v>974</v>
      </c>
      <c r="EU112">
        <v>1021</v>
      </c>
      <c r="EV112">
        <v>1068</v>
      </c>
      <c r="EW112">
        <v>1112</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c r="IK112">
        <v>0</v>
      </c>
    </row>
    <row r="113" spans="13:245" hidden="1">
      <c r="M113" s="343" t="s">
        <v>633</v>
      </c>
      <c r="N113" t="s">
        <v>1010</v>
      </c>
      <c r="O113">
        <v>1</v>
      </c>
      <c r="P113">
        <v>2</v>
      </c>
      <c r="Q113" s="184" t="str">
        <f t="shared" si="6"/>
        <v>SDJ200102</v>
      </c>
      <c r="R113">
        <v>0</v>
      </c>
      <c r="S113">
        <v>18</v>
      </c>
      <c r="T113">
        <v>36</v>
      </c>
      <c r="U113">
        <v>55</v>
      </c>
      <c r="V113">
        <v>78</v>
      </c>
      <c r="W113">
        <v>98</v>
      </c>
      <c r="X113">
        <v>134</v>
      </c>
      <c r="Y113">
        <v>158</v>
      </c>
      <c r="Z113">
        <v>183</v>
      </c>
      <c r="AA113">
        <v>230</v>
      </c>
      <c r="AB113">
        <v>258</v>
      </c>
      <c r="AC113">
        <v>287</v>
      </c>
      <c r="AD113">
        <v>315</v>
      </c>
      <c r="AE113">
        <v>344</v>
      </c>
      <c r="AF113">
        <v>374</v>
      </c>
      <c r="AG113">
        <v>404</v>
      </c>
      <c r="AH113">
        <v>434</v>
      </c>
      <c r="AI113">
        <v>466</v>
      </c>
      <c r="AJ113">
        <v>498</v>
      </c>
      <c r="AK113">
        <v>531</v>
      </c>
      <c r="AL113">
        <v>540</v>
      </c>
      <c r="AM113">
        <v>549</v>
      </c>
      <c r="AN113">
        <v>559</v>
      </c>
      <c r="AO113">
        <v>568</v>
      </c>
      <c r="AP113">
        <v>578</v>
      </c>
      <c r="AQ113">
        <v>588</v>
      </c>
      <c r="AR113">
        <v>599</v>
      </c>
      <c r="AS113">
        <v>609</v>
      </c>
      <c r="AT113">
        <v>620</v>
      </c>
      <c r="AU113">
        <v>630</v>
      </c>
      <c r="AV113">
        <v>641</v>
      </c>
      <c r="AW113">
        <v>652</v>
      </c>
      <c r="AX113">
        <v>663</v>
      </c>
      <c r="AY113">
        <v>674</v>
      </c>
      <c r="AZ113">
        <v>686</v>
      </c>
      <c r="BA113">
        <v>697</v>
      </c>
      <c r="BB113">
        <v>709</v>
      </c>
      <c r="BC113">
        <v>721</v>
      </c>
      <c r="BD113">
        <v>734</v>
      </c>
      <c r="BE113">
        <v>748</v>
      </c>
      <c r="BF113">
        <v>762</v>
      </c>
      <c r="BG113">
        <v>776</v>
      </c>
      <c r="BH113">
        <v>791</v>
      </c>
      <c r="BI113">
        <v>807</v>
      </c>
      <c r="BJ113">
        <v>825</v>
      </c>
      <c r="BK113">
        <v>843</v>
      </c>
      <c r="BL113">
        <v>862</v>
      </c>
      <c r="BM113">
        <v>883</v>
      </c>
      <c r="BN113">
        <v>907</v>
      </c>
      <c r="BO113">
        <v>932</v>
      </c>
      <c r="BP113">
        <v>959</v>
      </c>
      <c r="BQ113">
        <v>988</v>
      </c>
      <c r="BR113">
        <v>1019</v>
      </c>
      <c r="BS113">
        <v>1054</v>
      </c>
      <c r="BT113">
        <v>1090</v>
      </c>
      <c r="BU113">
        <v>1129</v>
      </c>
      <c r="BV113">
        <v>1173</v>
      </c>
      <c r="BW113">
        <v>1220</v>
      </c>
      <c r="BX113">
        <v>1272</v>
      </c>
      <c r="BY113">
        <v>1328</v>
      </c>
      <c r="BZ113">
        <v>1388</v>
      </c>
      <c r="CA113">
        <v>1455</v>
      </c>
      <c r="CB113">
        <v>1527</v>
      </c>
      <c r="CC113">
        <v>1610</v>
      </c>
      <c r="CD113">
        <v>1701</v>
      </c>
      <c r="CE113">
        <v>1801</v>
      </c>
      <c r="CF113">
        <v>1908</v>
      </c>
      <c r="CG113">
        <v>2028</v>
      </c>
      <c r="CH113">
        <v>2169</v>
      </c>
      <c r="CI113">
        <v>2324</v>
      </c>
      <c r="CJ113">
        <v>2499</v>
      </c>
      <c r="CK113">
        <v>2696</v>
      </c>
      <c r="CL113">
        <v>2920</v>
      </c>
      <c r="CM113">
        <v>3209</v>
      </c>
      <c r="CN113">
        <v>3547</v>
      </c>
      <c r="CO113">
        <v>3933</v>
      </c>
      <c r="CP113">
        <v>4392</v>
      </c>
      <c r="CQ113">
        <v>4919</v>
      </c>
      <c r="CR113">
        <v>5577</v>
      </c>
      <c r="CS113">
        <v>6376</v>
      </c>
      <c r="CT113">
        <v>7342</v>
      </c>
      <c r="CU113">
        <v>8535</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Z113" s="343" t="s">
        <v>633</v>
      </c>
      <c r="EA113" t="s">
        <v>1010</v>
      </c>
      <c r="EB113">
        <v>1</v>
      </c>
      <c r="EC113">
        <v>2</v>
      </c>
      <c r="ED113" s="184" t="str">
        <f t="shared" si="7"/>
        <v>SDJ200102</v>
      </c>
      <c r="EE113">
        <v>0</v>
      </c>
      <c r="EF113">
        <v>67</v>
      </c>
      <c r="EG113">
        <v>128</v>
      </c>
      <c r="EH113">
        <v>188</v>
      </c>
      <c r="EI113">
        <v>257</v>
      </c>
      <c r="EJ113">
        <v>312</v>
      </c>
      <c r="EK113">
        <v>413</v>
      </c>
      <c r="EL113">
        <v>473</v>
      </c>
      <c r="EM113">
        <v>533</v>
      </c>
      <c r="EN113">
        <v>652</v>
      </c>
      <c r="EO113">
        <v>711</v>
      </c>
      <c r="EP113">
        <v>770</v>
      </c>
      <c r="EQ113">
        <v>822</v>
      </c>
      <c r="ER113">
        <v>874</v>
      </c>
      <c r="ES113">
        <v>925</v>
      </c>
      <c r="ET113">
        <v>974</v>
      </c>
      <c r="EU113">
        <v>1020</v>
      </c>
      <c r="EV113">
        <v>1069</v>
      </c>
      <c r="EW113">
        <v>1114</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row>
    <row r="114" spans="13:245" hidden="1">
      <c r="M114" s="343" t="s">
        <v>633</v>
      </c>
      <c r="N114" t="s">
        <v>1010</v>
      </c>
      <c r="O114">
        <v>1</v>
      </c>
      <c r="P114">
        <v>3</v>
      </c>
      <c r="Q114" s="184" t="str">
        <f t="shared" si="6"/>
        <v>SDJ200103</v>
      </c>
      <c r="R114">
        <v>0</v>
      </c>
      <c r="S114">
        <v>18</v>
      </c>
      <c r="T114">
        <v>37</v>
      </c>
      <c r="U114">
        <v>56</v>
      </c>
      <c r="V114">
        <v>79</v>
      </c>
      <c r="W114">
        <v>100</v>
      </c>
      <c r="X114">
        <v>137</v>
      </c>
      <c r="Y114">
        <v>161</v>
      </c>
      <c r="Z114">
        <v>185</v>
      </c>
      <c r="AA114">
        <v>234</v>
      </c>
      <c r="AB114">
        <v>263</v>
      </c>
      <c r="AC114">
        <v>291</v>
      </c>
      <c r="AD114">
        <v>320</v>
      </c>
      <c r="AE114">
        <v>350</v>
      </c>
      <c r="AF114">
        <v>380</v>
      </c>
      <c r="AG114">
        <v>410</v>
      </c>
      <c r="AH114">
        <v>442</v>
      </c>
      <c r="AI114">
        <v>474</v>
      </c>
      <c r="AJ114">
        <v>507</v>
      </c>
      <c r="AK114">
        <v>540</v>
      </c>
      <c r="AL114">
        <v>549</v>
      </c>
      <c r="AM114">
        <v>559</v>
      </c>
      <c r="AN114">
        <v>568</v>
      </c>
      <c r="AO114">
        <v>578</v>
      </c>
      <c r="AP114">
        <v>588</v>
      </c>
      <c r="AQ114">
        <v>599</v>
      </c>
      <c r="AR114">
        <v>609</v>
      </c>
      <c r="AS114">
        <v>620</v>
      </c>
      <c r="AT114">
        <v>630</v>
      </c>
      <c r="AU114">
        <v>641</v>
      </c>
      <c r="AV114">
        <v>652</v>
      </c>
      <c r="AW114">
        <v>663</v>
      </c>
      <c r="AX114">
        <v>674</v>
      </c>
      <c r="AY114">
        <v>686</v>
      </c>
      <c r="AZ114">
        <v>697</v>
      </c>
      <c r="BA114">
        <v>709</v>
      </c>
      <c r="BB114">
        <v>721</v>
      </c>
      <c r="BC114">
        <v>734</v>
      </c>
      <c r="BD114">
        <v>748</v>
      </c>
      <c r="BE114">
        <v>762</v>
      </c>
      <c r="BF114">
        <v>776</v>
      </c>
      <c r="BG114">
        <v>791</v>
      </c>
      <c r="BH114">
        <v>807</v>
      </c>
      <c r="BI114">
        <v>825</v>
      </c>
      <c r="BJ114">
        <v>843</v>
      </c>
      <c r="BK114">
        <v>862</v>
      </c>
      <c r="BL114">
        <v>883</v>
      </c>
      <c r="BM114">
        <v>907</v>
      </c>
      <c r="BN114">
        <v>932</v>
      </c>
      <c r="BO114">
        <v>959</v>
      </c>
      <c r="BP114">
        <v>988</v>
      </c>
      <c r="BQ114">
        <v>1019</v>
      </c>
      <c r="BR114">
        <v>1054</v>
      </c>
      <c r="BS114">
        <v>1090</v>
      </c>
      <c r="BT114">
        <v>1129</v>
      </c>
      <c r="BU114">
        <v>1173</v>
      </c>
      <c r="BV114">
        <v>1220</v>
      </c>
      <c r="BW114">
        <v>1272</v>
      </c>
      <c r="BX114">
        <v>1328</v>
      </c>
      <c r="BY114">
        <v>1388</v>
      </c>
      <c r="BZ114">
        <v>1455</v>
      </c>
      <c r="CA114">
        <v>1527</v>
      </c>
      <c r="CB114">
        <v>1610</v>
      </c>
      <c r="CC114">
        <v>1701</v>
      </c>
      <c r="CD114">
        <v>1801</v>
      </c>
      <c r="CE114">
        <v>1908</v>
      </c>
      <c r="CF114">
        <v>2028</v>
      </c>
      <c r="CG114">
        <v>2169</v>
      </c>
      <c r="CH114">
        <v>2324</v>
      </c>
      <c r="CI114">
        <v>2499</v>
      </c>
      <c r="CJ114">
        <v>2696</v>
      </c>
      <c r="CK114">
        <v>2920</v>
      </c>
      <c r="CL114">
        <v>3209</v>
      </c>
      <c r="CM114">
        <v>3547</v>
      </c>
      <c r="CN114">
        <v>3933</v>
      </c>
      <c r="CO114">
        <v>4392</v>
      </c>
      <c r="CP114">
        <v>4919</v>
      </c>
      <c r="CQ114">
        <v>5577</v>
      </c>
      <c r="CR114">
        <v>6376</v>
      </c>
      <c r="CS114">
        <v>7342</v>
      </c>
      <c r="CT114">
        <v>8535</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Z114" s="343" t="s">
        <v>633</v>
      </c>
      <c r="EA114" t="s">
        <v>1010</v>
      </c>
      <c r="EB114">
        <v>1</v>
      </c>
      <c r="EC114">
        <v>3</v>
      </c>
      <c r="ED114" s="184" t="str">
        <f t="shared" si="7"/>
        <v>SDJ200103</v>
      </c>
      <c r="EE114">
        <v>0</v>
      </c>
      <c r="EF114">
        <v>66</v>
      </c>
      <c r="EG114">
        <v>130</v>
      </c>
      <c r="EH114">
        <v>188</v>
      </c>
      <c r="EI114">
        <v>256</v>
      </c>
      <c r="EJ114">
        <v>312</v>
      </c>
      <c r="EK114">
        <v>414</v>
      </c>
      <c r="EL114">
        <v>473</v>
      </c>
      <c r="EM114">
        <v>529</v>
      </c>
      <c r="EN114">
        <v>650</v>
      </c>
      <c r="EO114">
        <v>711</v>
      </c>
      <c r="EP114">
        <v>765</v>
      </c>
      <c r="EQ114">
        <v>819</v>
      </c>
      <c r="ER114">
        <v>873</v>
      </c>
      <c r="ES114">
        <v>924</v>
      </c>
      <c r="ET114">
        <v>972</v>
      </c>
      <c r="EU114">
        <v>1022</v>
      </c>
      <c r="EV114">
        <v>1069</v>
      </c>
      <c r="EW114">
        <v>1115</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row>
    <row r="115" spans="13:245" hidden="1">
      <c r="M115" s="343" t="s">
        <v>633</v>
      </c>
      <c r="N115" t="s">
        <v>1010</v>
      </c>
      <c r="O115">
        <v>1</v>
      </c>
      <c r="P115">
        <v>4</v>
      </c>
      <c r="Q115" s="184" t="str">
        <f t="shared" si="6"/>
        <v>SDJ200104</v>
      </c>
      <c r="R115">
        <v>0</v>
      </c>
      <c r="S115">
        <v>18</v>
      </c>
      <c r="T115">
        <v>37</v>
      </c>
      <c r="U115">
        <v>56</v>
      </c>
      <c r="V115">
        <v>81</v>
      </c>
      <c r="W115">
        <v>102</v>
      </c>
      <c r="X115">
        <v>139</v>
      </c>
      <c r="Y115">
        <v>164</v>
      </c>
      <c r="Z115">
        <v>189</v>
      </c>
      <c r="AA115">
        <v>238</v>
      </c>
      <c r="AB115">
        <v>267</v>
      </c>
      <c r="AC115">
        <v>296</v>
      </c>
      <c r="AD115">
        <v>325</v>
      </c>
      <c r="AE115">
        <v>355</v>
      </c>
      <c r="AF115">
        <v>386</v>
      </c>
      <c r="AG115">
        <v>417</v>
      </c>
      <c r="AH115">
        <v>449</v>
      </c>
      <c r="AI115">
        <v>482</v>
      </c>
      <c r="AJ115">
        <v>515</v>
      </c>
      <c r="AK115">
        <v>549</v>
      </c>
      <c r="AL115">
        <v>559</v>
      </c>
      <c r="AM115">
        <v>568</v>
      </c>
      <c r="AN115">
        <v>578</v>
      </c>
      <c r="AO115">
        <v>588</v>
      </c>
      <c r="AP115">
        <v>599</v>
      </c>
      <c r="AQ115">
        <v>609</v>
      </c>
      <c r="AR115">
        <v>620</v>
      </c>
      <c r="AS115">
        <v>630</v>
      </c>
      <c r="AT115">
        <v>641</v>
      </c>
      <c r="AU115">
        <v>652</v>
      </c>
      <c r="AV115">
        <v>663</v>
      </c>
      <c r="AW115">
        <v>674</v>
      </c>
      <c r="AX115">
        <v>686</v>
      </c>
      <c r="AY115">
        <v>697</v>
      </c>
      <c r="AZ115">
        <v>709</v>
      </c>
      <c r="BA115">
        <v>721</v>
      </c>
      <c r="BB115">
        <v>734</v>
      </c>
      <c r="BC115">
        <v>748</v>
      </c>
      <c r="BD115">
        <v>762</v>
      </c>
      <c r="BE115">
        <v>776</v>
      </c>
      <c r="BF115">
        <v>791</v>
      </c>
      <c r="BG115">
        <v>807</v>
      </c>
      <c r="BH115">
        <v>825</v>
      </c>
      <c r="BI115">
        <v>843</v>
      </c>
      <c r="BJ115">
        <v>862</v>
      </c>
      <c r="BK115">
        <v>883</v>
      </c>
      <c r="BL115">
        <v>907</v>
      </c>
      <c r="BM115">
        <v>932</v>
      </c>
      <c r="BN115">
        <v>959</v>
      </c>
      <c r="BO115">
        <v>988</v>
      </c>
      <c r="BP115">
        <v>1019</v>
      </c>
      <c r="BQ115">
        <v>1054</v>
      </c>
      <c r="BR115">
        <v>1090</v>
      </c>
      <c r="BS115">
        <v>1129</v>
      </c>
      <c r="BT115">
        <v>1173</v>
      </c>
      <c r="BU115">
        <v>1220</v>
      </c>
      <c r="BV115">
        <v>1272</v>
      </c>
      <c r="BW115">
        <v>1328</v>
      </c>
      <c r="BX115">
        <v>1388</v>
      </c>
      <c r="BY115">
        <v>1455</v>
      </c>
      <c r="BZ115">
        <v>1527</v>
      </c>
      <c r="CA115">
        <v>1610</v>
      </c>
      <c r="CB115">
        <v>1701</v>
      </c>
      <c r="CC115">
        <v>1801</v>
      </c>
      <c r="CD115">
        <v>1908</v>
      </c>
      <c r="CE115">
        <v>2028</v>
      </c>
      <c r="CF115">
        <v>2169</v>
      </c>
      <c r="CG115">
        <v>2324</v>
      </c>
      <c r="CH115">
        <v>2499</v>
      </c>
      <c r="CI115">
        <v>2696</v>
      </c>
      <c r="CJ115">
        <v>2920</v>
      </c>
      <c r="CK115">
        <v>3209</v>
      </c>
      <c r="CL115">
        <v>3547</v>
      </c>
      <c r="CM115">
        <v>3933</v>
      </c>
      <c r="CN115">
        <v>4392</v>
      </c>
      <c r="CO115">
        <v>4919</v>
      </c>
      <c r="CP115">
        <v>5577</v>
      </c>
      <c r="CQ115">
        <v>6376</v>
      </c>
      <c r="CR115">
        <v>7342</v>
      </c>
      <c r="CS115">
        <v>8535</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Z115" s="343" t="s">
        <v>633</v>
      </c>
      <c r="EA115" t="s">
        <v>1010</v>
      </c>
      <c r="EB115">
        <v>1</v>
      </c>
      <c r="EC115">
        <v>4</v>
      </c>
      <c r="ED115" s="184" t="str">
        <f t="shared" si="7"/>
        <v>SDJ200104</v>
      </c>
      <c r="EE115">
        <v>0</v>
      </c>
      <c r="EF115">
        <v>65</v>
      </c>
      <c r="EG115">
        <v>127</v>
      </c>
      <c r="EH115">
        <v>184</v>
      </c>
      <c r="EI115">
        <v>257</v>
      </c>
      <c r="EJ115">
        <v>312</v>
      </c>
      <c r="EK115">
        <v>412</v>
      </c>
      <c r="EL115">
        <v>472</v>
      </c>
      <c r="EM115">
        <v>529</v>
      </c>
      <c r="EN115">
        <v>649</v>
      </c>
      <c r="EO115">
        <v>708</v>
      </c>
      <c r="EP115">
        <v>764</v>
      </c>
      <c r="EQ115">
        <v>817</v>
      </c>
      <c r="ER115">
        <v>870</v>
      </c>
      <c r="ES115">
        <v>923</v>
      </c>
      <c r="ET115">
        <v>972</v>
      </c>
      <c r="EU115">
        <v>1021</v>
      </c>
      <c r="EV115">
        <v>1068</v>
      </c>
      <c r="EW115">
        <v>1113</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0</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row>
    <row r="116" spans="13:245" hidden="1">
      <c r="M116" s="343" t="s">
        <v>633</v>
      </c>
      <c r="N116" t="s">
        <v>1010</v>
      </c>
      <c r="O116">
        <v>1</v>
      </c>
      <c r="P116">
        <v>5</v>
      </c>
      <c r="Q116" s="184" t="str">
        <f t="shared" si="6"/>
        <v>SDJ200105</v>
      </c>
      <c r="R116">
        <v>0</v>
      </c>
      <c r="S116">
        <v>19</v>
      </c>
      <c r="T116">
        <v>38</v>
      </c>
      <c r="U116">
        <v>57</v>
      </c>
      <c r="V116">
        <v>82</v>
      </c>
      <c r="W116">
        <v>104</v>
      </c>
      <c r="X116">
        <v>141</v>
      </c>
      <c r="Y116">
        <v>167</v>
      </c>
      <c r="Z116">
        <v>193</v>
      </c>
      <c r="AA116">
        <v>242</v>
      </c>
      <c r="AB116">
        <v>271</v>
      </c>
      <c r="AC116">
        <v>301</v>
      </c>
      <c r="AD116">
        <v>330</v>
      </c>
      <c r="AE116">
        <v>361</v>
      </c>
      <c r="AF116">
        <v>392</v>
      </c>
      <c r="AG116">
        <v>424</v>
      </c>
      <c r="AH116">
        <v>457</v>
      </c>
      <c r="AI116">
        <v>490</v>
      </c>
      <c r="AJ116">
        <v>524</v>
      </c>
      <c r="AK116">
        <v>559</v>
      </c>
      <c r="AL116">
        <v>568</v>
      </c>
      <c r="AM116">
        <v>578</v>
      </c>
      <c r="AN116">
        <v>588</v>
      </c>
      <c r="AO116">
        <v>599</v>
      </c>
      <c r="AP116">
        <v>609</v>
      </c>
      <c r="AQ116">
        <v>620</v>
      </c>
      <c r="AR116">
        <v>630</v>
      </c>
      <c r="AS116">
        <v>641</v>
      </c>
      <c r="AT116">
        <v>652</v>
      </c>
      <c r="AU116">
        <v>663</v>
      </c>
      <c r="AV116">
        <v>674</v>
      </c>
      <c r="AW116">
        <v>686</v>
      </c>
      <c r="AX116">
        <v>697</v>
      </c>
      <c r="AY116">
        <v>709</v>
      </c>
      <c r="AZ116">
        <v>721</v>
      </c>
      <c r="BA116">
        <v>734</v>
      </c>
      <c r="BB116">
        <v>748</v>
      </c>
      <c r="BC116">
        <v>762</v>
      </c>
      <c r="BD116">
        <v>776</v>
      </c>
      <c r="BE116">
        <v>791</v>
      </c>
      <c r="BF116">
        <v>807</v>
      </c>
      <c r="BG116">
        <v>825</v>
      </c>
      <c r="BH116">
        <v>843</v>
      </c>
      <c r="BI116">
        <v>862</v>
      </c>
      <c r="BJ116">
        <v>883</v>
      </c>
      <c r="BK116">
        <v>907</v>
      </c>
      <c r="BL116">
        <v>932</v>
      </c>
      <c r="BM116">
        <v>959</v>
      </c>
      <c r="BN116">
        <v>988</v>
      </c>
      <c r="BO116">
        <v>1019</v>
      </c>
      <c r="BP116">
        <v>1054</v>
      </c>
      <c r="BQ116">
        <v>1090</v>
      </c>
      <c r="BR116">
        <v>1129</v>
      </c>
      <c r="BS116">
        <v>1173</v>
      </c>
      <c r="BT116">
        <v>1220</v>
      </c>
      <c r="BU116">
        <v>1272</v>
      </c>
      <c r="BV116">
        <v>1328</v>
      </c>
      <c r="BW116">
        <v>1388</v>
      </c>
      <c r="BX116">
        <v>1455</v>
      </c>
      <c r="BY116">
        <v>1527</v>
      </c>
      <c r="BZ116">
        <v>1610</v>
      </c>
      <c r="CA116">
        <v>1701</v>
      </c>
      <c r="CB116">
        <v>1801</v>
      </c>
      <c r="CC116">
        <v>1908</v>
      </c>
      <c r="CD116">
        <v>2028</v>
      </c>
      <c r="CE116">
        <v>2169</v>
      </c>
      <c r="CF116">
        <v>2324</v>
      </c>
      <c r="CG116">
        <v>2499</v>
      </c>
      <c r="CH116">
        <v>2696</v>
      </c>
      <c r="CI116">
        <v>2920</v>
      </c>
      <c r="CJ116">
        <v>3209</v>
      </c>
      <c r="CK116">
        <v>3547</v>
      </c>
      <c r="CL116">
        <v>3933</v>
      </c>
      <c r="CM116">
        <v>4392</v>
      </c>
      <c r="CN116">
        <v>4919</v>
      </c>
      <c r="CO116">
        <v>5577</v>
      </c>
      <c r="CP116">
        <v>6376</v>
      </c>
      <c r="CQ116">
        <v>7342</v>
      </c>
      <c r="CR116">
        <v>8535</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Z116" s="343" t="s">
        <v>633</v>
      </c>
      <c r="EA116" t="s">
        <v>1010</v>
      </c>
      <c r="EB116">
        <v>1</v>
      </c>
      <c r="EC116">
        <v>5</v>
      </c>
      <c r="ED116" s="184" t="str">
        <f t="shared" si="7"/>
        <v>SDJ200105</v>
      </c>
      <c r="EE116">
        <v>0</v>
      </c>
      <c r="EF116">
        <v>67</v>
      </c>
      <c r="EG116">
        <v>128</v>
      </c>
      <c r="EH116">
        <v>184</v>
      </c>
      <c r="EI116">
        <v>255</v>
      </c>
      <c r="EJ116">
        <v>312</v>
      </c>
      <c r="EK116">
        <v>409</v>
      </c>
      <c r="EL116">
        <v>472</v>
      </c>
      <c r="EM116">
        <v>530</v>
      </c>
      <c r="EN116">
        <v>647</v>
      </c>
      <c r="EO116">
        <v>705</v>
      </c>
      <c r="EP116">
        <v>763</v>
      </c>
      <c r="EQ116">
        <v>815</v>
      </c>
      <c r="ER116">
        <v>870</v>
      </c>
      <c r="ES116">
        <v>921</v>
      </c>
      <c r="ET116">
        <v>972</v>
      </c>
      <c r="EU116">
        <v>1021</v>
      </c>
      <c r="EV116">
        <v>1068</v>
      </c>
      <c r="EW116">
        <v>1113</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row>
    <row r="117" spans="13:245" hidden="1">
      <c r="M117" s="343" t="s">
        <v>633</v>
      </c>
      <c r="N117" t="s">
        <v>1010</v>
      </c>
      <c r="O117">
        <v>1</v>
      </c>
      <c r="P117">
        <v>6</v>
      </c>
      <c r="Q117" s="184" t="str">
        <f t="shared" si="6"/>
        <v>SDJ200106</v>
      </c>
      <c r="R117">
        <v>0</v>
      </c>
      <c r="S117">
        <v>19</v>
      </c>
      <c r="T117">
        <v>38</v>
      </c>
      <c r="U117">
        <v>59</v>
      </c>
      <c r="V117">
        <v>84</v>
      </c>
      <c r="W117">
        <v>106</v>
      </c>
      <c r="X117">
        <v>144</v>
      </c>
      <c r="Y117">
        <v>170</v>
      </c>
      <c r="Z117">
        <v>195</v>
      </c>
      <c r="AA117">
        <v>246</v>
      </c>
      <c r="AB117">
        <v>275</v>
      </c>
      <c r="AC117">
        <v>305</v>
      </c>
      <c r="AD117">
        <v>335</v>
      </c>
      <c r="AE117">
        <v>367</v>
      </c>
      <c r="AF117">
        <v>399</v>
      </c>
      <c r="AG117">
        <v>431</v>
      </c>
      <c r="AH117">
        <v>464</v>
      </c>
      <c r="AI117">
        <v>498</v>
      </c>
      <c r="AJ117">
        <v>533</v>
      </c>
      <c r="AK117">
        <v>568</v>
      </c>
      <c r="AL117">
        <v>578</v>
      </c>
      <c r="AM117">
        <v>588</v>
      </c>
      <c r="AN117">
        <v>599</v>
      </c>
      <c r="AO117">
        <v>609</v>
      </c>
      <c r="AP117">
        <v>620</v>
      </c>
      <c r="AQ117">
        <v>630</v>
      </c>
      <c r="AR117">
        <v>641</v>
      </c>
      <c r="AS117">
        <v>652</v>
      </c>
      <c r="AT117">
        <v>663</v>
      </c>
      <c r="AU117">
        <v>674</v>
      </c>
      <c r="AV117">
        <v>686</v>
      </c>
      <c r="AW117">
        <v>697</v>
      </c>
      <c r="AX117">
        <v>709</v>
      </c>
      <c r="AY117">
        <v>721</v>
      </c>
      <c r="AZ117">
        <v>734</v>
      </c>
      <c r="BA117">
        <v>748</v>
      </c>
      <c r="BB117">
        <v>762</v>
      </c>
      <c r="BC117">
        <v>776</v>
      </c>
      <c r="BD117">
        <v>791</v>
      </c>
      <c r="BE117">
        <v>807</v>
      </c>
      <c r="BF117">
        <v>825</v>
      </c>
      <c r="BG117">
        <v>843</v>
      </c>
      <c r="BH117">
        <v>862</v>
      </c>
      <c r="BI117">
        <v>883</v>
      </c>
      <c r="BJ117">
        <v>907</v>
      </c>
      <c r="BK117">
        <v>932</v>
      </c>
      <c r="BL117">
        <v>959</v>
      </c>
      <c r="BM117">
        <v>988</v>
      </c>
      <c r="BN117">
        <v>1019</v>
      </c>
      <c r="BO117">
        <v>1054</v>
      </c>
      <c r="BP117">
        <v>1090</v>
      </c>
      <c r="BQ117">
        <v>1129</v>
      </c>
      <c r="BR117">
        <v>1173</v>
      </c>
      <c r="BS117">
        <v>1220</v>
      </c>
      <c r="BT117">
        <v>1272</v>
      </c>
      <c r="BU117">
        <v>1328</v>
      </c>
      <c r="BV117">
        <v>1388</v>
      </c>
      <c r="BW117">
        <v>1455</v>
      </c>
      <c r="BX117">
        <v>1527</v>
      </c>
      <c r="BY117">
        <v>1610</v>
      </c>
      <c r="BZ117">
        <v>1701</v>
      </c>
      <c r="CA117">
        <v>1801</v>
      </c>
      <c r="CB117">
        <v>1908</v>
      </c>
      <c r="CC117">
        <v>2028</v>
      </c>
      <c r="CD117">
        <v>2169</v>
      </c>
      <c r="CE117">
        <v>2324</v>
      </c>
      <c r="CF117">
        <v>2499</v>
      </c>
      <c r="CG117">
        <v>2696</v>
      </c>
      <c r="CH117">
        <v>2920</v>
      </c>
      <c r="CI117">
        <v>3209</v>
      </c>
      <c r="CJ117">
        <v>3547</v>
      </c>
      <c r="CK117">
        <v>3933</v>
      </c>
      <c r="CL117">
        <v>4392</v>
      </c>
      <c r="CM117">
        <v>4919</v>
      </c>
      <c r="CN117">
        <v>5577</v>
      </c>
      <c r="CO117">
        <v>6376</v>
      </c>
      <c r="CP117">
        <v>7342</v>
      </c>
      <c r="CQ117">
        <v>8535</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Z117" s="343" t="s">
        <v>633</v>
      </c>
      <c r="EA117" t="s">
        <v>1010</v>
      </c>
      <c r="EB117">
        <v>1</v>
      </c>
      <c r="EC117">
        <v>6</v>
      </c>
      <c r="ED117" s="184" t="str">
        <f t="shared" si="7"/>
        <v>SDJ200106</v>
      </c>
      <c r="EE117">
        <v>0</v>
      </c>
      <c r="EF117">
        <v>66</v>
      </c>
      <c r="EG117">
        <v>126</v>
      </c>
      <c r="EH117">
        <v>187</v>
      </c>
      <c r="EI117">
        <v>256</v>
      </c>
      <c r="EJ117">
        <v>312</v>
      </c>
      <c r="EK117">
        <v>410</v>
      </c>
      <c r="EL117">
        <v>471</v>
      </c>
      <c r="EM117">
        <v>525</v>
      </c>
      <c r="EN117">
        <v>645</v>
      </c>
      <c r="EO117">
        <v>703</v>
      </c>
      <c r="EP117">
        <v>759</v>
      </c>
      <c r="EQ117">
        <v>814</v>
      </c>
      <c r="ER117">
        <v>870</v>
      </c>
      <c r="ES117">
        <v>922</v>
      </c>
      <c r="ET117">
        <v>971</v>
      </c>
      <c r="EU117">
        <v>1020</v>
      </c>
      <c r="EV117">
        <v>1067</v>
      </c>
      <c r="EW117">
        <v>1113</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row>
    <row r="118" spans="13:245" hidden="1">
      <c r="M118" s="343" t="s">
        <v>633</v>
      </c>
      <c r="N118" t="s">
        <v>1010</v>
      </c>
      <c r="O118">
        <v>1</v>
      </c>
      <c r="P118">
        <v>7</v>
      </c>
      <c r="Q118" s="184" t="str">
        <f t="shared" si="6"/>
        <v>SDJ200107</v>
      </c>
      <c r="R118">
        <v>0</v>
      </c>
      <c r="S118">
        <v>20</v>
      </c>
      <c r="T118">
        <v>39</v>
      </c>
      <c r="U118">
        <v>59</v>
      </c>
      <c r="V118">
        <v>86</v>
      </c>
      <c r="W118">
        <v>108</v>
      </c>
      <c r="X118">
        <v>147</v>
      </c>
      <c r="Y118">
        <v>173</v>
      </c>
      <c r="Z118">
        <v>199</v>
      </c>
      <c r="AA118">
        <v>250</v>
      </c>
      <c r="AB118">
        <v>279</v>
      </c>
      <c r="AC118">
        <v>310</v>
      </c>
      <c r="AD118">
        <v>341</v>
      </c>
      <c r="AE118">
        <v>373</v>
      </c>
      <c r="AF118">
        <v>405</v>
      </c>
      <c r="AG118">
        <v>438</v>
      </c>
      <c r="AH118">
        <v>472</v>
      </c>
      <c r="AI118">
        <v>507</v>
      </c>
      <c r="AJ118">
        <v>542</v>
      </c>
      <c r="AK118">
        <v>578</v>
      </c>
      <c r="AL118">
        <v>588</v>
      </c>
      <c r="AM118">
        <v>599</v>
      </c>
      <c r="AN118">
        <v>609</v>
      </c>
      <c r="AO118">
        <v>620</v>
      </c>
      <c r="AP118">
        <v>630</v>
      </c>
      <c r="AQ118">
        <v>641</v>
      </c>
      <c r="AR118">
        <v>652</v>
      </c>
      <c r="AS118">
        <v>663</v>
      </c>
      <c r="AT118">
        <v>674</v>
      </c>
      <c r="AU118">
        <v>686</v>
      </c>
      <c r="AV118">
        <v>697</v>
      </c>
      <c r="AW118">
        <v>709</v>
      </c>
      <c r="AX118">
        <v>721</v>
      </c>
      <c r="AY118">
        <v>734</v>
      </c>
      <c r="AZ118">
        <v>748</v>
      </c>
      <c r="BA118">
        <v>762</v>
      </c>
      <c r="BB118">
        <v>776</v>
      </c>
      <c r="BC118">
        <v>791</v>
      </c>
      <c r="BD118">
        <v>807</v>
      </c>
      <c r="BE118">
        <v>825</v>
      </c>
      <c r="BF118">
        <v>843</v>
      </c>
      <c r="BG118">
        <v>862</v>
      </c>
      <c r="BH118">
        <v>883</v>
      </c>
      <c r="BI118">
        <v>907</v>
      </c>
      <c r="BJ118">
        <v>932</v>
      </c>
      <c r="BK118">
        <v>959</v>
      </c>
      <c r="BL118">
        <v>988</v>
      </c>
      <c r="BM118">
        <v>1019</v>
      </c>
      <c r="BN118">
        <v>1054</v>
      </c>
      <c r="BO118">
        <v>1090</v>
      </c>
      <c r="BP118">
        <v>1129</v>
      </c>
      <c r="BQ118">
        <v>1173</v>
      </c>
      <c r="BR118">
        <v>1220</v>
      </c>
      <c r="BS118">
        <v>1272</v>
      </c>
      <c r="BT118">
        <v>1328</v>
      </c>
      <c r="BU118">
        <v>1388</v>
      </c>
      <c r="BV118">
        <v>1455</v>
      </c>
      <c r="BW118">
        <v>1527</v>
      </c>
      <c r="BX118">
        <v>1610</v>
      </c>
      <c r="BY118">
        <v>1701</v>
      </c>
      <c r="BZ118">
        <v>1801</v>
      </c>
      <c r="CA118">
        <v>1908</v>
      </c>
      <c r="CB118">
        <v>2028</v>
      </c>
      <c r="CC118">
        <v>2169</v>
      </c>
      <c r="CD118">
        <v>2324</v>
      </c>
      <c r="CE118">
        <v>2499</v>
      </c>
      <c r="CF118">
        <v>2696</v>
      </c>
      <c r="CG118">
        <v>2920</v>
      </c>
      <c r="CH118">
        <v>3209</v>
      </c>
      <c r="CI118">
        <v>3547</v>
      </c>
      <c r="CJ118">
        <v>3933</v>
      </c>
      <c r="CK118">
        <v>4392</v>
      </c>
      <c r="CL118">
        <v>4919</v>
      </c>
      <c r="CM118">
        <v>5577</v>
      </c>
      <c r="CN118">
        <v>6376</v>
      </c>
      <c r="CO118">
        <v>7342</v>
      </c>
      <c r="CP118">
        <v>8535</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Z118" s="343" t="s">
        <v>633</v>
      </c>
      <c r="EA118" t="s">
        <v>1010</v>
      </c>
      <c r="EB118">
        <v>1</v>
      </c>
      <c r="EC118">
        <v>7</v>
      </c>
      <c r="ED118" s="184" t="str">
        <f t="shared" si="7"/>
        <v>SDJ200107</v>
      </c>
      <c r="EE118">
        <v>0</v>
      </c>
      <c r="EF118">
        <v>68</v>
      </c>
      <c r="EG118">
        <v>127</v>
      </c>
      <c r="EH118">
        <v>183</v>
      </c>
      <c r="EI118">
        <v>257</v>
      </c>
      <c r="EJ118">
        <v>311</v>
      </c>
      <c r="EK118">
        <v>410</v>
      </c>
      <c r="EL118">
        <v>470</v>
      </c>
      <c r="EM118">
        <v>526</v>
      </c>
      <c r="EN118">
        <v>644</v>
      </c>
      <c r="EO118">
        <v>700</v>
      </c>
      <c r="EP118">
        <v>759</v>
      </c>
      <c r="EQ118">
        <v>814</v>
      </c>
      <c r="ER118">
        <v>869</v>
      </c>
      <c r="ES118">
        <v>920</v>
      </c>
      <c r="ET118">
        <v>970</v>
      </c>
      <c r="EU118">
        <v>1019</v>
      </c>
      <c r="EV118">
        <v>1067</v>
      </c>
      <c r="EW118">
        <v>1112</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row>
    <row r="119" spans="13:245" hidden="1">
      <c r="M119" s="343" t="s">
        <v>633</v>
      </c>
      <c r="N119" t="s">
        <v>1010</v>
      </c>
      <c r="O119">
        <v>1</v>
      </c>
      <c r="P119">
        <v>8</v>
      </c>
      <c r="Q119" s="184" t="str">
        <f t="shared" si="6"/>
        <v>SDJ200108</v>
      </c>
      <c r="R119">
        <v>0</v>
      </c>
      <c r="S119">
        <v>20</v>
      </c>
      <c r="T119">
        <v>40</v>
      </c>
      <c r="U119">
        <v>61</v>
      </c>
      <c r="V119">
        <v>87</v>
      </c>
      <c r="W119">
        <v>110</v>
      </c>
      <c r="X119">
        <v>149</v>
      </c>
      <c r="Y119">
        <v>176</v>
      </c>
      <c r="Z119">
        <v>202</v>
      </c>
      <c r="AA119">
        <v>253</v>
      </c>
      <c r="AB119">
        <v>283</v>
      </c>
      <c r="AC119">
        <v>314</v>
      </c>
      <c r="AD119">
        <v>346</v>
      </c>
      <c r="AE119">
        <v>379</v>
      </c>
      <c r="AF119">
        <v>412</v>
      </c>
      <c r="AG119">
        <v>445</v>
      </c>
      <c r="AH119">
        <v>480</v>
      </c>
      <c r="AI119">
        <v>515</v>
      </c>
      <c r="AJ119">
        <v>551</v>
      </c>
      <c r="AK119">
        <v>588</v>
      </c>
      <c r="AL119">
        <v>599</v>
      </c>
      <c r="AM119">
        <v>609</v>
      </c>
      <c r="AN119">
        <v>620</v>
      </c>
      <c r="AO119">
        <v>630</v>
      </c>
      <c r="AP119">
        <v>641</v>
      </c>
      <c r="AQ119">
        <v>652</v>
      </c>
      <c r="AR119">
        <v>663</v>
      </c>
      <c r="AS119">
        <v>674</v>
      </c>
      <c r="AT119">
        <v>686</v>
      </c>
      <c r="AU119">
        <v>697</v>
      </c>
      <c r="AV119">
        <v>709</v>
      </c>
      <c r="AW119">
        <v>721</v>
      </c>
      <c r="AX119">
        <v>734</v>
      </c>
      <c r="AY119">
        <v>748</v>
      </c>
      <c r="AZ119">
        <v>762</v>
      </c>
      <c r="BA119">
        <v>776</v>
      </c>
      <c r="BB119">
        <v>791</v>
      </c>
      <c r="BC119">
        <v>807</v>
      </c>
      <c r="BD119">
        <v>825</v>
      </c>
      <c r="BE119">
        <v>843</v>
      </c>
      <c r="BF119">
        <v>862</v>
      </c>
      <c r="BG119">
        <v>883</v>
      </c>
      <c r="BH119">
        <v>907</v>
      </c>
      <c r="BI119">
        <v>932</v>
      </c>
      <c r="BJ119">
        <v>959</v>
      </c>
      <c r="BK119">
        <v>988</v>
      </c>
      <c r="BL119">
        <v>1019</v>
      </c>
      <c r="BM119">
        <v>1054</v>
      </c>
      <c r="BN119">
        <v>1090</v>
      </c>
      <c r="BO119">
        <v>1129</v>
      </c>
      <c r="BP119">
        <v>1173</v>
      </c>
      <c r="BQ119">
        <v>1220</v>
      </c>
      <c r="BR119">
        <v>1272</v>
      </c>
      <c r="BS119">
        <v>1328</v>
      </c>
      <c r="BT119">
        <v>1388</v>
      </c>
      <c r="BU119">
        <v>1455</v>
      </c>
      <c r="BV119">
        <v>1527</v>
      </c>
      <c r="BW119">
        <v>1610</v>
      </c>
      <c r="BX119">
        <v>1701</v>
      </c>
      <c r="BY119">
        <v>1801</v>
      </c>
      <c r="BZ119">
        <v>1908</v>
      </c>
      <c r="CA119">
        <v>2028</v>
      </c>
      <c r="CB119">
        <v>2169</v>
      </c>
      <c r="CC119">
        <v>2324</v>
      </c>
      <c r="CD119">
        <v>2499</v>
      </c>
      <c r="CE119">
        <v>2696</v>
      </c>
      <c r="CF119">
        <v>2920</v>
      </c>
      <c r="CG119">
        <v>3209</v>
      </c>
      <c r="CH119">
        <v>3547</v>
      </c>
      <c r="CI119">
        <v>3933</v>
      </c>
      <c r="CJ119">
        <v>4392</v>
      </c>
      <c r="CK119">
        <v>4919</v>
      </c>
      <c r="CL119">
        <v>5577</v>
      </c>
      <c r="CM119">
        <v>6376</v>
      </c>
      <c r="CN119">
        <v>7342</v>
      </c>
      <c r="CO119">
        <v>8535</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Z119" s="343" t="s">
        <v>633</v>
      </c>
      <c r="EA119" t="s">
        <v>1010</v>
      </c>
      <c r="EB119">
        <v>1</v>
      </c>
      <c r="EC119">
        <v>8</v>
      </c>
      <c r="ED119" s="184" t="str">
        <f t="shared" si="7"/>
        <v>SDJ200108</v>
      </c>
      <c r="EE119">
        <v>0</v>
      </c>
      <c r="EF119">
        <v>67</v>
      </c>
      <c r="EG119">
        <v>127</v>
      </c>
      <c r="EH119">
        <v>185</v>
      </c>
      <c r="EI119">
        <v>255</v>
      </c>
      <c r="EJ119">
        <v>311</v>
      </c>
      <c r="EK119">
        <v>408</v>
      </c>
      <c r="EL119">
        <v>469</v>
      </c>
      <c r="EM119">
        <v>524</v>
      </c>
      <c r="EN119">
        <v>640</v>
      </c>
      <c r="EO119">
        <v>698</v>
      </c>
      <c r="EP119">
        <v>756</v>
      </c>
      <c r="EQ119">
        <v>813</v>
      </c>
      <c r="ER119">
        <v>868</v>
      </c>
      <c r="ES119">
        <v>920</v>
      </c>
      <c r="ET119">
        <v>969</v>
      </c>
      <c r="EU119">
        <v>1018</v>
      </c>
      <c r="EV119">
        <v>1065</v>
      </c>
      <c r="EW119">
        <v>1110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0</v>
      </c>
      <c r="IH119">
        <v>0</v>
      </c>
      <c r="II119">
        <v>0</v>
      </c>
      <c r="IJ119">
        <v>0</v>
      </c>
      <c r="IK119">
        <v>0</v>
      </c>
    </row>
    <row r="120" spans="13:245" hidden="1">
      <c r="M120" s="343" t="s">
        <v>633</v>
      </c>
      <c r="N120" t="s">
        <v>1010</v>
      </c>
      <c r="O120">
        <v>1</v>
      </c>
      <c r="P120">
        <v>9</v>
      </c>
      <c r="Q120" s="184" t="str">
        <f t="shared" si="6"/>
        <v>SDJ200109</v>
      </c>
      <c r="R120">
        <v>0</v>
      </c>
      <c r="S120">
        <v>20</v>
      </c>
      <c r="T120">
        <v>41</v>
      </c>
      <c r="U120">
        <v>62</v>
      </c>
      <c r="V120">
        <v>89</v>
      </c>
      <c r="W120">
        <v>111</v>
      </c>
      <c r="X120">
        <v>151</v>
      </c>
      <c r="Y120">
        <v>177</v>
      </c>
      <c r="Z120">
        <v>204</v>
      </c>
      <c r="AA120">
        <v>257</v>
      </c>
      <c r="AB120">
        <v>288</v>
      </c>
      <c r="AC120">
        <v>319</v>
      </c>
      <c r="AD120">
        <v>352</v>
      </c>
      <c r="AE120">
        <v>385</v>
      </c>
      <c r="AF120">
        <v>418</v>
      </c>
      <c r="AG120">
        <v>453</v>
      </c>
      <c r="AH120">
        <v>488</v>
      </c>
      <c r="AI120">
        <v>524</v>
      </c>
      <c r="AJ120">
        <v>561</v>
      </c>
      <c r="AK120">
        <v>599</v>
      </c>
      <c r="AL120">
        <v>609</v>
      </c>
      <c r="AM120">
        <v>620</v>
      </c>
      <c r="AN120">
        <v>630</v>
      </c>
      <c r="AO120">
        <v>641</v>
      </c>
      <c r="AP120">
        <v>652</v>
      </c>
      <c r="AQ120">
        <v>663</v>
      </c>
      <c r="AR120">
        <v>674</v>
      </c>
      <c r="AS120">
        <v>686</v>
      </c>
      <c r="AT120">
        <v>697</v>
      </c>
      <c r="AU120">
        <v>709</v>
      </c>
      <c r="AV120">
        <v>721</v>
      </c>
      <c r="AW120">
        <v>734</v>
      </c>
      <c r="AX120">
        <v>748</v>
      </c>
      <c r="AY120">
        <v>762</v>
      </c>
      <c r="AZ120">
        <v>776</v>
      </c>
      <c r="BA120">
        <v>791</v>
      </c>
      <c r="BB120">
        <v>807</v>
      </c>
      <c r="BC120">
        <v>825</v>
      </c>
      <c r="BD120">
        <v>843</v>
      </c>
      <c r="BE120">
        <v>862</v>
      </c>
      <c r="BF120">
        <v>883</v>
      </c>
      <c r="BG120">
        <v>907</v>
      </c>
      <c r="BH120">
        <v>932</v>
      </c>
      <c r="BI120">
        <v>959</v>
      </c>
      <c r="BJ120">
        <v>988</v>
      </c>
      <c r="BK120">
        <v>1019</v>
      </c>
      <c r="BL120">
        <v>1054</v>
      </c>
      <c r="BM120">
        <v>1090</v>
      </c>
      <c r="BN120">
        <v>1129</v>
      </c>
      <c r="BO120">
        <v>1173</v>
      </c>
      <c r="BP120">
        <v>1220</v>
      </c>
      <c r="BQ120">
        <v>1272</v>
      </c>
      <c r="BR120">
        <v>1328</v>
      </c>
      <c r="BS120">
        <v>1388</v>
      </c>
      <c r="BT120">
        <v>1455</v>
      </c>
      <c r="BU120">
        <v>1527</v>
      </c>
      <c r="BV120">
        <v>1610</v>
      </c>
      <c r="BW120">
        <v>1701</v>
      </c>
      <c r="BX120">
        <v>1801</v>
      </c>
      <c r="BY120">
        <v>1908</v>
      </c>
      <c r="BZ120">
        <v>2028</v>
      </c>
      <c r="CA120">
        <v>2169</v>
      </c>
      <c r="CB120">
        <v>2324</v>
      </c>
      <c r="CC120">
        <v>2499</v>
      </c>
      <c r="CD120">
        <v>2696</v>
      </c>
      <c r="CE120">
        <v>2920</v>
      </c>
      <c r="CF120">
        <v>3209</v>
      </c>
      <c r="CG120">
        <v>3547</v>
      </c>
      <c r="CH120">
        <v>3933</v>
      </c>
      <c r="CI120">
        <v>4392</v>
      </c>
      <c r="CJ120">
        <v>4919</v>
      </c>
      <c r="CK120">
        <v>5577</v>
      </c>
      <c r="CL120">
        <v>6376</v>
      </c>
      <c r="CM120">
        <v>7342</v>
      </c>
      <c r="CN120">
        <v>8535</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Z120" s="343" t="s">
        <v>633</v>
      </c>
      <c r="EA120" t="s">
        <v>1010</v>
      </c>
      <c r="EB120">
        <v>1</v>
      </c>
      <c r="EC120">
        <v>9</v>
      </c>
      <c r="ED120" s="184" t="str">
        <f t="shared" si="7"/>
        <v>SDJ200109</v>
      </c>
      <c r="EE120">
        <v>0</v>
      </c>
      <c r="EF120">
        <v>65</v>
      </c>
      <c r="EG120">
        <v>128</v>
      </c>
      <c r="EH120">
        <v>185</v>
      </c>
      <c r="EI120">
        <v>256</v>
      </c>
      <c r="EJ120">
        <v>308</v>
      </c>
      <c r="EK120">
        <v>405</v>
      </c>
      <c r="EL120">
        <v>463</v>
      </c>
      <c r="EM120">
        <v>520</v>
      </c>
      <c r="EN120">
        <v>639</v>
      </c>
      <c r="EO120">
        <v>699</v>
      </c>
      <c r="EP120">
        <v>755</v>
      </c>
      <c r="EQ120">
        <v>813</v>
      </c>
      <c r="ER120">
        <v>867</v>
      </c>
      <c r="ES120">
        <v>917</v>
      </c>
      <c r="ET120">
        <v>969</v>
      </c>
      <c r="EU120">
        <v>1018</v>
      </c>
      <c r="EV120">
        <v>1065</v>
      </c>
      <c r="EW120">
        <v>1110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row>
    <row r="121" spans="13:245" hidden="1">
      <c r="M121" s="343" t="s">
        <v>633</v>
      </c>
      <c r="N121" t="s">
        <v>1010</v>
      </c>
      <c r="O121">
        <v>1</v>
      </c>
      <c r="P121">
        <v>10</v>
      </c>
      <c r="Q121" s="184" t="str">
        <f t="shared" si="6"/>
        <v>SDJ200110</v>
      </c>
      <c r="R121">
        <v>0</v>
      </c>
      <c r="S121">
        <v>20</v>
      </c>
      <c r="T121">
        <v>41</v>
      </c>
      <c r="U121">
        <v>63</v>
      </c>
      <c r="V121">
        <v>90</v>
      </c>
      <c r="W121">
        <v>113</v>
      </c>
      <c r="X121">
        <v>153</v>
      </c>
      <c r="Y121">
        <v>179</v>
      </c>
      <c r="Z121">
        <v>207</v>
      </c>
      <c r="AA121">
        <v>260</v>
      </c>
      <c r="AB121">
        <v>292</v>
      </c>
      <c r="AC121">
        <v>324</v>
      </c>
      <c r="AD121">
        <v>357</v>
      </c>
      <c r="AE121">
        <v>391</v>
      </c>
      <c r="AF121">
        <v>425</v>
      </c>
      <c r="AG121">
        <v>460</v>
      </c>
      <c r="AH121">
        <v>496</v>
      </c>
      <c r="AI121">
        <v>533</v>
      </c>
      <c r="AJ121">
        <v>571</v>
      </c>
      <c r="AK121">
        <v>609</v>
      </c>
      <c r="AL121">
        <v>620</v>
      </c>
      <c r="AM121">
        <v>630</v>
      </c>
      <c r="AN121">
        <v>641</v>
      </c>
      <c r="AO121">
        <v>652</v>
      </c>
      <c r="AP121">
        <v>663</v>
      </c>
      <c r="AQ121">
        <v>674</v>
      </c>
      <c r="AR121">
        <v>686</v>
      </c>
      <c r="AS121">
        <v>697</v>
      </c>
      <c r="AT121">
        <v>709</v>
      </c>
      <c r="AU121">
        <v>721</v>
      </c>
      <c r="AV121">
        <v>734</v>
      </c>
      <c r="AW121">
        <v>748</v>
      </c>
      <c r="AX121">
        <v>762</v>
      </c>
      <c r="AY121">
        <v>776</v>
      </c>
      <c r="AZ121">
        <v>791</v>
      </c>
      <c r="BA121">
        <v>807</v>
      </c>
      <c r="BB121">
        <v>825</v>
      </c>
      <c r="BC121">
        <v>843</v>
      </c>
      <c r="BD121">
        <v>862</v>
      </c>
      <c r="BE121">
        <v>883</v>
      </c>
      <c r="BF121">
        <v>907</v>
      </c>
      <c r="BG121">
        <v>932</v>
      </c>
      <c r="BH121">
        <v>959</v>
      </c>
      <c r="BI121">
        <v>988</v>
      </c>
      <c r="BJ121">
        <v>1019</v>
      </c>
      <c r="BK121">
        <v>1054</v>
      </c>
      <c r="BL121">
        <v>1090</v>
      </c>
      <c r="BM121">
        <v>1129</v>
      </c>
      <c r="BN121">
        <v>1173</v>
      </c>
      <c r="BO121">
        <v>1220</v>
      </c>
      <c r="BP121">
        <v>1272</v>
      </c>
      <c r="BQ121">
        <v>1328</v>
      </c>
      <c r="BR121">
        <v>1388</v>
      </c>
      <c r="BS121">
        <v>1455</v>
      </c>
      <c r="BT121">
        <v>1527</v>
      </c>
      <c r="BU121">
        <v>1610</v>
      </c>
      <c r="BV121">
        <v>1701</v>
      </c>
      <c r="BW121">
        <v>1801</v>
      </c>
      <c r="BX121">
        <v>1908</v>
      </c>
      <c r="BY121">
        <v>2028</v>
      </c>
      <c r="BZ121">
        <v>2169</v>
      </c>
      <c r="CA121">
        <v>2324</v>
      </c>
      <c r="CB121">
        <v>2499</v>
      </c>
      <c r="CC121">
        <v>2696</v>
      </c>
      <c r="CD121">
        <v>2920</v>
      </c>
      <c r="CE121">
        <v>3209</v>
      </c>
      <c r="CF121">
        <v>3547</v>
      </c>
      <c r="CG121">
        <v>3933</v>
      </c>
      <c r="CH121">
        <v>4392</v>
      </c>
      <c r="CI121">
        <v>4919</v>
      </c>
      <c r="CJ121">
        <v>5577</v>
      </c>
      <c r="CK121">
        <v>6376</v>
      </c>
      <c r="CL121">
        <v>7342</v>
      </c>
      <c r="CM121">
        <v>8535</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Z121" s="343" t="s">
        <v>633</v>
      </c>
      <c r="EA121" t="s">
        <v>1010</v>
      </c>
      <c r="EB121">
        <v>1</v>
      </c>
      <c r="EC121">
        <v>10</v>
      </c>
      <c r="ED121" s="184" t="str">
        <f t="shared" si="7"/>
        <v>SDJ200110</v>
      </c>
      <c r="EE121">
        <v>0</v>
      </c>
      <c r="EF121">
        <v>64</v>
      </c>
      <c r="EG121">
        <v>125</v>
      </c>
      <c r="EH121">
        <v>184</v>
      </c>
      <c r="EI121">
        <v>254</v>
      </c>
      <c r="EJ121">
        <v>307</v>
      </c>
      <c r="EK121">
        <v>403</v>
      </c>
      <c r="EL121">
        <v>460</v>
      </c>
      <c r="EM121">
        <v>519</v>
      </c>
      <c r="EN121">
        <v>636</v>
      </c>
      <c r="EO121">
        <v>697</v>
      </c>
      <c r="EP121">
        <v>754</v>
      </c>
      <c r="EQ121">
        <v>810</v>
      </c>
      <c r="ER121">
        <v>865</v>
      </c>
      <c r="ES121">
        <v>917</v>
      </c>
      <c r="ET121">
        <v>967</v>
      </c>
      <c r="EU121">
        <v>1016</v>
      </c>
      <c r="EV121">
        <v>1064</v>
      </c>
      <c r="EW121">
        <v>1110</v>
      </c>
      <c r="EX121">
        <v>0</v>
      </c>
      <c r="EY121">
        <v>0</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0</v>
      </c>
      <c r="IJ121">
        <v>0</v>
      </c>
      <c r="IK121">
        <v>0</v>
      </c>
    </row>
    <row r="122" spans="13:245" hidden="1">
      <c r="M122" s="343" t="s">
        <v>633</v>
      </c>
      <c r="N122" t="s">
        <v>1010</v>
      </c>
      <c r="O122">
        <v>1</v>
      </c>
      <c r="P122">
        <v>11</v>
      </c>
      <c r="Q122" s="184" t="str">
        <f t="shared" si="6"/>
        <v>SDJ200111</v>
      </c>
      <c r="R122">
        <v>0</v>
      </c>
      <c r="S122">
        <v>21</v>
      </c>
      <c r="T122">
        <v>42</v>
      </c>
      <c r="U122">
        <v>64</v>
      </c>
      <c r="V122">
        <v>90</v>
      </c>
      <c r="W122">
        <v>114</v>
      </c>
      <c r="X122">
        <v>155</v>
      </c>
      <c r="Y122">
        <v>182</v>
      </c>
      <c r="Z122">
        <v>210</v>
      </c>
      <c r="AA122">
        <v>264</v>
      </c>
      <c r="AB122">
        <v>296</v>
      </c>
      <c r="AC122">
        <v>329</v>
      </c>
      <c r="AD122">
        <v>363</v>
      </c>
      <c r="AE122">
        <v>397</v>
      </c>
      <c r="AF122">
        <v>432</v>
      </c>
      <c r="AG122">
        <v>468</v>
      </c>
      <c r="AH122">
        <v>505</v>
      </c>
      <c r="AI122">
        <v>542</v>
      </c>
      <c r="AJ122">
        <v>581</v>
      </c>
      <c r="AK122">
        <v>620</v>
      </c>
      <c r="AL122">
        <v>630</v>
      </c>
      <c r="AM122">
        <v>641</v>
      </c>
      <c r="AN122">
        <v>652</v>
      </c>
      <c r="AO122">
        <v>663</v>
      </c>
      <c r="AP122">
        <v>674</v>
      </c>
      <c r="AQ122">
        <v>686</v>
      </c>
      <c r="AR122">
        <v>697</v>
      </c>
      <c r="AS122">
        <v>709</v>
      </c>
      <c r="AT122">
        <v>721</v>
      </c>
      <c r="AU122">
        <v>734</v>
      </c>
      <c r="AV122">
        <v>748</v>
      </c>
      <c r="AW122">
        <v>762</v>
      </c>
      <c r="AX122">
        <v>776</v>
      </c>
      <c r="AY122">
        <v>791</v>
      </c>
      <c r="AZ122">
        <v>807</v>
      </c>
      <c r="BA122">
        <v>825</v>
      </c>
      <c r="BB122">
        <v>843</v>
      </c>
      <c r="BC122">
        <v>862</v>
      </c>
      <c r="BD122">
        <v>883</v>
      </c>
      <c r="BE122">
        <v>907</v>
      </c>
      <c r="BF122">
        <v>932</v>
      </c>
      <c r="BG122">
        <v>959</v>
      </c>
      <c r="BH122">
        <v>988</v>
      </c>
      <c r="BI122">
        <v>1019</v>
      </c>
      <c r="BJ122">
        <v>1054</v>
      </c>
      <c r="BK122">
        <v>1090</v>
      </c>
      <c r="BL122">
        <v>1129</v>
      </c>
      <c r="BM122">
        <v>1173</v>
      </c>
      <c r="BN122">
        <v>1220</v>
      </c>
      <c r="BO122">
        <v>1272</v>
      </c>
      <c r="BP122">
        <v>1328</v>
      </c>
      <c r="BQ122">
        <v>1388</v>
      </c>
      <c r="BR122">
        <v>1455</v>
      </c>
      <c r="BS122">
        <v>1527</v>
      </c>
      <c r="BT122">
        <v>1610</v>
      </c>
      <c r="BU122">
        <v>1701</v>
      </c>
      <c r="BV122">
        <v>1801</v>
      </c>
      <c r="BW122">
        <v>1908</v>
      </c>
      <c r="BX122">
        <v>2028</v>
      </c>
      <c r="BY122">
        <v>2169</v>
      </c>
      <c r="BZ122">
        <v>2324</v>
      </c>
      <c r="CA122">
        <v>2499</v>
      </c>
      <c r="CB122">
        <v>2696</v>
      </c>
      <c r="CC122">
        <v>2920</v>
      </c>
      <c r="CD122">
        <v>3209</v>
      </c>
      <c r="CE122">
        <v>3547</v>
      </c>
      <c r="CF122">
        <v>3933</v>
      </c>
      <c r="CG122">
        <v>4392</v>
      </c>
      <c r="CH122">
        <v>4919</v>
      </c>
      <c r="CI122">
        <v>5577</v>
      </c>
      <c r="CJ122">
        <v>6376</v>
      </c>
      <c r="CK122">
        <v>7342</v>
      </c>
      <c r="CL122">
        <v>8535</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Z122" s="343" t="s">
        <v>633</v>
      </c>
      <c r="EA122" t="s">
        <v>1010</v>
      </c>
      <c r="EB122">
        <v>1</v>
      </c>
      <c r="EC122">
        <v>11</v>
      </c>
      <c r="ED122" s="184" t="str">
        <f t="shared" si="7"/>
        <v>SDJ200111</v>
      </c>
      <c r="EE122">
        <v>0</v>
      </c>
      <c r="EF122">
        <v>66</v>
      </c>
      <c r="EG122">
        <v>126</v>
      </c>
      <c r="EH122">
        <v>183</v>
      </c>
      <c r="EI122">
        <v>249</v>
      </c>
      <c r="EJ122">
        <v>304</v>
      </c>
      <c r="EK122">
        <v>401</v>
      </c>
      <c r="EL122">
        <v>460</v>
      </c>
      <c r="EM122">
        <v>518</v>
      </c>
      <c r="EN122">
        <v>635</v>
      </c>
      <c r="EO122">
        <v>694</v>
      </c>
      <c r="EP122">
        <v>753</v>
      </c>
      <c r="EQ122">
        <v>810</v>
      </c>
      <c r="ER122">
        <v>863</v>
      </c>
      <c r="ES122">
        <v>915</v>
      </c>
      <c r="ET122">
        <v>966</v>
      </c>
      <c r="EU122">
        <v>1016</v>
      </c>
      <c r="EV122">
        <v>1062</v>
      </c>
      <c r="EW122">
        <v>1110</v>
      </c>
      <c r="EX122">
        <v>0</v>
      </c>
      <c r="EY122">
        <v>0</v>
      </c>
      <c r="EZ122">
        <v>0</v>
      </c>
      <c r="FA122">
        <v>0</v>
      </c>
      <c r="FB122">
        <v>0</v>
      </c>
      <c r="FC122">
        <v>0</v>
      </c>
      <c r="FD122">
        <v>0</v>
      </c>
      <c r="FE122">
        <v>0</v>
      </c>
      <c r="FF122">
        <v>0</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row>
    <row r="123" spans="13:245" hidden="1">
      <c r="M123" s="343" t="s">
        <v>633</v>
      </c>
      <c r="N123" t="s">
        <v>1010</v>
      </c>
      <c r="O123">
        <v>1</v>
      </c>
      <c r="P123">
        <v>12</v>
      </c>
      <c r="Q123" s="184" t="str">
        <f t="shared" si="6"/>
        <v>SDJ200112</v>
      </c>
      <c r="R123">
        <v>0</v>
      </c>
      <c r="S123">
        <v>21</v>
      </c>
      <c r="T123">
        <v>43</v>
      </c>
      <c r="U123">
        <v>64</v>
      </c>
      <c r="V123">
        <v>91</v>
      </c>
      <c r="W123">
        <v>115</v>
      </c>
      <c r="X123">
        <v>157</v>
      </c>
      <c r="Y123">
        <v>184</v>
      </c>
      <c r="Z123">
        <v>212</v>
      </c>
      <c r="AA123">
        <v>268</v>
      </c>
      <c r="AB123">
        <v>301</v>
      </c>
      <c r="AC123">
        <v>334</v>
      </c>
      <c r="AD123">
        <v>368</v>
      </c>
      <c r="AE123">
        <v>403</v>
      </c>
      <c r="AF123">
        <v>439</v>
      </c>
      <c r="AG123">
        <v>476</v>
      </c>
      <c r="AH123">
        <v>513</v>
      </c>
      <c r="AI123">
        <v>551</v>
      </c>
      <c r="AJ123">
        <v>591</v>
      </c>
      <c r="AK123">
        <v>630</v>
      </c>
      <c r="AL123">
        <v>641</v>
      </c>
      <c r="AM123">
        <v>652</v>
      </c>
      <c r="AN123">
        <v>663</v>
      </c>
      <c r="AO123">
        <v>674</v>
      </c>
      <c r="AP123">
        <v>686</v>
      </c>
      <c r="AQ123">
        <v>697</v>
      </c>
      <c r="AR123">
        <v>709</v>
      </c>
      <c r="AS123">
        <v>721</v>
      </c>
      <c r="AT123">
        <v>734</v>
      </c>
      <c r="AU123">
        <v>748</v>
      </c>
      <c r="AV123">
        <v>762</v>
      </c>
      <c r="AW123">
        <v>776</v>
      </c>
      <c r="AX123">
        <v>791</v>
      </c>
      <c r="AY123">
        <v>807</v>
      </c>
      <c r="AZ123">
        <v>825</v>
      </c>
      <c r="BA123">
        <v>843</v>
      </c>
      <c r="BB123">
        <v>862</v>
      </c>
      <c r="BC123">
        <v>883</v>
      </c>
      <c r="BD123">
        <v>907</v>
      </c>
      <c r="BE123">
        <v>932</v>
      </c>
      <c r="BF123">
        <v>959</v>
      </c>
      <c r="BG123">
        <v>988</v>
      </c>
      <c r="BH123">
        <v>1019</v>
      </c>
      <c r="BI123">
        <v>1054</v>
      </c>
      <c r="BJ123">
        <v>1090</v>
      </c>
      <c r="BK123">
        <v>1129</v>
      </c>
      <c r="BL123">
        <v>1173</v>
      </c>
      <c r="BM123">
        <v>1220</v>
      </c>
      <c r="BN123">
        <v>1272</v>
      </c>
      <c r="BO123">
        <v>1328</v>
      </c>
      <c r="BP123">
        <v>1388</v>
      </c>
      <c r="BQ123">
        <v>1455</v>
      </c>
      <c r="BR123">
        <v>1527</v>
      </c>
      <c r="BS123">
        <v>1610</v>
      </c>
      <c r="BT123">
        <v>1701</v>
      </c>
      <c r="BU123">
        <v>1801</v>
      </c>
      <c r="BV123">
        <v>1908</v>
      </c>
      <c r="BW123">
        <v>2028</v>
      </c>
      <c r="BX123">
        <v>2169</v>
      </c>
      <c r="BY123">
        <v>2324</v>
      </c>
      <c r="BZ123">
        <v>2499</v>
      </c>
      <c r="CA123">
        <v>2696</v>
      </c>
      <c r="CB123">
        <v>2920</v>
      </c>
      <c r="CC123">
        <v>3209</v>
      </c>
      <c r="CD123">
        <v>3547</v>
      </c>
      <c r="CE123">
        <v>3933</v>
      </c>
      <c r="CF123">
        <v>4392</v>
      </c>
      <c r="CG123">
        <v>4919</v>
      </c>
      <c r="CH123">
        <v>5577</v>
      </c>
      <c r="CI123">
        <v>6376</v>
      </c>
      <c r="CJ123">
        <v>7342</v>
      </c>
      <c r="CK123">
        <v>8535</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Z123" s="343" t="s">
        <v>633</v>
      </c>
      <c r="EA123" t="s">
        <v>1010</v>
      </c>
      <c r="EB123">
        <v>1</v>
      </c>
      <c r="EC123">
        <v>12</v>
      </c>
      <c r="ED123" s="184" t="str">
        <f t="shared" si="7"/>
        <v>SDJ200112</v>
      </c>
      <c r="EE123">
        <v>0</v>
      </c>
      <c r="EF123">
        <v>64</v>
      </c>
      <c r="EG123">
        <v>126</v>
      </c>
      <c r="EH123">
        <v>180</v>
      </c>
      <c r="EI123">
        <v>247</v>
      </c>
      <c r="EJ123">
        <v>301</v>
      </c>
      <c r="EK123">
        <v>400</v>
      </c>
      <c r="EL123">
        <v>457</v>
      </c>
      <c r="EM123">
        <v>514</v>
      </c>
      <c r="EN123">
        <v>633</v>
      </c>
      <c r="EO123">
        <v>694</v>
      </c>
      <c r="EP123">
        <v>751</v>
      </c>
      <c r="EQ123">
        <v>806</v>
      </c>
      <c r="ER123">
        <v>861</v>
      </c>
      <c r="ES123">
        <v>914</v>
      </c>
      <c r="ET123">
        <v>965</v>
      </c>
      <c r="EU123">
        <v>1014</v>
      </c>
      <c r="EV123">
        <v>1061</v>
      </c>
      <c r="EW123">
        <v>1109</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row>
    <row r="124" spans="13:245" hidden="1">
      <c r="M124" s="343" t="s">
        <v>633</v>
      </c>
      <c r="N124" t="s">
        <v>1010</v>
      </c>
      <c r="O124">
        <v>1</v>
      </c>
      <c r="P124">
        <v>13</v>
      </c>
      <c r="Q124" s="184" t="str">
        <f t="shared" si="6"/>
        <v>SDJ200113</v>
      </c>
      <c r="R124">
        <v>0</v>
      </c>
      <c r="S124">
        <v>21</v>
      </c>
      <c r="T124">
        <v>43</v>
      </c>
      <c r="U124">
        <v>65</v>
      </c>
      <c r="V124">
        <v>92</v>
      </c>
      <c r="W124">
        <v>116</v>
      </c>
      <c r="X124">
        <v>158</v>
      </c>
      <c r="Y124">
        <v>186</v>
      </c>
      <c r="Z124">
        <v>215</v>
      </c>
      <c r="AA124">
        <v>272</v>
      </c>
      <c r="AB124">
        <v>305</v>
      </c>
      <c r="AC124">
        <v>339</v>
      </c>
      <c r="AD124">
        <v>374</v>
      </c>
      <c r="AE124">
        <v>410</v>
      </c>
      <c r="AF124">
        <v>446</v>
      </c>
      <c r="AG124">
        <v>484</v>
      </c>
      <c r="AH124">
        <v>522</v>
      </c>
      <c r="AI124">
        <v>561</v>
      </c>
      <c r="AJ124">
        <v>601</v>
      </c>
      <c r="AK124">
        <v>641</v>
      </c>
      <c r="AL124">
        <v>652</v>
      </c>
      <c r="AM124">
        <v>663</v>
      </c>
      <c r="AN124">
        <v>674</v>
      </c>
      <c r="AO124">
        <v>686</v>
      </c>
      <c r="AP124">
        <v>697</v>
      </c>
      <c r="AQ124">
        <v>709</v>
      </c>
      <c r="AR124">
        <v>721</v>
      </c>
      <c r="AS124">
        <v>734</v>
      </c>
      <c r="AT124">
        <v>748</v>
      </c>
      <c r="AU124">
        <v>762</v>
      </c>
      <c r="AV124">
        <v>776</v>
      </c>
      <c r="AW124">
        <v>791</v>
      </c>
      <c r="AX124">
        <v>807</v>
      </c>
      <c r="AY124">
        <v>825</v>
      </c>
      <c r="AZ124">
        <v>843</v>
      </c>
      <c r="BA124">
        <v>862</v>
      </c>
      <c r="BB124">
        <v>883</v>
      </c>
      <c r="BC124">
        <v>907</v>
      </c>
      <c r="BD124">
        <v>932</v>
      </c>
      <c r="BE124">
        <v>959</v>
      </c>
      <c r="BF124">
        <v>988</v>
      </c>
      <c r="BG124">
        <v>1019</v>
      </c>
      <c r="BH124">
        <v>1054</v>
      </c>
      <c r="BI124">
        <v>1090</v>
      </c>
      <c r="BJ124">
        <v>1129</v>
      </c>
      <c r="BK124">
        <v>1173</v>
      </c>
      <c r="BL124">
        <v>1220</v>
      </c>
      <c r="BM124">
        <v>1272</v>
      </c>
      <c r="BN124">
        <v>1328</v>
      </c>
      <c r="BO124">
        <v>1388</v>
      </c>
      <c r="BP124">
        <v>1455</v>
      </c>
      <c r="BQ124">
        <v>1527</v>
      </c>
      <c r="BR124">
        <v>1610</v>
      </c>
      <c r="BS124">
        <v>1701</v>
      </c>
      <c r="BT124">
        <v>1801</v>
      </c>
      <c r="BU124">
        <v>1908</v>
      </c>
      <c r="BV124">
        <v>2028</v>
      </c>
      <c r="BW124">
        <v>2169</v>
      </c>
      <c r="BX124">
        <v>2324</v>
      </c>
      <c r="BY124">
        <v>2499</v>
      </c>
      <c r="BZ124">
        <v>2696</v>
      </c>
      <c r="CA124">
        <v>2920</v>
      </c>
      <c r="CB124">
        <v>3209</v>
      </c>
      <c r="CC124">
        <v>3547</v>
      </c>
      <c r="CD124">
        <v>3933</v>
      </c>
      <c r="CE124">
        <v>4392</v>
      </c>
      <c r="CF124">
        <v>4919</v>
      </c>
      <c r="CG124">
        <v>5577</v>
      </c>
      <c r="CH124">
        <v>6376</v>
      </c>
      <c r="CI124">
        <v>7342</v>
      </c>
      <c r="CJ124">
        <v>8535</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Z124" s="343" t="s">
        <v>633</v>
      </c>
      <c r="EA124" t="s">
        <v>1010</v>
      </c>
      <c r="EB124">
        <v>1</v>
      </c>
      <c r="EC124">
        <v>13</v>
      </c>
      <c r="ED124" s="184" t="str">
        <f t="shared" si="7"/>
        <v>SDJ200113</v>
      </c>
      <c r="EE124">
        <v>0</v>
      </c>
      <c r="EF124">
        <v>63</v>
      </c>
      <c r="EG124">
        <v>124</v>
      </c>
      <c r="EH124">
        <v>179</v>
      </c>
      <c r="EI124">
        <v>245</v>
      </c>
      <c r="EJ124">
        <v>299</v>
      </c>
      <c r="EK124">
        <v>396</v>
      </c>
      <c r="EL124">
        <v>454</v>
      </c>
      <c r="EM124">
        <v>512</v>
      </c>
      <c r="EN124">
        <v>632</v>
      </c>
      <c r="EO124">
        <v>691</v>
      </c>
      <c r="EP124">
        <v>749</v>
      </c>
      <c r="EQ124">
        <v>805</v>
      </c>
      <c r="ER124">
        <v>860</v>
      </c>
      <c r="ES124">
        <v>912</v>
      </c>
      <c r="ET124">
        <v>964</v>
      </c>
      <c r="EU124">
        <v>1013</v>
      </c>
      <c r="EV124">
        <v>1061</v>
      </c>
      <c r="EW124">
        <v>1108</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row>
    <row r="125" spans="13:245" hidden="1">
      <c r="M125" s="343" t="s">
        <v>633</v>
      </c>
      <c r="N125" t="s">
        <v>1010</v>
      </c>
      <c r="O125">
        <v>1</v>
      </c>
      <c r="P125">
        <v>14</v>
      </c>
      <c r="Q125" s="184" t="str">
        <f t="shared" si="6"/>
        <v>SDJ200114</v>
      </c>
      <c r="R125">
        <v>0</v>
      </c>
      <c r="S125">
        <v>22</v>
      </c>
      <c r="T125">
        <v>43</v>
      </c>
      <c r="U125">
        <v>65</v>
      </c>
      <c r="V125">
        <v>94</v>
      </c>
      <c r="W125">
        <v>118</v>
      </c>
      <c r="X125">
        <v>160</v>
      </c>
      <c r="Y125">
        <v>189</v>
      </c>
      <c r="Z125">
        <v>219</v>
      </c>
      <c r="AA125">
        <v>276</v>
      </c>
      <c r="AB125">
        <v>310</v>
      </c>
      <c r="AC125">
        <v>345</v>
      </c>
      <c r="AD125">
        <v>380</v>
      </c>
      <c r="AE125">
        <v>417</v>
      </c>
      <c r="AF125">
        <v>454</v>
      </c>
      <c r="AG125">
        <v>492</v>
      </c>
      <c r="AH125">
        <v>531</v>
      </c>
      <c r="AI125">
        <v>570</v>
      </c>
      <c r="AJ125">
        <v>611</v>
      </c>
      <c r="AK125">
        <v>652</v>
      </c>
      <c r="AL125">
        <v>663</v>
      </c>
      <c r="AM125">
        <v>674</v>
      </c>
      <c r="AN125">
        <v>686</v>
      </c>
      <c r="AO125">
        <v>697</v>
      </c>
      <c r="AP125">
        <v>709</v>
      </c>
      <c r="AQ125">
        <v>721</v>
      </c>
      <c r="AR125">
        <v>734</v>
      </c>
      <c r="AS125">
        <v>748</v>
      </c>
      <c r="AT125">
        <v>762</v>
      </c>
      <c r="AU125">
        <v>776</v>
      </c>
      <c r="AV125">
        <v>791</v>
      </c>
      <c r="AW125">
        <v>807</v>
      </c>
      <c r="AX125">
        <v>825</v>
      </c>
      <c r="AY125">
        <v>843</v>
      </c>
      <c r="AZ125">
        <v>862</v>
      </c>
      <c r="BA125">
        <v>883</v>
      </c>
      <c r="BB125">
        <v>907</v>
      </c>
      <c r="BC125">
        <v>932</v>
      </c>
      <c r="BD125">
        <v>959</v>
      </c>
      <c r="BE125">
        <v>988</v>
      </c>
      <c r="BF125">
        <v>1019</v>
      </c>
      <c r="BG125">
        <v>1054</v>
      </c>
      <c r="BH125">
        <v>1090</v>
      </c>
      <c r="BI125">
        <v>1129</v>
      </c>
      <c r="BJ125">
        <v>1173</v>
      </c>
      <c r="BK125">
        <v>1220</v>
      </c>
      <c r="BL125">
        <v>1272</v>
      </c>
      <c r="BM125">
        <v>1328</v>
      </c>
      <c r="BN125">
        <v>1388</v>
      </c>
      <c r="BO125">
        <v>1455</v>
      </c>
      <c r="BP125">
        <v>1527</v>
      </c>
      <c r="BQ125">
        <v>1610</v>
      </c>
      <c r="BR125">
        <v>1701</v>
      </c>
      <c r="BS125">
        <v>1801</v>
      </c>
      <c r="BT125">
        <v>1908</v>
      </c>
      <c r="BU125">
        <v>2028</v>
      </c>
      <c r="BV125">
        <v>2169</v>
      </c>
      <c r="BW125">
        <v>2324</v>
      </c>
      <c r="BX125">
        <v>2499</v>
      </c>
      <c r="BY125">
        <v>2696</v>
      </c>
      <c r="BZ125">
        <v>2920</v>
      </c>
      <c r="CA125">
        <v>3209</v>
      </c>
      <c r="CB125">
        <v>3547</v>
      </c>
      <c r="CC125">
        <v>3933</v>
      </c>
      <c r="CD125">
        <v>4392</v>
      </c>
      <c r="CE125">
        <v>4919</v>
      </c>
      <c r="CF125">
        <v>5577</v>
      </c>
      <c r="CG125">
        <v>6376</v>
      </c>
      <c r="CH125">
        <v>7342</v>
      </c>
      <c r="CI125">
        <v>8535</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Z125" s="343" t="s">
        <v>633</v>
      </c>
      <c r="EA125" t="s">
        <v>1010</v>
      </c>
      <c r="EB125">
        <v>1</v>
      </c>
      <c r="EC125">
        <v>14</v>
      </c>
      <c r="ED125" s="184" t="str">
        <f t="shared" si="7"/>
        <v>SDJ200114</v>
      </c>
      <c r="EE125">
        <v>0</v>
      </c>
      <c r="EF125">
        <v>65</v>
      </c>
      <c r="EG125">
        <v>122</v>
      </c>
      <c r="EH125">
        <v>176</v>
      </c>
      <c r="EI125">
        <v>246</v>
      </c>
      <c r="EJ125">
        <v>299</v>
      </c>
      <c r="EK125">
        <v>394</v>
      </c>
      <c r="EL125">
        <v>454</v>
      </c>
      <c r="EM125">
        <v>513</v>
      </c>
      <c r="EN125">
        <v>630</v>
      </c>
      <c r="EO125">
        <v>690</v>
      </c>
      <c r="EP125">
        <v>749</v>
      </c>
      <c r="EQ125">
        <v>803</v>
      </c>
      <c r="ER125">
        <v>859</v>
      </c>
      <c r="ES125">
        <v>912</v>
      </c>
      <c r="ET125">
        <v>963</v>
      </c>
      <c r="EU125">
        <v>1013</v>
      </c>
      <c r="EV125">
        <v>1060</v>
      </c>
      <c r="EW125">
        <v>1107</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row>
    <row r="126" spans="13:245" hidden="1">
      <c r="M126" s="343" t="s">
        <v>633</v>
      </c>
      <c r="N126" t="s">
        <v>1010</v>
      </c>
      <c r="O126">
        <v>1</v>
      </c>
      <c r="P126">
        <v>15</v>
      </c>
      <c r="Q126" s="184" t="str">
        <f t="shared" si="6"/>
        <v>SDJ200115</v>
      </c>
      <c r="R126">
        <v>0</v>
      </c>
      <c r="S126">
        <v>22</v>
      </c>
      <c r="T126">
        <v>44</v>
      </c>
      <c r="U126">
        <v>66</v>
      </c>
      <c r="V126">
        <v>94</v>
      </c>
      <c r="W126">
        <v>119</v>
      </c>
      <c r="X126">
        <v>163</v>
      </c>
      <c r="Y126">
        <v>192</v>
      </c>
      <c r="Z126">
        <v>221</v>
      </c>
      <c r="AA126">
        <v>280</v>
      </c>
      <c r="AB126">
        <v>315</v>
      </c>
      <c r="AC126">
        <v>350</v>
      </c>
      <c r="AD126">
        <v>387</v>
      </c>
      <c r="AE126">
        <v>424</v>
      </c>
      <c r="AF126">
        <v>462</v>
      </c>
      <c r="AG126">
        <v>500</v>
      </c>
      <c r="AH126">
        <v>540</v>
      </c>
      <c r="AI126">
        <v>580</v>
      </c>
      <c r="AJ126">
        <v>621</v>
      </c>
      <c r="AK126">
        <v>663</v>
      </c>
      <c r="AL126">
        <v>674</v>
      </c>
      <c r="AM126">
        <v>686</v>
      </c>
      <c r="AN126">
        <v>697</v>
      </c>
      <c r="AO126">
        <v>709</v>
      </c>
      <c r="AP126">
        <v>721</v>
      </c>
      <c r="AQ126">
        <v>734</v>
      </c>
      <c r="AR126">
        <v>748</v>
      </c>
      <c r="AS126">
        <v>762</v>
      </c>
      <c r="AT126">
        <v>776</v>
      </c>
      <c r="AU126">
        <v>791</v>
      </c>
      <c r="AV126">
        <v>807</v>
      </c>
      <c r="AW126">
        <v>825</v>
      </c>
      <c r="AX126">
        <v>843</v>
      </c>
      <c r="AY126">
        <v>862</v>
      </c>
      <c r="AZ126">
        <v>883</v>
      </c>
      <c r="BA126">
        <v>907</v>
      </c>
      <c r="BB126">
        <v>932</v>
      </c>
      <c r="BC126">
        <v>959</v>
      </c>
      <c r="BD126">
        <v>988</v>
      </c>
      <c r="BE126">
        <v>1019</v>
      </c>
      <c r="BF126">
        <v>1054</v>
      </c>
      <c r="BG126">
        <v>1090</v>
      </c>
      <c r="BH126">
        <v>1129</v>
      </c>
      <c r="BI126">
        <v>1173</v>
      </c>
      <c r="BJ126">
        <v>1220</v>
      </c>
      <c r="BK126">
        <v>1272</v>
      </c>
      <c r="BL126">
        <v>1328</v>
      </c>
      <c r="BM126">
        <v>1388</v>
      </c>
      <c r="BN126">
        <v>1455</v>
      </c>
      <c r="BO126">
        <v>1527</v>
      </c>
      <c r="BP126">
        <v>1610</v>
      </c>
      <c r="BQ126">
        <v>1701</v>
      </c>
      <c r="BR126">
        <v>1801</v>
      </c>
      <c r="BS126">
        <v>1908</v>
      </c>
      <c r="BT126">
        <v>2028</v>
      </c>
      <c r="BU126">
        <v>2169</v>
      </c>
      <c r="BV126">
        <v>2324</v>
      </c>
      <c r="BW126">
        <v>2499</v>
      </c>
      <c r="BX126">
        <v>2696</v>
      </c>
      <c r="BY126">
        <v>2920</v>
      </c>
      <c r="BZ126">
        <v>3209</v>
      </c>
      <c r="CA126">
        <v>3547</v>
      </c>
      <c r="CB126">
        <v>3933</v>
      </c>
      <c r="CC126">
        <v>4392</v>
      </c>
      <c r="CD126">
        <v>4919</v>
      </c>
      <c r="CE126">
        <v>5577</v>
      </c>
      <c r="CF126">
        <v>6376</v>
      </c>
      <c r="CG126">
        <v>7342</v>
      </c>
      <c r="CH126">
        <v>8535</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Z126" s="343" t="s">
        <v>633</v>
      </c>
      <c r="EA126" t="s">
        <v>1010</v>
      </c>
      <c r="EB126">
        <v>1</v>
      </c>
      <c r="EC126">
        <v>15</v>
      </c>
      <c r="ED126" s="184" t="str">
        <f t="shared" si="7"/>
        <v>SDJ200115</v>
      </c>
      <c r="EE126">
        <v>0</v>
      </c>
      <c r="EF126">
        <v>64</v>
      </c>
      <c r="EG126">
        <v>122</v>
      </c>
      <c r="EH126">
        <v>176</v>
      </c>
      <c r="EI126">
        <v>242</v>
      </c>
      <c r="EJ126">
        <v>297</v>
      </c>
      <c r="EK126">
        <v>394</v>
      </c>
      <c r="EL126">
        <v>453</v>
      </c>
      <c r="EM126">
        <v>509</v>
      </c>
      <c r="EN126">
        <v>628</v>
      </c>
      <c r="EO126">
        <v>689</v>
      </c>
      <c r="EP126">
        <v>746</v>
      </c>
      <c r="EQ126">
        <v>804</v>
      </c>
      <c r="ER126">
        <v>858</v>
      </c>
      <c r="ES126">
        <v>911</v>
      </c>
      <c r="ET126">
        <v>961</v>
      </c>
      <c r="EU126">
        <v>1012</v>
      </c>
      <c r="EV126">
        <v>1059</v>
      </c>
      <c r="EW126">
        <v>1106</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0</v>
      </c>
      <c r="HY126">
        <v>0</v>
      </c>
      <c r="HZ126">
        <v>0</v>
      </c>
      <c r="IA126">
        <v>0</v>
      </c>
      <c r="IB126">
        <v>0</v>
      </c>
      <c r="IC126">
        <v>0</v>
      </c>
      <c r="ID126">
        <v>0</v>
      </c>
      <c r="IE126">
        <v>0</v>
      </c>
      <c r="IF126">
        <v>0</v>
      </c>
      <c r="IG126">
        <v>0</v>
      </c>
      <c r="IH126">
        <v>0</v>
      </c>
      <c r="II126">
        <v>0</v>
      </c>
      <c r="IJ126">
        <v>0</v>
      </c>
      <c r="IK126">
        <v>0</v>
      </c>
    </row>
    <row r="127" spans="13:245" hidden="1">
      <c r="M127" s="343" t="s">
        <v>633</v>
      </c>
      <c r="N127" t="s">
        <v>1010</v>
      </c>
      <c r="O127">
        <v>1</v>
      </c>
      <c r="P127">
        <v>16</v>
      </c>
      <c r="Q127" s="184" t="str">
        <f t="shared" si="6"/>
        <v>SDJ200116</v>
      </c>
      <c r="R127">
        <v>0</v>
      </c>
      <c r="S127">
        <v>22</v>
      </c>
      <c r="T127">
        <v>44</v>
      </c>
      <c r="U127">
        <v>67</v>
      </c>
      <c r="V127">
        <v>96</v>
      </c>
      <c r="W127">
        <v>122</v>
      </c>
      <c r="X127">
        <v>166</v>
      </c>
      <c r="Y127">
        <v>195</v>
      </c>
      <c r="Z127">
        <v>226</v>
      </c>
      <c r="AA127">
        <v>285</v>
      </c>
      <c r="AB127">
        <v>320</v>
      </c>
      <c r="AC127">
        <v>356</v>
      </c>
      <c r="AD127">
        <v>393</v>
      </c>
      <c r="AE127">
        <v>431</v>
      </c>
      <c r="AF127">
        <v>470</v>
      </c>
      <c r="AG127">
        <v>509</v>
      </c>
      <c r="AH127">
        <v>549</v>
      </c>
      <c r="AI127">
        <v>589</v>
      </c>
      <c r="AJ127">
        <v>631</v>
      </c>
      <c r="AK127">
        <v>674</v>
      </c>
      <c r="AL127">
        <v>686</v>
      </c>
      <c r="AM127">
        <v>697</v>
      </c>
      <c r="AN127">
        <v>709</v>
      </c>
      <c r="AO127">
        <v>721</v>
      </c>
      <c r="AP127">
        <v>734</v>
      </c>
      <c r="AQ127">
        <v>748</v>
      </c>
      <c r="AR127">
        <v>762</v>
      </c>
      <c r="AS127">
        <v>776</v>
      </c>
      <c r="AT127">
        <v>791</v>
      </c>
      <c r="AU127">
        <v>807</v>
      </c>
      <c r="AV127">
        <v>825</v>
      </c>
      <c r="AW127">
        <v>843</v>
      </c>
      <c r="AX127">
        <v>862</v>
      </c>
      <c r="AY127">
        <v>883</v>
      </c>
      <c r="AZ127">
        <v>907</v>
      </c>
      <c r="BA127">
        <v>932</v>
      </c>
      <c r="BB127">
        <v>959</v>
      </c>
      <c r="BC127">
        <v>988</v>
      </c>
      <c r="BD127">
        <v>1019</v>
      </c>
      <c r="BE127">
        <v>1054</v>
      </c>
      <c r="BF127">
        <v>1090</v>
      </c>
      <c r="BG127">
        <v>1129</v>
      </c>
      <c r="BH127">
        <v>1173</v>
      </c>
      <c r="BI127">
        <v>1220</v>
      </c>
      <c r="BJ127">
        <v>1272</v>
      </c>
      <c r="BK127">
        <v>1328</v>
      </c>
      <c r="BL127">
        <v>1388</v>
      </c>
      <c r="BM127">
        <v>1455</v>
      </c>
      <c r="BN127">
        <v>1527</v>
      </c>
      <c r="BO127">
        <v>1610</v>
      </c>
      <c r="BP127">
        <v>1701</v>
      </c>
      <c r="BQ127">
        <v>1801</v>
      </c>
      <c r="BR127">
        <v>1908</v>
      </c>
      <c r="BS127">
        <v>2028</v>
      </c>
      <c r="BT127">
        <v>2169</v>
      </c>
      <c r="BU127">
        <v>2324</v>
      </c>
      <c r="BV127">
        <v>2499</v>
      </c>
      <c r="BW127">
        <v>2696</v>
      </c>
      <c r="BX127">
        <v>2920</v>
      </c>
      <c r="BY127">
        <v>3209</v>
      </c>
      <c r="BZ127">
        <v>3547</v>
      </c>
      <c r="CA127">
        <v>3933</v>
      </c>
      <c r="CB127">
        <v>4392</v>
      </c>
      <c r="CC127">
        <v>4919</v>
      </c>
      <c r="CD127">
        <v>5577</v>
      </c>
      <c r="CE127">
        <v>6376</v>
      </c>
      <c r="CF127">
        <v>7342</v>
      </c>
      <c r="CG127">
        <v>8535</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Z127" s="343" t="s">
        <v>633</v>
      </c>
      <c r="EA127" t="s">
        <v>1010</v>
      </c>
      <c r="EB127">
        <v>1</v>
      </c>
      <c r="EC127">
        <v>16</v>
      </c>
      <c r="ED127" s="184" t="str">
        <f t="shared" si="7"/>
        <v>SDJ200116</v>
      </c>
      <c r="EE127">
        <v>0</v>
      </c>
      <c r="EF127">
        <v>63</v>
      </c>
      <c r="EG127">
        <v>120</v>
      </c>
      <c r="EH127">
        <v>175</v>
      </c>
      <c r="EI127">
        <v>243</v>
      </c>
      <c r="EJ127">
        <v>299</v>
      </c>
      <c r="EK127">
        <v>395</v>
      </c>
      <c r="EL127">
        <v>452</v>
      </c>
      <c r="EM127">
        <v>511</v>
      </c>
      <c r="EN127">
        <v>628</v>
      </c>
      <c r="EO127">
        <v>687</v>
      </c>
      <c r="EP127">
        <v>745</v>
      </c>
      <c r="EQ127">
        <v>801</v>
      </c>
      <c r="ER127">
        <v>857</v>
      </c>
      <c r="ES127">
        <v>911</v>
      </c>
      <c r="ET127">
        <v>961</v>
      </c>
      <c r="EU127">
        <v>1011</v>
      </c>
      <c r="EV127">
        <v>1057</v>
      </c>
      <c r="EW127">
        <v>1104</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row>
    <row r="128" spans="13:245" hidden="1">
      <c r="M128" s="343" t="s">
        <v>633</v>
      </c>
      <c r="N128" t="s">
        <v>1010</v>
      </c>
      <c r="O128">
        <v>1</v>
      </c>
      <c r="P128">
        <v>17</v>
      </c>
      <c r="Q128" s="184" t="str">
        <f t="shared" si="6"/>
        <v>SDJ200117</v>
      </c>
      <c r="R128">
        <v>0</v>
      </c>
      <c r="S128">
        <v>23</v>
      </c>
      <c r="T128">
        <v>45</v>
      </c>
      <c r="U128">
        <v>68</v>
      </c>
      <c r="V128">
        <v>98</v>
      </c>
      <c r="W128">
        <v>123</v>
      </c>
      <c r="X128">
        <v>168</v>
      </c>
      <c r="Y128">
        <v>199</v>
      </c>
      <c r="Z128">
        <v>230</v>
      </c>
      <c r="AA128">
        <v>290</v>
      </c>
      <c r="AB128">
        <v>326</v>
      </c>
      <c r="AC128">
        <v>363</v>
      </c>
      <c r="AD128">
        <v>400</v>
      </c>
      <c r="AE128">
        <v>439</v>
      </c>
      <c r="AF128">
        <v>478</v>
      </c>
      <c r="AG128">
        <v>517</v>
      </c>
      <c r="AH128">
        <v>558</v>
      </c>
      <c r="AI128">
        <v>599</v>
      </c>
      <c r="AJ128">
        <v>642</v>
      </c>
      <c r="AK128">
        <v>686</v>
      </c>
      <c r="AL128">
        <v>697</v>
      </c>
      <c r="AM128">
        <v>709</v>
      </c>
      <c r="AN128">
        <v>721</v>
      </c>
      <c r="AO128">
        <v>734</v>
      </c>
      <c r="AP128">
        <v>748</v>
      </c>
      <c r="AQ128">
        <v>762</v>
      </c>
      <c r="AR128">
        <v>776</v>
      </c>
      <c r="AS128">
        <v>791</v>
      </c>
      <c r="AT128">
        <v>807</v>
      </c>
      <c r="AU128">
        <v>825</v>
      </c>
      <c r="AV128">
        <v>843</v>
      </c>
      <c r="AW128">
        <v>862</v>
      </c>
      <c r="AX128">
        <v>883</v>
      </c>
      <c r="AY128">
        <v>907</v>
      </c>
      <c r="AZ128">
        <v>932</v>
      </c>
      <c r="BA128">
        <v>959</v>
      </c>
      <c r="BB128">
        <v>988</v>
      </c>
      <c r="BC128">
        <v>1019</v>
      </c>
      <c r="BD128">
        <v>1054</v>
      </c>
      <c r="BE128">
        <v>1090</v>
      </c>
      <c r="BF128">
        <v>1129</v>
      </c>
      <c r="BG128">
        <v>1173</v>
      </c>
      <c r="BH128">
        <v>1220</v>
      </c>
      <c r="BI128">
        <v>1272</v>
      </c>
      <c r="BJ128">
        <v>1328</v>
      </c>
      <c r="BK128">
        <v>1388</v>
      </c>
      <c r="BL128">
        <v>1455</v>
      </c>
      <c r="BM128">
        <v>1527</v>
      </c>
      <c r="BN128">
        <v>1610</v>
      </c>
      <c r="BO128">
        <v>1701</v>
      </c>
      <c r="BP128">
        <v>1801</v>
      </c>
      <c r="BQ128">
        <v>1908</v>
      </c>
      <c r="BR128">
        <v>2028</v>
      </c>
      <c r="BS128">
        <v>2169</v>
      </c>
      <c r="BT128">
        <v>2324</v>
      </c>
      <c r="BU128">
        <v>2499</v>
      </c>
      <c r="BV128">
        <v>2696</v>
      </c>
      <c r="BW128">
        <v>2920</v>
      </c>
      <c r="BX128">
        <v>3209</v>
      </c>
      <c r="BY128">
        <v>3547</v>
      </c>
      <c r="BZ128">
        <v>3933</v>
      </c>
      <c r="CA128">
        <v>4392</v>
      </c>
      <c r="CB128">
        <v>4919</v>
      </c>
      <c r="CC128">
        <v>5577</v>
      </c>
      <c r="CD128">
        <v>6376</v>
      </c>
      <c r="CE128">
        <v>7342</v>
      </c>
      <c r="CF128">
        <v>8535</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Z128" s="343" t="s">
        <v>633</v>
      </c>
      <c r="EA128" t="s">
        <v>1010</v>
      </c>
      <c r="EB128">
        <v>1</v>
      </c>
      <c r="EC128">
        <v>17</v>
      </c>
      <c r="ED128" s="184" t="str">
        <f t="shared" si="7"/>
        <v>SDJ200117</v>
      </c>
      <c r="EE128">
        <v>0</v>
      </c>
      <c r="EF128">
        <v>64</v>
      </c>
      <c r="EG128">
        <v>121</v>
      </c>
      <c r="EH128">
        <v>175</v>
      </c>
      <c r="EI128">
        <v>244</v>
      </c>
      <c r="EJ128">
        <v>296</v>
      </c>
      <c r="EK128">
        <v>393</v>
      </c>
      <c r="EL128">
        <v>453</v>
      </c>
      <c r="EM128">
        <v>511</v>
      </c>
      <c r="EN128">
        <v>627</v>
      </c>
      <c r="EO128">
        <v>687</v>
      </c>
      <c r="EP128">
        <v>746</v>
      </c>
      <c r="EQ128">
        <v>801</v>
      </c>
      <c r="ER128">
        <v>857</v>
      </c>
      <c r="ES128">
        <v>910</v>
      </c>
      <c r="ET128">
        <v>959</v>
      </c>
      <c r="EU128">
        <v>1009</v>
      </c>
      <c r="EV128">
        <v>1056</v>
      </c>
      <c r="EW128">
        <v>1104</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0</v>
      </c>
      <c r="IC128">
        <v>0</v>
      </c>
      <c r="ID128">
        <v>0</v>
      </c>
      <c r="IE128">
        <v>0</v>
      </c>
      <c r="IF128">
        <v>0</v>
      </c>
      <c r="IG128">
        <v>0</v>
      </c>
      <c r="IH128">
        <v>0</v>
      </c>
      <c r="II128">
        <v>0</v>
      </c>
      <c r="IJ128">
        <v>0</v>
      </c>
      <c r="IK128">
        <v>0</v>
      </c>
    </row>
    <row r="129" spans="13:245" hidden="1">
      <c r="M129" s="343" t="s">
        <v>633</v>
      </c>
      <c r="N129" t="s">
        <v>1010</v>
      </c>
      <c r="O129">
        <v>1</v>
      </c>
      <c r="P129">
        <v>18</v>
      </c>
      <c r="Q129" s="184" t="str">
        <f t="shared" si="6"/>
        <v>SDJ200118</v>
      </c>
      <c r="R129">
        <v>0</v>
      </c>
      <c r="S129">
        <v>23</v>
      </c>
      <c r="T129">
        <v>46</v>
      </c>
      <c r="U129">
        <v>69</v>
      </c>
      <c r="V129">
        <v>99</v>
      </c>
      <c r="W129">
        <v>126</v>
      </c>
      <c r="X129">
        <v>171</v>
      </c>
      <c r="Y129">
        <v>202</v>
      </c>
      <c r="Z129">
        <v>233</v>
      </c>
      <c r="AA129">
        <v>295</v>
      </c>
      <c r="AB129">
        <v>332</v>
      </c>
      <c r="AC129">
        <v>369</v>
      </c>
      <c r="AD129">
        <v>407</v>
      </c>
      <c r="AE129">
        <v>446</v>
      </c>
      <c r="AF129">
        <v>486</v>
      </c>
      <c r="AG129">
        <v>526</v>
      </c>
      <c r="AH129">
        <v>567</v>
      </c>
      <c r="AI129">
        <v>610</v>
      </c>
      <c r="AJ129">
        <v>653</v>
      </c>
      <c r="AK129">
        <v>697</v>
      </c>
      <c r="AL129">
        <v>709</v>
      </c>
      <c r="AM129">
        <v>721</v>
      </c>
      <c r="AN129">
        <v>734</v>
      </c>
      <c r="AO129">
        <v>748</v>
      </c>
      <c r="AP129">
        <v>762</v>
      </c>
      <c r="AQ129">
        <v>776</v>
      </c>
      <c r="AR129">
        <v>791</v>
      </c>
      <c r="AS129">
        <v>807</v>
      </c>
      <c r="AT129">
        <v>825</v>
      </c>
      <c r="AU129">
        <v>843</v>
      </c>
      <c r="AV129">
        <v>862</v>
      </c>
      <c r="AW129">
        <v>883</v>
      </c>
      <c r="AX129">
        <v>907</v>
      </c>
      <c r="AY129">
        <v>932</v>
      </c>
      <c r="AZ129">
        <v>959</v>
      </c>
      <c r="BA129">
        <v>988</v>
      </c>
      <c r="BB129">
        <v>1019</v>
      </c>
      <c r="BC129">
        <v>1054</v>
      </c>
      <c r="BD129">
        <v>1090</v>
      </c>
      <c r="BE129">
        <v>1129</v>
      </c>
      <c r="BF129">
        <v>1173</v>
      </c>
      <c r="BG129">
        <v>1220</v>
      </c>
      <c r="BH129">
        <v>1272</v>
      </c>
      <c r="BI129">
        <v>1328</v>
      </c>
      <c r="BJ129">
        <v>1388</v>
      </c>
      <c r="BK129">
        <v>1455</v>
      </c>
      <c r="BL129">
        <v>1527</v>
      </c>
      <c r="BM129">
        <v>1610</v>
      </c>
      <c r="BN129">
        <v>1701</v>
      </c>
      <c r="BO129">
        <v>1801</v>
      </c>
      <c r="BP129">
        <v>1908</v>
      </c>
      <c r="BQ129">
        <v>2028</v>
      </c>
      <c r="BR129">
        <v>2169</v>
      </c>
      <c r="BS129">
        <v>2324</v>
      </c>
      <c r="BT129">
        <v>2499</v>
      </c>
      <c r="BU129">
        <v>2696</v>
      </c>
      <c r="BV129">
        <v>2920</v>
      </c>
      <c r="BW129">
        <v>3209</v>
      </c>
      <c r="BX129">
        <v>3547</v>
      </c>
      <c r="BY129">
        <v>3933</v>
      </c>
      <c r="BZ129">
        <v>4392</v>
      </c>
      <c r="CA129">
        <v>4919</v>
      </c>
      <c r="CB129">
        <v>5577</v>
      </c>
      <c r="CC129">
        <v>6376</v>
      </c>
      <c r="CD129">
        <v>7342</v>
      </c>
      <c r="CE129">
        <v>8535</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Z129" s="343" t="s">
        <v>633</v>
      </c>
      <c r="EA129" t="s">
        <v>1010</v>
      </c>
      <c r="EB129">
        <v>1</v>
      </c>
      <c r="EC129">
        <v>18</v>
      </c>
      <c r="ED129" s="184" t="str">
        <f t="shared" si="7"/>
        <v>SDJ200118</v>
      </c>
      <c r="EE129">
        <v>0</v>
      </c>
      <c r="EF129">
        <v>63</v>
      </c>
      <c r="EG129">
        <v>121</v>
      </c>
      <c r="EH129">
        <v>175</v>
      </c>
      <c r="EI129">
        <v>242</v>
      </c>
      <c r="EJ129">
        <v>298</v>
      </c>
      <c r="EK129">
        <v>392</v>
      </c>
      <c r="EL129">
        <v>452</v>
      </c>
      <c r="EM129">
        <v>508</v>
      </c>
      <c r="EN129">
        <v>627</v>
      </c>
      <c r="EO129">
        <v>688</v>
      </c>
      <c r="EP129">
        <v>745</v>
      </c>
      <c r="EQ129">
        <v>801</v>
      </c>
      <c r="ER129">
        <v>856</v>
      </c>
      <c r="ES129">
        <v>909</v>
      </c>
      <c r="ET129">
        <v>959</v>
      </c>
      <c r="EU129">
        <v>1008</v>
      </c>
      <c r="EV129">
        <v>1058</v>
      </c>
      <c r="EW129">
        <v>1104</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0</v>
      </c>
      <c r="ID129">
        <v>0</v>
      </c>
      <c r="IE129">
        <v>0</v>
      </c>
      <c r="IF129">
        <v>0</v>
      </c>
      <c r="IG129">
        <v>0</v>
      </c>
      <c r="IH129">
        <v>0</v>
      </c>
      <c r="II129">
        <v>0</v>
      </c>
      <c r="IJ129">
        <v>0</v>
      </c>
      <c r="IK129">
        <v>0</v>
      </c>
    </row>
    <row r="130" spans="13:245" hidden="1">
      <c r="M130" s="343" t="s">
        <v>633</v>
      </c>
      <c r="N130" t="s">
        <v>1010</v>
      </c>
      <c r="O130">
        <v>1</v>
      </c>
      <c r="P130">
        <v>19</v>
      </c>
      <c r="Q130" s="184" t="str">
        <f t="shared" si="6"/>
        <v>SDJ200119</v>
      </c>
      <c r="R130">
        <v>0</v>
      </c>
      <c r="S130">
        <v>23</v>
      </c>
      <c r="T130">
        <v>47</v>
      </c>
      <c r="U130">
        <v>71</v>
      </c>
      <c r="V130">
        <v>101</v>
      </c>
      <c r="W130">
        <v>128</v>
      </c>
      <c r="X130">
        <v>175</v>
      </c>
      <c r="Y130">
        <v>205</v>
      </c>
      <c r="Z130">
        <v>238</v>
      </c>
      <c r="AA130">
        <v>300</v>
      </c>
      <c r="AB130">
        <v>338</v>
      </c>
      <c r="AC130">
        <v>376</v>
      </c>
      <c r="AD130">
        <v>414</v>
      </c>
      <c r="AE130">
        <v>453</v>
      </c>
      <c r="AF130">
        <v>494</v>
      </c>
      <c r="AG130">
        <v>534</v>
      </c>
      <c r="AH130">
        <v>577</v>
      </c>
      <c r="AI130">
        <v>620</v>
      </c>
      <c r="AJ130">
        <v>664</v>
      </c>
      <c r="AK130">
        <v>709</v>
      </c>
      <c r="AL130">
        <v>721</v>
      </c>
      <c r="AM130">
        <v>734</v>
      </c>
      <c r="AN130">
        <v>748</v>
      </c>
      <c r="AO130">
        <v>762</v>
      </c>
      <c r="AP130">
        <v>776</v>
      </c>
      <c r="AQ130">
        <v>791</v>
      </c>
      <c r="AR130">
        <v>807</v>
      </c>
      <c r="AS130">
        <v>825</v>
      </c>
      <c r="AT130">
        <v>843</v>
      </c>
      <c r="AU130">
        <v>862</v>
      </c>
      <c r="AV130">
        <v>883</v>
      </c>
      <c r="AW130">
        <v>907</v>
      </c>
      <c r="AX130">
        <v>932</v>
      </c>
      <c r="AY130">
        <v>959</v>
      </c>
      <c r="AZ130">
        <v>988</v>
      </c>
      <c r="BA130">
        <v>1019</v>
      </c>
      <c r="BB130">
        <v>1054</v>
      </c>
      <c r="BC130">
        <v>1090</v>
      </c>
      <c r="BD130">
        <v>1129</v>
      </c>
      <c r="BE130">
        <v>1173</v>
      </c>
      <c r="BF130">
        <v>1220</v>
      </c>
      <c r="BG130">
        <v>1272</v>
      </c>
      <c r="BH130">
        <v>1328</v>
      </c>
      <c r="BI130">
        <v>1388</v>
      </c>
      <c r="BJ130">
        <v>1455</v>
      </c>
      <c r="BK130">
        <v>1527</v>
      </c>
      <c r="BL130">
        <v>1610</v>
      </c>
      <c r="BM130">
        <v>1701</v>
      </c>
      <c r="BN130">
        <v>1801</v>
      </c>
      <c r="BO130">
        <v>1908</v>
      </c>
      <c r="BP130">
        <v>2028</v>
      </c>
      <c r="BQ130">
        <v>2169</v>
      </c>
      <c r="BR130">
        <v>2324</v>
      </c>
      <c r="BS130">
        <v>2499</v>
      </c>
      <c r="BT130">
        <v>2696</v>
      </c>
      <c r="BU130">
        <v>2920</v>
      </c>
      <c r="BV130">
        <v>3209</v>
      </c>
      <c r="BW130">
        <v>3547</v>
      </c>
      <c r="BX130">
        <v>3933</v>
      </c>
      <c r="BY130">
        <v>4392</v>
      </c>
      <c r="BZ130">
        <v>4919</v>
      </c>
      <c r="CA130">
        <v>5577</v>
      </c>
      <c r="CB130">
        <v>6376</v>
      </c>
      <c r="CC130">
        <v>7342</v>
      </c>
      <c r="CD130">
        <v>8535</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Z130" s="343" t="s">
        <v>633</v>
      </c>
      <c r="EA130" t="s">
        <v>1010</v>
      </c>
      <c r="EB130">
        <v>1</v>
      </c>
      <c r="EC130">
        <v>19</v>
      </c>
      <c r="ED130" s="184" t="str">
        <f t="shared" si="7"/>
        <v>SDJ200119</v>
      </c>
      <c r="EE130">
        <v>0</v>
      </c>
      <c r="EF130">
        <v>62</v>
      </c>
      <c r="EG130">
        <v>122</v>
      </c>
      <c r="EH130">
        <v>177</v>
      </c>
      <c r="EI130">
        <v>243</v>
      </c>
      <c r="EJ130">
        <v>297</v>
      </c>
      <c r="EK130">
        <v>394</v>
      </c>
      <c r="EL130">
        <v>450</v>
      </c>
      <c r="EM130">
        <v>510</v>
      </c>
      <c r="EN130">
        <v>626</v>
      </c>
      <c r="EO130">
        <v>688</v>
      </c>
      <c r="EP130">
        <v>746</v>
      </c>
      <c r="EQ130">
        <v>800</v>
      </c>
      <c r="ER130">
        <v>854</v>
      </c>
      <c r="ES130">
        <v>908</v>
      </c>
      <c r="ET130">
        <v>957</v>
      </c>
      <c r="EU130">
        <v>1009</v>
      </c>
      <c r="EV130">
        <v>1057</v>
      </c>
      <c r="EW130">
        <v>1104</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row>
    <row r="131" spans="13:245" hidden="1">
      <c r="M131" s="343" t="s">
        <v>633</v>
      </c>
      <c r="N131" t="s">
        <v>1010</v>
      </c>
      <c r="O131">
        <v>1</v>
      </c>
      <c r="P131">
        <v>20</v>
      </c>
      <c r="Q131" s="184" t="str">
        <f t="shared" si="6"/>
        <v>SDJ200120</v>
      </c>
      <c r="R131">
        <v>0</v>
      </c>
      <c r="S131">
        <v>23</v>
      </c>
      <c r="T131">
        <v>47</v>
      </c>
      <c r="U131">
        <v>71</v>
      </c>
      <c r="V131">
        <v>102</v>
      </c>
      <c r="W131">
        <v>130</v>
      </c>
      <c r="X131">
        <v>177</v>
      </c>
      <c r="Y131">
        <v>210</v>
      </c>
      <c r="Z131">
        <v>242</v>
      </c>
      <c r="AA131">
        <v>306</v>
      </c>
      <c r="AB131">
        <v>344</v>
      </c>
      <c r="AC131">
        <v>382</v>
      </c>
      <c r="AD131">
        <v>421</v>
      </c>
      <c r="AE131">
        <v>461</v>
      </c>
      <c r="AF131">
        <v>502</v>
      </c>
      <c r="AG131">
        <v>544</v>
      </c>
      <c r="AH131">
        <v>587</v>
      </c>
      <c r="AI131">
        <v>630</v>
      </c>
      <c r="AJ131">
        <v>675</v>
      </c>
      <c r="AK131">
        <v>721</v>
      </c>
      <c r="AL131">
        <v>734</v>
      </c>
      <c r="AM131">
        <v>748</v>
      </c>
      <c r="AN131">
        <v>762</v>
      </c>
      <c r="AO131">
        <v>776</v>
      </c>
      <c r="AP131">
        <v>791</v>
      </c>
      <c r="AQ131">
        <v>807</v>
      </c>
      <c r="AR131">
        <v>825</v>
      </c>
      <c r="AS131">
        <v>843</v>
      </c>
      <c r="AT131">
        <v>862</v>
      </c>
      <c r="AU131">
        <v>883</v>
      </c>
      <c r="AV131">
        <v>907</v>
      </c>
      <c r="AW131">
        <v>932</v>
      </c>
      <c r="AX131">
        <v>959</v>
      </c>
      <c r="AY131">
        <v>988</v>
      </c>
      <c r="AZ131">
        <v>1019</v>
      </c>
      <c r="BA131">
        <v>1054</v>
      </c>
      <c r="BB131">
        <v>1090</v>
      </c>
      <c r="BC131">
        <v>1129</v>
      </c>
      <c r="BD131">
        <v>1173</v>
      </c>
      <c r="BE131">
        <v>1220</v>
      </c>
      <c r="BF131">
        <v>1272</v>
      </c>
      <c r="BG131">
        <v>1328</v>
      </c>
      <c r="BH131">
        <v>1388</v>
      </c>
      <c r="BI131">
        <v>1455</v>
      </c>
      <c r="BJ131">
        <v>1527</v>
      </c>
      <c r="BK131">
        <v>1610</v>
      </c>
      <c r="BL131">
        <v>1701</v>
      </c>
      <c r="BM131">
        <v>1801</v>
      </c>
      <c r="BN131">
        <v>1908</v>
      </c>
      <c r="BO131">
        <v>2028</v>
      </c>
      <c r="BP131">
        <v>2169</v>
      </c>
      <c r="BQ131">
        <v>2324</v>
      </c>
      <c r="BR131">
        <v>2499</v>
      </c>
      <c r="BS131">
        <v>2696</v>
      </c>
      <c r="BT131">
        <v>2920</v>
      </c>
      <c r="BU131">
        <v>3209</v>
      </c>
      <c r="BV131">
        <v>3547</v>
      </c>
      <c r="BW131">
        <v>3933</v>
      </c>
      <c r="BX131">
        <v>4392</v>
      </c>
      <c r="BY131">
        <v>4919</v>
      </c>
      <c r="BZ131">
        <v>5577</v>
      </c>
      <c r="CA131">
        <v>6376</v>
      </c>
      <c r="CB131">
        <v>7342</v>
      </c>
      <c r="CC131">
        <v>8535</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Z131" s="343" t="s">
        <v>633</v>
      </c>
      <c r="EA131" t="s">
        <v>1010</v>
      </c>
      <c r="EB131">
        <v>1</v>
      </c>
      <c r="EC131">
        <v>20</v>
      </c>
      <c r="ED131" s="184" t="str">
        <f t="shared" si="7"/>
        <v>SDJ200120</v>
      </c>
      <c r="EE131">
        <v>0</v>
      </c>
      <c r="EF131">
        <v>61</v>
      </c>
      <c r="EG131">
        <v>120</v>
      </c>
      <c r="EH131">
        <v>174</v>
      </c>
      <c r="EI131">
        <v>241</v>
      </c>
      <c r="EJ131">
        <v>297</v>
      </c>
      <c r="EK131">
        <v>392</v>
      </c>
      <c r="EL131">
        <v>453</v>
      </c>
      <c r="EM131">
        <v>509</v>
      </c>
      <c r="EN131">
        <v>627</v>
      </c>
      <c r="EO131">
        <v>687</v>
      </c>
      <c r="EP131">
        <v>744</v>
      </c>
      <c r="EQ131">
        <v>800</v>
      </c>
      <c r="ER131">
        <v>854</v>
      </c>
      <c r="ES131">
        <v>907</v>
      </c>
      <c r="ET131">
        <v>958</v>
      </c>
      <c r="EU131">
        <v>1009</v>
      </c>
      <c r="EV131">
        <v>1056</v>
      </c>
      <c r="EW131">
        <v>1104</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c r="IK131">
        <v>0</v>
      </c>
    </row>
    <row r="132" spans="13:245" hidden="1">
      <c r="M132" s="343" t="s">
        <v>633</v>
      </c>
      <c r="N132" t="s">
        <v>1010</v>
      </c>
      <c r="O132">
        <v>1</v>
      </c>
      <c r="P132">
        <v>21</v>
      </c>
      <c r="Q132" s="184" t="str">
        <f t="shared" si="6"/>
        <v>SDJ200121</v>
      </c>
      <c r="R132">
        <v>0</v>
      </c>
      <c r="S132">
        <v>24</v>
      </c>
      <c r="T132">
        <v>48</v>
      </c>
      <c r="U132">
        <v>73</v>
      </c>
      <c r="V132">
        <v>105</v>
      </c>
      <c r="W132">
        <v>132</v>
      </c>
      <c r="X132">
        <v>181</v>
      </c>
      <c r="Y132">
        <v>213</v>
      </c>
      <c r="Z132">
        <v>247</v>
      </c>
      <c r="AA132">
        <v>311</v>
      </c>
      <c r="AB132">
        <v>349</v>
      </c>
      <c r="AC132">
        <v>388</v>
      </c>
      <c r="AD132">
        <v>428</v>
      </c>
      <c r="AE132">
        <v>468</v>
      </c>
      <c r="AF132">
        <v>510</v>
      </c>
      <c r="AG132">
        <v>553</v>
      </c>
      <c r="AH132">
        <v>596</v>
      </c>
      <c r="AI132">
        <v>641</v>
      </c>
      <c r="AJ132">
        <v>687</v>
      </c>
      <c r="AK132">
        <v>734</v>
      </c>
      <c r="AL132">
        <v>748</v>
      </c>
      <c r="AM132">
        <v>762</v>
      </c>
      <c r="AN132">
        <v>776</v>
      </c>
      <c r="AO132">
        <v>791</v>
      </c>
      <c r="AP132">
        <v>807</v>
      </c>
      <c r="AQ132">
        <v>825</v>
      </c>
      <c r="AR132">
        <v>843</v>
      </c>
      <c r="AS132">
        <v>862</v>
      </c>
      <c r="AT132">
        <v>883</v>
      </c>
      <c r="AU132">
        <v>907</v>
      </c>
      <c r="AV132">
        <v>932</v>
      </c>
      <c r="AW132">
        <v>959</v>
      </c>
      <c r="AX132">
        <v>988</v>
      </c>
      <c r="AY132">
        <v>1019</v>
      </c>
      <c r="AZ132">
        <v>1054</v>
      </c>
      <c r="BA132">
        <v>1090</v>
      </c>
      <c r="BB132">
        <v>1129</v>
      </c>
      <c r="BC132">
        <v>1173</v>
      </c>
      <c r="BD132">
        <v>1220</v>
      </c>
      <c r="BE132">
        <v>1272</v>
      </c>
      <c r="BF132">
        <v>1328</v>
      </c>
      <c r="BG132">
        <v>1388</v>
      </c>
      <c r="BH132">
        <v>1455</v>
      </c>
      <c r="BI132">
        <v>1527</v>
      </c>
      <c r="BJ132">
        <v>1610</v>
      </c>
      <c r="BK132">
        <v>1701</v>
      </c>
      <c r="BL132">
        <v>1801</v>
      </c>
      <c r="BM132">
        <v>1908</v>
      </c>
      <c r="BN132">
        <v>2028</v>
      </c>
      <c r="BO132">
        <v>2169</v>
      </c>
      <c r="BP132">
        <v>2324</v>
      </c>
      <c r="BQ132">
        <v>2499</v>
      </c>
      <c r="BR132">
        <v>2696</v>
      </c>
      <c r="BS132">
        <v>2920</v>
      </c>
      <c r="BT132">
        <v>3209</v>
      </c>
      <c r="BU132">
        <v>3547</v>
      </c>
      <c r="BV132">
        <v>3933</v>
      </c>
      <c r="BW132">
        <v>4392</v>
      </c>
      <c r="BX132">
        <v>4919</v>
      </c>
      <c r="BY132">
        <v>5577</v>
      </c>
      <c r="BZ132">
        <v>6376</v>
      </c>
      <c r="CA132">
        <v>7342</v>
      </c>
      <c r="CB132">
        <v>8535</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Z132" s="343" t="s">
        <v>633</v>
      </c>
      <c r="EA132" t="s">
        <v>1010</v>
      </c>
      <c r="EB132">
        <v>1</v>
      </c>
      <c r="EC132">
        <v>21</v>
      </c>
      <c r="ED132" s="184" t="str">
        <f t="shared" si="7"/>
        <v>SDJ200121</v>
      </c>
      <c r="EE132">
        <v>0</v>
      </c>
      <c r="EF132">
        <v>63</v>
      </c>
      <c r="EG132">
        <v>120</v>
      </c>
      <c r="EH132">
        <v>175</v>
      </c>
      <c r="EI132">
        <v>244</v>
      </c>
      <c r="EJ132">
        <v>296</v>
      </c>
      <c r="EK132">
        <v>394</v>
      </c>
      <c r="EL132">
        <v>451</v>
      </c>
      <c r="EM132">
        <v>510</v>
      </c>
      <c r="EN132">
        <v>626</v>
      </c>
      <c r="EO132">
        <v>685</v>
      </c>
      <c r="EP132">
        <v>743</v>
      </c>
      <c r="EQ132">
        <v>799</v>
      </c>
      <c r="ER132">
        <v>852</v>
      </c>
      <c r="ES132">
        <v>906</v>
      </c>
      <c r="ET132">
        <v>958</v>
      </c>
      <c r="EU132">
        <v>1007</v>
      </c>
      <c r="EV132">
        <v>1057</v>
      </c>
      <c r="EW132">
        <v>1106</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row>
    <row r="133" spans="13:245" hidden="1">
      <c r="M133" s="343" t="s">
        <v>633</v>
      </c>
      <c r="N133" t="s">
        <v>1010</v>
      </c>
      <c r="O133">
        <v>1</v>
      </c>
      <c r="P133">
        <v>22</v>
      </c>
      <c r="Q133" s="184" t="str">
        <f t="shared" si="6"/>
        <v>SDJ200122</v>
      </c>
      <c r="R133">
        <v>0</v>
      </c>
      <c r="S133">
        <v>24</v>
      </c>
      <c r="T133">
        <v>49</v>
      </c>
      <c r="U133">
        <v>74</v>
      </c>
      <c r="V133">
        <v>106</v>
      </c>
      <c r="W133">
        <v>135</v>
      </c>
      <c r="X133">
        <v>185</v>
      </c>
      <c r="Y133">
        <v>217</v>
      </c>
      <c r="Z133">
        <v>251</v>
      </c>
      <c r="AA133">
        <v>317</v>
      </c>
      <c r="AB133">
        <v>355</v>
      </c>
      <c r="AC133">
        <v>395</v>
      </c>
      <c r="AD133">
        <v>435</v>
      </c>
      <c r="AE133">
        <v>477</v>
      </c>
      <c r="AF133">
        <v>519</v>
      </c>
      <c r="AG133">
        <v>562</v>
      </c>
      <c r="AH133">
        <v>606</v>
      </c>
      <c r="AI133">
        <v>652</v>
      </c>
      <c r="AJ133">
        <v>699</v>
      </c>
      <c r="AK133">
        <v>748</v>
      </c>
      <c r="AL133">
        <v>762</v>
      </c>
      <c r="AM133">
        <v>776</v>
      </c>
      <c r="AN133">
        <v>791</v>
      </c>
      <c r="AO133">
        <v>807</v>
      </c>
      <c r="AP133">
        <v>825</v>
      </c>
      <c r="AQ133">
        <v>843</v>
      </c>
      <c r="AR133">
        <v>862</v>
      </c>
      <c r="AS133">
        <v>883</v>
      </c>
      <c r="AT133">
        <v>907</v>
      </c>
      <c r="AU133">
        <v>932</v>
      </c>
      <c r="AV133">
        <v>959</v>
      </c>
      <c r="AW133">
        <v>988</v>
      </c>
      <c r="AX133">
        <v>1019</v>
      </c>
      <c r="AY133">
        <v>1054</v>
      </c>
      <c r="AZ133">
        <v>1090</v>
      </c>
      <c r="BA133">
        <v>1129</v>
      </c>
      <c r="BB133">
        <v>1173</v>
      </c>
      <c r="BC133">
        <v>1220</v>
      </c>
      <c r="BD133">
        <v>1272</v>
      </c>
      <c r="BE133">
        <v>1328</v>
      </c>
      <c r="BF133">
        <v>1388</v>
      </c>
      <c r="BG133">
        <v>1455</v>
      </c>
      <c r="BH133">
        <v>1527</v>
      </c>
      <c r="BI133">
        <v>1610</v>
      </c>
      <c r="BJ133">
        <v>1701</v>
      </c>
      <c r="BK133">
        <v>1801</v>
      </c>
      <c r="BL133">
        <v>1908</v>
      </c>
      <c r="BM133">
        <v>2028</v>
      </c>
      <c r="BN133">
        <v>2169</v>
      </c>
      <c r="BO133">
        <v>2324</v>
      </c>
      <c r="BP133">
        <v>2499</v>
      </c>
      <c r="BQ133">
        <v>2696</v>
      </c>
      <c r="BR133">
        <v>2920</v>
      </c>
      <c r="BS133">
        <v>3209</v>
      </c>
      <c r="BT133">
        <v>3547</v>
      </c>
      <c r="BU133">
        <v>3933</v>
      </c>
      <c r="BV133">
        <v>4392</v>
      </c>
      <c r="BW133">
        <v>4919</v>
      </c>
      <c r="BX133">
        <v>5577</v>
      </c>
      <c r="BY133">
        <v>6376</v>
      </c>
      <c r="BZ133">
        <v>7342</v>
      </c>
      <c r="CA133">
        <v>8535</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Z133" s="343" t="s">
        <v>633</v>
      </c>
      <c r="EA133" t="s">
        <v>1010</v>
      </c>
      <c r="EB133">
        <v>1</v>
      </c>
      <c r="EC133">
        <v>22</v>
      </c>
      <c r="ED133" s="184" t="str">
        <f t="shared" si="7"/>
        <v>SDJ200122</v>
      </c>
      <c r="EE133">
        <v>0</v>
      </c>
      <c r="EF133">
        <v>62</v>
      </c>
      <c r="EG133">
        <v>121</v>
      </c>
      <c r="EH133">
        <v>174</v>
      </c>
      <c r="EI133">
        <v>242</v>
      </c>
      <c r="EJ133">
        <v>297</v>
      </c>
      <c r="EK133">
        <v>395</v>
      </c>
      <c r="EL133">
        <v>452</v>
      </c>
      <c r="EM133">
        <v>509</v>
      </c>
      <c r="EN133">
        <v>627</v>
      </c>
      <c r="EO133">
        <v>685</v>
      </c>
      <c r="EP133">
        <v>743</v>
      </c>
      <c r="EQ133">
        <v>798</v>
      </c>
      <c r="ER133">
        <v>853</v>
      </c>
      <c r="ES133">
        <v>906</v>
      </c>
      <c r="ET133">
        <v>957</v>
      </c>
      <c r="EU133">
        <v>1007</v>
      </c>
      <c r="EV133">
        <v>1058</v>
      </c>
      <c r="EW133">
        <v>1107</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row>
    <row r="134" spans="13:245" hidden="1">
      <c r="M134" s="343" t="s">
        <v>633</v>
      </c>
      <c r="N134" t="s">
        <v>1010</v>
      </c>
      <c r="O134">
        <v>1</v>
      </c>
      <c r="P134">
        <v>23</v>
      </c>
      <c r="Q134" s="184" t="str">
        <f t="shared" si="6"/>
        <v>SDJ200123</v>
      </c>
      <c r="R134">
        <v>0</v>
      </c>
      <c r="S134">
        <v>25</v>
      </c>
      <c r="T134">
        <v>50</v>
      </c>
      <c r="U134">
        <v>76</v>
      </c>
      <c r="V134">
        <v>109</v>
      </c>
      <c r="W134">
        <v>138</v>
      </c>
      <c r="X134">
        <v>187</v>
      </c>
      <c r="Y134">
        <v>221</v>
      </c>
      <c r="Z134">
        <v>256</v>
      </c>
      <c r="AA134">
        <v>322</v>
      </c>
      <c r="AB134">
        <v>361</v>
      </c>
      <c r="AC134">
        <v>401</v>
      </c>
      <c r="AD134">
        <v>443</v>
      </c>
      <c r="AE134">
        <v>485</v>
      </c>
      <c r="AF134">
        <v>528</v>
      </c>
      <c r="AG134">
        <v>572</v>
      </c>
      <c r="AH134">
        <v>617</v>
      </c>
      <c r="AI134">
        <v>664</v>
      </c>
      <c r="AJ134">
        <v>712</v>
      </c>
      <c r="AK134">
        <v>762</v>
      </c>
      <c r="AL134">
        <v>776</v>
      </c>
      <c r="AM134">
        <v>791</v>
      </c>
      <c r="AN134">
        <v>807</v>
      </c>
      <c r="AO134">
        <v>825</v>
      </c>
      <c r="AP134">
        <v>843</v>
      </c>
      <c r="AQ134">
        <v>862</v>
      </c>
      <c r="AR134">
        <v>883</v>
      </c>
      <c r="AS134">
        <v>907</v>
      </c>
      <c r="AT134">
        <v>932</v>
      </c>
      <c r="AU134">
        <v>959</v>
      </c>
      <c r="AV134">
        <v>988</v>
      </c>
      <c r="AW134">
        <v>1019</v>
      </c>
      <c r="AX134">
        <v>1054</v>
      </c>
      <c r="AY134">
        <v>1090</v>
      </c>
      <c r="AZ134">
        <v>1129</v>
      </c>
      <c r="BA134">
        <v>1173</v>
      </c>
      <c r="BB134">
        <v>1220</v>
      </c>
      <c r="BC134">
        <v>1272</v>
      </c>
      <c r="BD134">
        <v>1328</v>
      </c>
      <c r="BE134">
        <v>1388</v>
      </c>
      <c r="BF134">
        <v>1455</v>
      </c>
      <c r="BG134">
        <v>1527</v>
      </c>
      <c r="BH134">
        <v>1610</v>
      </c>
      <c r="BI134">
        <v>1701</v>
      </c>
      <c r="BJ134">
        <v>1801</v>
      </c>
      <c r="BK134">
        <v>1908</v>
      </c>
      <c r="BL134">
        <v>2028</v>
      </c>
      <c r="BM134">
        <v>2169</v>
      </c>
      <c r="BN134">
        <v>2324</v>
      </c>
      <c r="BO134">
        <v>2499</v>
      </c>
      <c r="BP134">
        <v>2696</v>
      </c>
      <c r="BQ134">
        <v>2920</v>
      </c>
      <c r="BR134">
        <v>3209</v>
      </c>
      <c r="BS134">
        <v>3547</v>
      </c>
      <c r="BT134">
        <v>3933</v>
      </c>
      <c r="BU134">
        <v>4392</v>
      </c>
      <c r="BV134">
        <v>4919</v>
      </c>
      <c r="BW134">
        <v>5577</v>
      </c>
      <c r="BX134">
        <v>6376</v>
      </c>
      <c r="BY134">
        <v>7342</v>
      </c>
      <c r="BZ134">
        <v>8535</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Z134" s="343" t="s">
        <v>633</v>
      </c>
      <c r="EA134" t="s">
        <v>1010</v>
      </c>
      <c r="EB134">
        <v>1</v>
      </c>
      <c r="EC134">
        <v>23</v>
      </c>
      <c r="ED134" s="184" t="str">
        <f t="shared" si="7"/>
        <v>SDJ200123</v>
      </c>
      <c r="EE134">
        <v>0</v>
      </c>
      <c r="EF134">
        <v>63</v>
      </c>
      <c r="EG134">
        <v>121</v>
      </c>
      <c r="EH134">
        <v>176</v>
      </c>
      <c r="EI134">
        <v>244</v>
      </c>
      <c r="EJ134">
        <v>298</v>
      </c>
      <c r="EK134">
        <v>392</v>
      </c>
      <c r="EL134">
        <v>452</v>
      </c>
      <c r="EM134">
        <v>510</v>
      </c>
      <c r="EN134">
        <v>626</v>
      </c>
      <c r="EO134">
        <v>684</v>
      </c>
      <c r="EP134">
        <v>741</v>
      </c>
      <c r="EQ134">
        <v>799</v>
      </c>
      <c r="ER134">
        <v>853</v>
      </c>
      <c r="ES134">
        <v>906</v>
      </c>
      <c r="ET134">
        <v>958</v>
      </c>
      <c r="EU134">
        <v>1009</v>
      </c>
      <c r="EV134">
        <v>1060</v>
      </c>
      <c r="EW134">
        <v>1110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0</v>
      </c>
      <c r="IG134">
        <v>0</v>
      </c>
      <c r="IH134">
        <v>0</v>
      </c>
      <c r="II134">
        <v>0</v>
      </c>
      <c r="IJ134">
        <v>0</v>
      </c>
      <c r="IK134">
        <v>0</v>
      </c>
    </row>
    <row r="135" spans="13:245" hidden="1">
      <c r="M135" s="343" t="s">
        <v>633</v>
      </c>
      <c r="N135" t="s">
        <v>1010</v>
      </c>
      <c r="O135">
        <v>1</v>
      </c>
      <c r="P135">
        <v>24</v>
      </c>
      <c r="Q135" s="184" t="str">
        <f t="shared" si="6"/>
        <v>SDJ200124</v>
      </c>
      <c r="R135">
        <v>0</v>
      </c>
      <c r="S135">
        <v>26</v>
      </c>
      <c r="T135">
        <v>51</v>
      </c>
      <c r="U135">
        <v>77</v>
      </c>
      <c r="V135">
        <v>111</v>
      </c>
      <c r="W135">
        <v>140</v>
      </c>
      <c r="X135">
        <v>191</v>
      </c>
      <c r="Y135">
        <v>225</v>
      </c>
      <c r="Z135">
        <v>259</v>
      </c>
      <c r="AA135">
        <v>327</v>
      </c>
      <c r="AB135">
        <v>367</v>
      </c>
      <c r="AC135">
        <v>408</v>
      </c>
      <c r="AD135">
        <v>450</v>
      </c>
      <c r="AE135">
        <v>493</v>
      </c>
      <c r="AF135">
        <v>536</v>
      </c>
      <c r="AG135">
        <v>581</v>
      </c>
      <c r="AH135">
        <v>628</v>
      </c>
      <c r="AI135">
        <v>676</v>
      </c>
      <c r="AJ135">
        <v>725</v>
      </c>
      <c r="AK135">
        <v>776</v>
      </c>
      <c r="AL135">
        <v>791</v>
      </c>
      <c r="AM135">
        <v>807</v>
      </c>
      <c r="AN135">
        <v>825</v>
      </c>
      <c r="AO135">
        <v>843</v>
      </c>
      <c r="AP135">
        <v>862</v>
      </c>
      <c r="AQ135">
        <v>883</v>
      </c>
      <c r="AR135">
        <v>907</v>
      </c>
      <c r="AS135">
        <v>932</v>
      </c>
      <c r="AT135">
        <v>959</v>
      </c>
      <c r="AU135">
        <v>988</v>
      </c>
      <c r="AV135">
        <v>1019</v>
      </c>
      <c r="AW135">
        <v>1054</v>
      </c>
      <c r="AX135">
        <v>1090</v>
      </c>
      <c r="AY135">
        <v>1129</v>
      </c>
      <c r="AZ135">
        <v>1173</v>
      </c>
      <c r="BA135">
        <v>1220</v>
      </c>
      <c r="BB135">
        <v>1272</v>
      </c>
      <c r="BC135">
        <v>1328</v>
      </c>
      <c r="BD135">
        <v>1388</v>
      </c>
      <c r="BE135">
        <v>1455</v>
      </c>
      <c r="BF135">
        <v>1527</v>
      </c>
      <c r="BG135">
        <v>1610</v>
      </c>
      <c r="BH135">
        <v>1701</v>
      </c>
      <c r="BI135">
        <v>1801</v>
      </c>
      <c r="BJ135">
        <v>1908</v>
      </c>
      <c r="BK135">
        <v>2028</v>
      </c>
      <c r="BL135">
        <v>2169</v>
      </c>
      <c r="BM135">
        <v>2324</v>
      </c>
      <c r="BN135">
        <v>2499</v>
      </c>
      <c r="BO135">
        <v>2696</v>
      </c>
      <c r="BP135">
        <v>2920</v>
      </c>
      <c r="BQ135">
        <v>3209</v>
      </c>
      <c r="BR135">
        <v>3547</v>
      </c>
      <c r="BS135">
        <v>3933</v>
      </c>
      <c r="BT135">
        <v>4392</v>
      </c>
      <c r="BU135">
        <v>4919</v>
      </c>
      <c r="BV135">
        <v>5577</v>
      </c>
      <c r="BW135">
        <v>6376</v>
      </c>
      <c r="BX135">
        <v>7342</v>
      </c>
      <c r="BY135">
        <v>8535</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Z135" s="343" t="s">
        <v>633</v>
      </c>
      <c r="EA135" t="s">
        <v>1010</v>
      </c>
      <c r="EB135">
        <v>1</v>
      </c>
      <c r="EC135">
        <v>24</v>
      </c>
      <c r="ED135" s="184" t="str">
        <f t="shared" si="7"/>
        <v>SDJ200124</v>
      </c>
      <c r="EE135">
        <v>0</v>
      </c>
      <c r="EF135">
        <v>64</v>
      </c>
      <c r="EG135">
        <v>121</v>
      </c>
      <c r="EH135">
        <v>175</v>
      </c>
      <c r="EI135">
        <v>244</v>
      </c>
      <c r="EJ135">
        <v>297</v>
      </c>
      <c r="EK135">
        <v>393</v>
      </c>
      <c r="EL135">
        <v>452</v>
      </c>
      <c r="EM135">
        <v>507</v>
      </c>
      <c r="EN135">
        <v>624</v>
      </c>
      <c r="EO135">
        <v>683</v>
      </c>
      <c r="EP135">
        <v>741</v>
      </c>
      <c r="EQ135">
        <v>797</v>
      </c>
      <c r="ER135">
        <v>853</v>
      </c>
      <c r="ES135">
        <v>905</v>
      </c>
      <c r="ET135">
        <v>958</v>
      </c>
      <c r="EU135">
        <v>1011</v>
      </c>
      <c r="EV135">
        <v>1062</v>
      </c>
      <c r="EW135">
        <v>1113</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row>
    <row r="136" spans="13:245" hidden="1">
      <c r="M136" s="343" t="s">
        <v>633</v>
      </c>
      <c r="N136" t="s">
        <v>1010</v>
      </c>
      <c r="O136">
        <v>1</v>
      </c>
      <c r="P136">
        <v>25</v>
      </c>
      <c r="Q136" s="184" t="str">
        <f t="shared" si="6"/>
        <v>SDJ200125</v>
      </c>
      <c r="R136">
        <v>0</v>
      </c>
      <c r="S136">
        <v>26</v>
      </c>
      <c r="T136">
        <v>52</v>
      </c>
      <c r="U136">
        <v>79</v>
      </c>
      <c r="V136">
        <v>113</v>
      </c>
      <c r="W136">
        <v>142</v>
      </c>
      <c r="X136">
        <v>194</v>
      </c>
      <c r="Y136">
        <v>229</v>
      </c>
      <c r="Z136">
        <v>264</v>
      </c>
      <c r="AA136">
        <v>332</v>
      </c>
      <c r="AB136">
        <v>373</v>
      </c>
      <c r="AC136">
        <v>415</v>
      </c>
      <c r="AD136">
        <v>458</v>
      </c>
      <c r="AE136">
        <v>501</v>
      </c>
      <c r="AF136">
        <v>545</v>
      </c>
      <c r="AG136">
        <v>592</v>
      </c>
      <c r="AH136">
        <v>639</v>
      </c>
      <c r="AI136">
        <v>688</v>
      </c>
      <c r="AJ136">
        <v>738</v>
      </c>
      <c r="AK136">
        <v>791</v>
      </c>
      <c r="AL136">
        <v>807</v>
      </c>
      <c r="AM136">
        <v>825</v>
      </c>
      <c r="AN136">
        <v>843</v>
      </c>
      <c r="AO136">
        <v>862</v>
      </c>
      <c r="AP136">
        <v>883</v>
      </c>
      <c r="AQ136">
        <v>907</v>
      </c>
      <c r="AR136">
        <v>932</v>
      </c>
      <c r="AS136">
        <v>959</v>
      </c>
      <c r="AT136">
        <v>988</v>
      </c>
      <c r="AU136">
        <v>1019</v>
      </c>
      <c r="AV136">
        <v>1054</v>
      </c>
      <c r="AW136">
        <v>1090</v>
      </c>
      <c r="AX136">
        <v>1129</v>
      </c>
      <c r="AY136">
        <v>1173</v>
      </c>
      <c r="AZ136">
        <v>1220</v>
      </c>
      <c r="BA136">
        <v>1272</v>
      </c>
      <c r="BB136">
        <v>1328</v>
      </c>
      <c r="BC136">
        <v>1388</v>
      </c>
      <c r="BD136">
        <v>1455</v>
      </c>
      <c r="BE136">
        <v>1527</v>
      </c>
      <c r="BF136">
        <v>1610</v>
      </c>
      <c r="BG136">
        <v>1701</v>
      </c>
      <c r="BH136">
        <v>1801</v>
      </c>
      <c r="BI136">
        <v>1908</v>
      </c>
      <c r="BJ136">
        <v>2028</v>
      </c>
      <c r="BK136">
        <v>2169</v>
      </c>
      <c r="BL136">
        <v>2324</v>
      </c>
      <c r="BM136">
        <v>2499</v>
      </c>
      <c r="BN136">
        <v>2696</v>
      </c>
      <c r="BO136">
        <v>2920</v>
      </c>
      <c r="BP136">
        <v>3209</v>
      </c>
      <c r="BQ136">
        <v>3547</v>
      </c>
      <c r="BR136">
        <v>3933</v>
      </c>
      <c r="BS136">
        <v>4392</v>
      </c>
      <c r="BT136">
        <v>4919</v>
      </c>
      <c r="BU136">
        <v>5577</v>
      </c>
      <c r="BV136">
        <v>6376</v>
      </c>
      <c r="BW136">
        <v>7342</v>
      </c>
      <c r="BX136">
        <v>8535</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Z136" s="343" t="s">
        <v>633</v>
      </c>
      <c r="EA136" t="s">
        <v>1010</v>
      </c>
      <c r="EB136">
        <v>1</v>
      </c>
      <c r="EC136">
        <v>25</v>
      </c>
      <c r="ED136" s="184" t="str">
        <f t="shared" si="7"/>
        <v>SDJ200125</v>
      </c>
      <c r="EE136">
        <v>0</v>
      </c>
      <c r="EF136">
        <v>63</v>
      </c>
      <c r="EG136">
        <v>121</v>
      </c>
      <c r="EH136">
        <v>176</v>
      </c>
      <c r="EI136">
        <v>244</v>
      </c>
      <c r="EJ136">
        <v>296</v>
      </c>
      <c r="EK136">
        <v>393</v>
      </c>
      <c r="EL136">
        <v>452</v>
      </c>
      <c r="EM136">
        <v>508</v>
      </c>
      <c r="EN136">
        <v>623</v>
      </c>
      <c r="EO136">
        <v>683</v>
      </c>
      <c r="EP136">
        <v>741</v>
      </c>
      <c r="EQ136">
        <v>798</v>
      </c>
      <c r="ER136">
        <v>852</v>
      </c>
      <c r="ES136">
        <v>905</v>
      </c>
      <c r="ET136">
        <v>960</v>
      </c>
      <c r="EU136">
        <v>1012</v>
      </c>
      <c r="EV136">
        <v>1064</v>
      </c>
      <c r="EW136">
        <v>1115</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row>
    <row r="137" spans="13:245" hidden="1">
      <c r="M137" s="343" t="s">
        <v>633</v>
      </c>
      <c r="N137" t="s">
        <v>1010</v>
      </c>
      <c r="O137">
        <v>1</v>
      </c>
      <c r="P137">
        <v>26</v>
      </c>
      <c r="Q137" s="184" t="str">
        <f t="shared" si="6"/>
        <v>SDJ200126</v>
      </c>
      <c r="R137">
        <v>0</v>
      </c>
      <c r="S137">
        <v>26</v>
      </c>
      <c r="T137">
        <v>53</v>
      </c>
      <c r="U137">
        <v>80</v>
      </c>
      <c r="V137">
        <v>115</v>
      </c>
      <c r="W137">
        <v>145</v>
      </c>
      <c r="X137">
        <v>197</v>
      </c>
      <c r="Y137">
        <v>232</v>
      </c>
      <c r="Z137">
        <v>268</v>
      </c>
      <c r="AA137">
        <v>338</v>
      </c>
      <c r="AB137">
        <v>380</v>
      </c>
      <c r="AC137">
        <v>422</v>
      </c>
      <c r="AD137">
        <v>465</v>
      </c>
      <c r="AE137">
        <v>509</v>
      </c>
      <c r="AF137">
        <v>555</v>
      </c>
      <c r="AG137">
        <v>602</v>
      </c>
      <c r="AH137">
        <v>651</v>
      </c>
      <c r="AI137">
        <v>701</v>
      </c>
      <c r="AJ137">
        <v>753</v>
      </c>
      <c r="AK137">
        <v>807</v>
      </c>
      <c r="AL137">
        <v>825</v>
      </c>
      <c r="AM137">
        <v>843</v>
      </c>
      <c r="AN137">
        <v>862</v>
      </c>
      <c r="AO137">
        <v>883</v>
      </c>
      <c r="AP137">
        <v>907</v>
      </c>
      <c r="AQ137">
        <v>932</v>
      </c>
      <c r="AR137">
        <v>959</v>
      </c>
      <c r="AS137">
        <v>988</v>
      </c>
      <c r="AT137">
        <v>1019</v>
      </c>
      <c r="AU137">
        <v>1054</v>
      </c>
      <c r="AV137">
        <v>1090</v>
      </c>
      <c r="AW137">
        <v>1129</v>
      </c>
      <c r="AX137">
        <v>1173</v>
      </c>
      <c r="AY137">
        <v>1220</v>
      </c>
      <c r="AZ137">
        <v>1272</v>
      </c>
      <c r="BA137">
        <v>1328</v>
      </c>
      <c r="BB137">
        <v>1388</v>
      </c>
      <c r="BC137">
        <v>1455</v>
      </c>
      <c r="BD137">
        <v>1527</v>
      </c>
      <c r="BE137">
        <v>1610</v>
      </c>
      <c r="BF137">
        <v>1701</v>
      </c>
      <c r="BG137">
        <v>1801</v>
      </c>
      <c r="BH137">
        <v>1908</v>
      </c>
      <c r="BI137">
        <v>2028</v>
      </c>
      <c r="BJ137">
        <v>2169</v>
      </c>
      <c r="BK137">
        <v>2324</v>
      </c>
      <c r="BL137">
        <v>2499</v>
      </c>
      <c r="BM137">
        <v>2696</v>
      </c>
      <c r="BN137">
        <v>2920</v>
      </c>
      <c r="BO137">
        <v>3209</v>
      </c>
      <c r="BP137">
        <v>3547</v>
      </c>
      <c r="BQ137">
        <v>3933</v>
      </c>
      <c r="BR137">
        <v>4392</v>
      </c>
      <c r="BS137">
        <v>4919</v>
      </c>
      <c r="BT137">
        <v>5577</v>
      </c>
      <c r="BU137">
        <v>6376</v>
      </c>
      <c r="BV137">
        <v>7342</v>
      </c>
      <c r="BW137">
        <v>8535</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Z137" s="343" t="s">
        <v>633</v>
      </c>
      <c r="EA137" t="s">
        <v>1010</v>
      </c>
      <c r="EB137">
        <v>1</v>
      </c>
      <c r="EC137">
        <v>26</v>
      </c>
      <c r="ED137" s="184" t="str">
        <f t="shared" si="7"/>
        <v>SDJ200126</v>
      </c>
      <c r="EE137">
        <v>0</v>
      </c>
      <c r="EF137">
        <v>62</v>
      </c>
      <c r="EG137">
        <v>121</v>
      </c>
      <c r="EH137">
        <v>176</v>
      </c>
      <c r="EI137">
        <v>244</v>
      </c>
      <c r="EJ137">
        <v>297</v>
      </c>
      <c r="EK137">
        <v>392</v>
      </c>
      <c r="EL137">
        <v>450</v>
      </c>
      <c r="EM137">
        <v>507</v>
      </c>
      <c r="EN137">
        <v>623</v>
      </c>
      <c r="EO137">
        <v>684</v>
      </c>
      <c r="EP137">
        <v>741</v>
      </c>
      <c r="EQ137">
        <v>797</v>
      </c>
      <c r="ER137">
        <v>852</v>
      </c>
      <c r="ES137">
        <v>907</v>
      </c>
      <c r="ET137">
        <v>961</v>
      </c>
      <c r="EU137">
        <v>1015</v>
      </c>
      <c r="EV137">
        <v>1068</v>
      </c>
      <c r="EW137">
        <v>1121</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row>
    <row r="138" spans="13:245" hidden="1">
      <c r="M138" s="343" t="s">
        <v>633</v>
      </c>
      <c r="N138" t="s">
        <v>1010</v>
      </c>
      <c r="O138">
        <v>1</v>
      </c>
      <c r="P138">
        <v>27</v>
      </c>
      <c r="Q138" s="184" t="str">
        <f t="shared" si="6"/>
        <v>SDJ200127</v>
      </c>
      <c r="R138">
        <v>0</v>
      </c>
      <c r="S138">
        <v>27</v>
      </c>
      <c r="T138">
        <v>54</v>
      </c>
      <c r="U138">
        <v>82</v>
      </c>
      <c r="V138">
        <v>117</v>
      </c>
      <c r="W138">
        <v>147</v>
      </c>
      <c r="X138">
        <v>201</v>
      </c>
      <c r="Y138">
        <v>236</v>
      </c>
      <c r="Z138">
        <v>273</v>
      </c>
      <c r="AA138">
        <v>344</v>
      </c>
      <c r="AB138">
        <v>386</v>
      </c>
      <c r="AC138">
        <v>429</v>
      </c>
      <c r="AD138">
        <v>473</v>
      </c>
      <c r="AE138">
        <v>518</v>
      </c>
      <c r="AF138">
        <v>565</v>
      </c>
      <c r="AG138">
        <v>613</v>
      </c>
      <c r="AH138">
        <v>663</v>
      </c>
      <c r="AI138">
        <v>714</v>
      </c>
      <c r="AJ138">
        <v>768</v>
      </c>
      <c r="AK138">
        <v>825</v>
      </c>
      <c r="AL138">
        <v>843</v>
      </c>
      <c r="AM138">
        <v>862</v>
      </c>
      <c r="AN138">
        <v>883</v>
      </c>
      <c r="AO138">
        <v>907</v>
      </c>
      <c r="AP138">
        <v>932</v>
      </c>
      <c r="AQ138">
        <v>959</v>
      </c>
      <c r="AR138">
        <v>988</v>
      </c>
      <c r="AS138">
        <v>1019</v>
      </c>
      <c r="AT138">
        <v>1054</v>
      </c>
      <c r="AU138">
        <v>1090</v>
      </c>
      <c r="AV138">
        <v>1129</v>
      </c>
      <c r="AW138">
        <v>1173</v>
      </c>
      <c r="AX138">
        <v>1220</v>
      </c>
      <c r="AY138">
        <v>1272</v>
      </c>
      <c r="AZ138">
        <v>1328</v>
      </c>
      <c r="BA138">
        <v>1388</v>
      </c>
      <c r="BB138">
        <v>1455</v>
      </c>
      <c r="BC138">
        <v>1527</v>
      </c>
      <c r="BD138">
        <v>1610</v>
      </c>
      <c r="BE138">
        <v>1701</v>
      </c>
      <c r="BF138">
        <v>1801</v>
      </c>
      <c r="BG138">
        <v>1908</v>
      </c>
      <c r="BH138">
        <v>2028</v>
      </c>
      <c r="BI138">
        <v>2169</v>
      </c>
      <c r="BJ138">
        <v>2324</v>
      </c>
      <c r="BK138">
        <v>2499</v>
      </c>
      <c r="BL138">
        <v>2696</v>
      </c>
      <c r="BM138">
        <v>2920</v>
      </c>
      <c r="BN138">
        <v>3209</v>
      </c>
      <c r="BO138">
        <v>3547</v>
      </c>
      <c r="BP138">
        <v>3933</v>
      </c>
      <c r="BQ138">
        <v>4392</v>
      </c>
      <c r="BR138">
        <v>4919</v>
      </c>
      <c r="BS138">
        <v>5577</v>
      </c>
      <c r="BT138">
        <v>6376</v>
      </c>
      <c r="BU138">
        <v>7342</v>
      </c>
      <c r="BV138">
        <v>8535</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Z138" s="343" t="s">
        <v>633</v>
      </c>
      <c r="EA138" t="s">
        <v>1010</v>
      </c>
      <c r="EB138">
        <v>1</v>
      </c>
      <c r="EC138">
        <v>27</v>
      </c>
      <c r="ED138" s="184" t="str">
        <f t="shared" si="7"/>
        <v>SDJ200127</v>
      </c>
      <c r="EE138">
        <v>0</v>
      </c>
      <c r="EF138">
        <v>63</v>
      </c>
      <c r="EG138">
        <v>121</v>
      </c>
      <c r="EH138">
        <v>177</v>
      </c>
      <c r="EI138">
        <v>244</v>
      </c>
      <c r="EJ138">
        <v>296</v>
      </c>
      <c r="EK138">
        <v>393</v>
      </c>
      <c r="EL138">
        <v>450</v>
      </c>
      <c r="EM138">
        <v>507</v>
      </c>
      <c r="EN138">
        <v>624</v>
      </c>
      <c r="EO138">
        <v>683</v>
      </c>
      <c r="EP138">
        <v>741</v>
      </c>
      <c r="EQ138">
        <v>798</v>
      </c>
      <c r="ER138">
        <v>853</v>
      </c>
      <c r="ES138">
        <v>909</v>
      </c>
      <c r="ET138">
        <v>963</v>
      </c>
      <c r="EU138">
        <v>1018</v>
      </c>
      <c r="EV138">
        <v>1072</v>
      </c>
      <c r="EW138">
        <v>1127</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row>
    <row r="139" spans="13:245" hidden="1">
      <c r="M139" s="343" t="s">
        <v>633</v>
      </c>
      <c r="N139" t="s">
        <v>1010</v>
      </c>
      <c r="O139">
        <v>1</v>
      </c>
      <c r="P139">
        <v>28</v>
      </c>
      <c r="Q139" s="184" t="str">
        <f t="shared" si="6"/>
        <v>SDJ200128</v>
      </c>
      <c r="R139">
        <v>0</v>
      </c>
      <c r="S139">
        <v>27</v>
      </c>
      <c r="T139">
        <v>55</v>
      </c>
      <c r="U139">
        <v>83</v>
      </c>
      <c r="V139">
        <v>118</v>
      </c>
      <c r="W139">
        <v>150</v>
      </c>
      <c r="X139">
        <v>203</v>
      </c>
      <c r="Y139">
        <v>240</v>
      </c>
      <c r="Z139">
        <v>277</v>
      </c>
      <c r="AA139">
        <v>350</v>
      </c>
      <c r="AB139">
        <v>392</v>
      </c>
      <c r="AC139">
        <v>436</v>
      </c>
      <c r="AD139">
        <v>481</v>
      </c>
      <c r="AE139">
        <v>528</v>
      </c>
      <c r="AF139">
        <v>576</v>
      </c>
      <c r="AG139">
        <v>625</v>
      </c>
      <c r="AH139">
        <v>676</v>
      </c>
      <c r="AI139">
        <v>729</v>
      </c>
      <c r="AJ139">
        <v>785</v>
      </c>
      <c r="AK139">
        <v>843</v>
      </c>
      <c r="AL139">
        <v>862</v>
      </c>
      <c r="AM139">
        <v>883</v>
      </c>
      <c r="AN139">
        <v>907</v>
      </c>
      <c r="AO139">
        <v>932</v>
      </c>
      <c r="AP139">
        <v>959</v>
      </c>
      <c r="AQ139">
        <v>988</v>
      </c>
      <c r="AR139">
        <v>1019</v>
      </c>
      <c r="AS139">
        <v>1054</v>
      </c>
      <c r="AT139">
        <v>1090</v>
      </c>
      <c r="AU139">
        <v>1129</v>
      </c>
      <c r="AV139">
        <v>1173</v>
      </c>
      <c r="AW139">
        <v>1220</v>
      </c>
      <c r="AX139">
        <v>1272</v>
      </c>
      <c r="AY139">
        <v>1328</v>
      </c>
      <c r="AZ139">
        <v>1388</v>
      </c>
      <c r="BA139">
        <v>1455</v>
      </c>
      <c r="BB139">
        <v>1527</v>
      </c>
      <c r="BC139">
        <v>1610</v>
      </c>
      <c r="BD139">
        <v>1701</v>
      </c>
      <c r="BE139">
        <v>1801</v>
      </c>
      <c r="BF139">
        <v>1908</v>
      </c>
      <c r="BG139">
        <v>2028</v>
      </c>
      <c r="BH139">
        <v>2169</v>
      </c>
      <c r="BI139">
        <v>2324</v>
      </c>
      <c r="BJ139">
        <v>2499</v>
      </c>
      <c r="BK139">
        <v>2696</v>
      </c>
      <c r="BL139">
        <v>2920</v>
      </c>
      <c r="BM139">
        <v>3209</v>
      </c>
      <c r="BN139">
        <v>3547</v>
      </c>
      <c r="BO139">
        <v>3933</v>
      </c>
      <c r="BP139">
        <v>4392</v>
      </c>
      <c r="BQ139">
        <v>4919</v>
      </c>
      <c r="BR139">
        <v>5577</v>
      </c>
      <c r="BS139">
        <v>6376</v>
      </c>
      <c r="BT139">
        <v>7342</v>
      </c>
      <c r="BU139">
        <v>8535</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Z139" s="343" t="s">
        <v>633</v>
      </c>
      <c r="EA139" t="s">
        <v>1010</v>
      </c>
      <c r="EB139">
        <v>1</v>
      </c>
      <c r="EC139">
        <v>28</v>
      </c>
      <c r="ED139" s="184" t="str">
        <f t="shared" si="7"/>
        <v>SDJ200128</v>
      </c>
      <c r="EE139">
        <v>0</v>
      </c>
      <c r="EF139">
        <v>62</v>
      </c>
      <c r="EG139">
        <v>121</v>
      </c>
      <c r="EH139">
        <v>176</v>
      </c>
      <c r="EI139">
        <v>241</v>
      </c>
      <c r="EJ139">
        <v>297</v>
      </c>
      <c r="EK139">
        <v>390</v>
      </c>
      <c r="EL139">
        <v>449</v>
      </c>
      <c r="EM139">
        <v>506</v>
      </c>
      <c r="EN139">
        <v>624</v>
      </c>
      <c r="EO139">
        <v>682</v>
      </c>
      <c r="EP139">
        <v>741</v>
      </c>
      <c r="EQ139">
        <v>798</v>
      </c>
      <c r="ER139">
        <v>856</v>
      </c>
      <c r="ES139">
        <v>912</v>
      </c>
      <c r="ET139">
        <v>967</v>
      </c>
      <c r="EU139">
        <v>1023</v>
      </c>
      <c r="EV139">
        <v>1079</v>
      </c>
      <c r="EW139">
        <v>1136</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row>
    <row r="140" spans="13:245" hidden="1">
      <c r="M140" s="343" t="s">
        <v>633</v>
      </c>
      <c r="N140" t="s">
        <v>1010</v>
      </c>
      <c r="O140">
        <v>1</v>
      </c>
      <c r="P140">
        <v>29</v>
      </c>
      <c r="Q140" s="184" t="str">
        <f t="shared" si="6"/>
        <v>SDJ200129</v>
      </c>
      <c r="R140">
        <v>0</v>
      </c>
      <c r="S140">
        <v>28</v>
      </c>
      <c r="T140">
        <v>56</v>
      </c>
      <c r="U140">
        <v>84</v>
      </c>
      <c r="V140">
        <v>121</v>
      </c>
      <c r="W140">
        <v>152</v>
      </c>
      <c r="X140">
        <v>207</v>
      </c>
      <c r="Y140">
        <v>244</v>
      </c>
      <c r="Z140">
        <v>282</v>
      </c>
      <c r="AA140">
        <v>355</v>
      </c>
      <c r="AB140">
        <v>398</v>
      </c>
      <c r="AC140">
        <v>444</v>
      </c>
      <c r="AD140">
        <v>490</v>
      </c>
      <c r="AE140">
        <v>537</v>
      </c>
      <c r="AF140">
        <v>586</v>
      </c>
      <c r="AG140">
        <v>637</v>
      </c>
      <c r="AH140">
        <v>690</v>
      </c>
      <c r="AI140">
        <v>745</v>
      </c>
      <c r="AJ140">
        <v>802</v>
      </c>
      <c r="AK140">
        <v>862</v>
      </c>
      <c r="AL140">
        <v>883</v>
      </c>
      <c r="AM140">
        <v>907</v>
      </c>
      <c r="AN140">
        <v>932</v>
      </c>
      <c r="AO140">
        <v>959</v>
      </c>
      <c r="AP140">
        <v>988</v>
      </c>
      <c r="AQ140">
        <v>1019</v>
      </c>
      <c r="AR140">
        <v>1054</v>
      </c>
      <c r="AS140">
        <v>1090</v>
      </c>
      <c r="AT140">
        <v>1129</v>
      </c>
      <c r="AU140">
        <v>1173</v>
      </c>
      <c r="AV140">
        <v>1220</v>
      </c>
      <c r="AW140">
        <v>1272</v>
      </c>
      <c r="AX140">
        <v>1328</v>
      </c>
      <c r="AY140">
        <v>1388</v>
      </c>
      <c r="AZ140">
        <v>1455</v>
      </c>
      <c r="BA140">
        <v>1527</v>
      </c>
      <c r="BB140">
        <v>1610</v>
      </c>
      <c r="BC140">
        <v>1701</v>
      </c>
      <c r="BD140">
        <v>1801</v>
      </c>
      <c r="BE140">
        <v>1908</v>
      </c>
      <c r="BF140">
        <v>2028</v>
      </c>
      <c r="BG140">
        <v>2169</v>
      </c>
      <c r="BH140">
        <v>2324</v>
      </c>
      <c r="BI140">
        <v>2499</v>
      </c>
      <c r="BJ140">
        <v>2696</v>
      </c>
      <c r="BK140">
        <v>2920</v>
      </c>
      <c r="BL140">
        <v>3209</v>
      </c>
      <c r="BM140">
        <v>3547</v>
      </c>
      <c r="BN140">
        <v>3933</v>
      </c>
      <c r="BO140">
        <v>4392</v>
      </c>
      <c r="BP140">
        <v>4919</v>
      </c>
      <c r="BQ140">
        <v>5577</v>
      </c>
      <c r="BR140">
        <v>6376</v>
      </c>
      <c r="BS140">
        <v>7342</v>
      </c>
      <c r="BT140">
        <v>8535</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Z140" s="343" t="s">
        <v>633</v>
      </c>
      <c r="EA140" t="s">
        <v>1010</v>
      </c>
      <c r="EB140">
        <v>1</v>
      </c>
      <c r="EC140">
        <v>29</v>
      </c>
      <c r="ED140" s="184" t="str">
        <f t="shared" si="7"/>
        <v>SDJ200129</v>
      </c>
      <c r="EE140">
        <v>0</v>
      </c>
      <c r="EF140">
        <v>63</v>
      </c>
      <c r="EG140">
        <v>122</v>
      </c>
      <c r="EH140">
        <v>175</v>
      </c>
      <c r="EI140">
        <v>243</v>
      </c>
      <c r="EJ140">
        <v>295</v>
      </c>
      <c r="EK140">
        <v>390</v>
      </c>
      <c r="EL140">
        <v>449</v>
      </c>
      <c r="EM140">
        <v>506</v>
      </c>
      <c r="EN140">
        <v>622</v>
      </c>
      <c r="EO140">
        <v>681</v>
      </c>
      <c r="EP140">
        <v>742</v>
      </c>
      <c r="EQ140">
        <v>800</v>
      </c>
      <c r="ER140">
        <v>857</v>
      </c>
      <c r="ES140">
        <v>914</v>
      </c>
      <c r="ET140">
        <v>971</v>
      </c>
      <c r="EU140">
        <v>1029</v>
      </c>
      <c r="EV140">
        <v>1087</v>
      </c>
      <c r="EW140">
        <v>1145</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row>
    <row r="141" spans="13:245" hidden="1">
      <c r="M141" s="343" t="s">
        <v>633</v>
      </c>
      <c r="N141" t="s">
        <v>1010</v>
      </c>
      <c r="O141">
        <v>1</v>
      </c>
      <c r="P141">
        <v>30</v>
      </c>
      <c r="Q141" s="184" t="str">
        <f t="shared" si="6"/>
        <v>SDJ200130</v>
      </c>
      <c r="R141">
        <v>0</v>
      </c>
      <c r="S141">
        <v>28</v>
      </c>
      <c r="T141">
        <v>56</v>
      </c>
      <c r="U141">
        <v>86</v>
      </c>
      <c r="V141">
        <v>122</v>
      </c>
      <c r="W141">
        <v>154</v>
      </c>
      <c r="X141">
        <v>211</v>
      </c>
      <c r="Y141">
        <v>248</v>
      </c>
      <c r="Z141">
        <v>286</v>
      </c>
      <c r="AA141">
        <v>361</v>
      </c>
      <c r="AB141">
        <v>406</v>
      </c>
      <c r="AC141">
        <v>452</v>
      </c>
      <c r="AD141">
        <v>499</v>
      </c>
      <c r="AE141">
        <v>547</v>
      </c>
      <c r="AF141">
        <v>597</v>
      </c>
      <c r="AG141">
        <v>650</v>
      </c>
      <c r="AH141">
        <v>705</v>
      </c>
      <c r="AI141">
        <v>761</v>
      </c>
      <c r="AJ141">
        <v>821</v>
      </c>
      <c r="AK141">
        <v>883</v>
      </c>
      <c r="AL141">
        <v>907</v>
      </c>
      <c r="AM141">
        <v>932</v>
      </c>
      <c r="AN141">
        <v>959</v>
      </c>
      <c r="AO141">
        <v>988</v>
      </c>
      <c r="AP141">
        <v>1019</v>
      </c>
      <c r="AQ141">
        <v>1054</v>
      </c>
      <c r="AR141">
        <v>1090</v>
      </c>
      <c r="AS141">
        <v>1129</v>
      </c>
      <c r="AT141">
        <v>1173</v>
      </c>
      <c r="AU141">
        <v>1220</v>
      </c>
      <c r="AV141">
        <v>1272</v>
      </c>
      <c r="AW141">
        <v>1328</v>
      </c>
      <c r="AX141">
        <v>1388</v>
      </c>
      <c r="AY141">
        <v>1455</v>
      </c>
      <c r="AZ141">
        <v>1527</v>
      </c>
      <c r="BA141">
        <v>1610</v>
      </c>
      <c r="BB141">
        <v>1701</v>
      </c>
      <c r="BC141">
        <v>1801</v>
      </c>
      <c r="BD141">
        <v>1908</v>
      </c>
      <c r="BE141">
        <v>2028</v>
      </c>
      <c r="BF141">
        <v>2169</v>
      </c>
      <c r="BG141">
        <v>2324</v>
      </c>
      <c r="BH141">
        <v>2499</v>
      </c>
      <c r="BI141">
        <v>2696</v>
      </c>
      <c r="BJ141">
        <v>2920</v>
      </c>
      <c r="BK141">
        <v>3209</v>
      </c>
      <c r="BL141">
        <v>3547</v>
      </c>
      <c r="BM141">
        <v>3933</v>
      </c>
      <c r="BN141">
        <v>4392</v>
      </c>
      <c r="BO141">
        <v>4919</v>
      </c>
      <c r="BP141">
        <v>5577</v>
      </c>
      <c r="BQ141">
        <v>6376</v>
      </c>
      <c r="BR141">
        <v>7342</v>
      </c>
      <c r="BS141">
        <v>8535</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Z141" s="343" t="s">
        <v>633</v>
      </c>
      <c r="EA141" t="s">
        <v>1010</v>
      </c>
      <c r="EB141">
        <v>1</v>
      </c>
      <c r="EC141">
        <v>30</v>
      </c>
      <c r="ED141" s="184" t="str">
        <f t="shared" si="7"/>
        <v>SDJ200130</v>
      </c>
      <c r="EE141">
        <v>0</v>
      </c>
      <c r="EF141">
        <v>62</v>
      </c>
      <c r="EG141">
        <v>119</v>
      </c>
      <c r="EH141">
        <v>176</v>
      </c>
      <c r="EI141">
        <v>241</v>
      </c>
      <c r="EJ141">
        <v>294</v>
      </c>
      <c r="EK141">
        <v>391</v>
      </c>
      <c r="EL141">
        <v>449</v>
      </c>
      <c r="EM141">
        <v>505</v>
      </c>
      <c r="EN141">
        <v>622</v>
      </c>
      <c r="EO141">
        <v>683</v>
      </c>
      <c r="EP141">
        <v>743</v>
      </c>
      <c r="EQ141">
        <v>802</v>
      </c>
      <c r="ER141">
        <v>859</v>
      </c>
      <c r="ES141">
        <v>917</v>
      </c>
      <c r="ET141">
        <v>977</v>
      </c>
      <c r="EU141">
        <v>1037</v>
      </c>
      <c r="EV141">
        <v>1095</v>
      </c>
      <c r="EW141">
        <v>1156</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row>
    <row r="142" spans="13:245" hidden="1">
      <c r="M142" s="343" t="s">
        <v>633</v>
      </c>
      <c r="N142" t="s">
        <v>1010</v>
      </c>
      <c r="O142">
        <v>1</v>
      </c>
      <c r="P142">
        <v>31</v>
      </c>
      <c r="Q142" s="184" t="str">
        <f t="shared" si="6"/>
        <v>SDJ200131</v>
      </c>
      <c r="R142">
        <v>0</v>
      </c>
      <c r="S142">
        <v>29</v>
      </c>
      <c r="T142">
        <v>57</v>
      </c>
      <c r="U142">
        <v>87</v>
      </c>
      <c r="V142">
        <v>125</v>
      </c>
      <c r="W142">
        <v>158</v>
      </c>
      <c r="X142">
        <v>214</v>
      </c>
      <c r="Y142">
        <v>252</v>
      </c>
      <c r="Z142">
        <v>291</v>
      </c>
      <c r="AA142">
        <v>368</v>
      </c>
      <c r="AB142">
        <v>413</v>
      </c>
      <c r="AC142">
        <v>460</v>
      </c>
      <c r="AD142">
        <v>508</v>
      </c>
      <c r="AE142">
        <v>558</v>
      </c>
      <c r="AF142">
        <v>610</v>
      </c>
      <c r="AG142">
        <v>664</v>
      </c>
      <c r="AH142">
        <v>720</v>
      </c>
      <c r="AI142">
        <v>779</v>
      </c>
      <c r="AJ142">
        <v>841</v>
      </c>
      <c r="AK142">
        <v>907</v>
      </c>
      <c r="AL142">
        <v>932</v>
      </c>
      <c r="AM142">
        <v>959</v>
      </c>
      <c r="AN142">
        <v>988</v>
      </c>
      <c r="AO142">
        <v>1019</v>
      </c>
      <c r="AP142">
        <v>1054</v>
      </c>
      <c r="AQ142">
        <v>1090</v>
      </c>
      <c r="AR142">
        <v>1129</v>
      </c>
      <c r="AS142">
        <v>1173</v>
      </c>
      <c r="AT142">
        <v>1220</v>
      </c>
      <c r="AU142">
        <v>1272</v>
      </c>
      <c r="AV142">
        <v>1328</v>
      </c>
      <c r="AW142">
        <v>1388</v>
      </c>
      <c r="AX142">
        <v>1455</v>
      </c>
      <c r="AY142">
        <v>1527</v>
      </c>
      <c r="AZ142">
        <v>1610</v>
      </c>
      <c r="BA142">
        <v>1701</v>
      </c>
      <c r="BB142">
        <v>1801</v>
      </c>
      <c r="BC142">
        <v>1908</v>
      </c>
      <c r="BD142">
        <v>2028</v>
      </c>
      <c r="BE142">
        <v>2169</v>
      </c>
      <c r="BF142">
        <v>2324</v>
      </c>
      <c r="BG142">
        <v>2499</v>
      </c>
      <c r="BH142">
        <v>2696</v>
      </c>
      <c r="BI142">
        <v>2920</v>
      </c>
      <c r="BJ142">
        <v>3209</v>
      </c>
      <c r="BK142">
        <v>3547</v>
      </c>
      <c r="BL142">
        <v>3933</v>
      </c>
      <c r="BM142">
        <v>4392</v>
      </c>
      <c r="BN142">
        <v>4919</v>
      </c>
      <c r="BO142">
        <v>5577</v>
      </c>
      <c r="BP142">
        <v>6376</v>
      </c>
      <c r="BQ142">
        <v>7342</v>
      </c>
      <c r="BR142">
        <v>8535</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Z142" s="343" t="s">
        <v>633</v>
      </c>
      <c r="EA142" t="s">
        <v>1010</v>
      </c>
      <c r="EB142">
        <v>1</v>
      </c>
      <c r="EC142">
        <v>31</v>
      </c>
      <c r="ED142" s="184" t="str">
        <f t="shared" si="7"/>
        <v>SDJ200131</v>
      </c>
      <c r="EE142">
        <v>0</v>
      </c>
      <c r="EF142">
        <v>63</v>
      </c>
      <c r="EG142">
        <v>119</v>
      </c>
      <c r="EH142">
        <v>175</v>
      </c>
      <c r="EI142">
        <v>243</v>
      </c>
      <c r="EJ142">
        <v>296</v>
      </c>
      <c r="EK142">
        <v>390</v>
      </c>
      <c r="EL142">
        <v>448</v>
      </c>
      <c r="EM142">
        <v>505</v>
      </c>
      <c r="EN142">
        <v>624</v>
      </c>
      <c r="EO142">
        <v>684</v>
      </c>
      <c r="EP142">
        <v>745</v>
      </c>
      <c r="EQ142">
        <v>804</v>
      </c>
      <c r="ER142">
        <v>864</v>
      </c>
      <c r="ES142">
        <v>924</v>
      </c>
      <c r="ET142">
        <v>984</v>
      </c>
      <c r="EU142">
        <v>1044</v>
      </c>
      <c r="EV142">
        <v>1106</v>
      </c>
      <c r="EW142">
        <v>1169</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0</v>
      </c>
      <c r="IA142">
        <v>0</v>
      </c>
      <c r="IB142">
        <v>0</v>
      </c>
      <c r="IC142">
        <v>0</v>
      </c>
      <c r="ID142">
        <v>0</v>
      </c>
      <c r="IE142">
        <v>0</v>
      </c>
      <c r="IF142">
        <v>0</v>
      </c>
      <c r="IG142">
        <v>0</v>
      </c>
      <c r="IH142">
        <v>0</v>
      </c>
      <c r="II142">
        <v>0</v>
      </c>
      <c r="IJ142">
        <v>0</v>
      </c>
      <c r="IK142">
        <v>0</v>
      </c>
    </row>
    <row r="143" spans="13:245" hidden="1">
      <c r="M143" s="343" t="s">
        <v>633</v>
      </c>
      <c r="N143" t="s">
        <v>1010</v>
      </c>
      <c r="O143">
        <v>1</v>
      </c>
      <c r="P143">
        <v>32</v>
      </c>
      <c r="Q143" s="184" t="str">
        <f t="shared" si="6"/>
        <v>SDJ200132</v>
      </c>
      <c r="R143">
        <v>0</v>
      </c>
      <c r="S143">
        <v>29</v>
      </c>
      <c r="T143">
        <v>59</v>
      </c>
      <c r="U143">
        <v>89</v>
      </c>
      <c r="V143">
        <v>127</v>
      </c>
      <c r="W143">
        <v>160</v>
      </c>
      <c r="X143">
        <v>218</v>
      </c>
      <c r="Y143">
        <v>257</v>
      </c>
      <c r="Z143">
        <v>296</v>
      </c>
      <c r="AA143">
        <v>375</v>
      </c>
      <c r="AB143">
        <v>421</v>
      </c>
      <c r="AC143">
        <v>469</v>
      </c>
      <c r="AD143">
        <v>518</v>
      </c>
      <c r="AE143">
        <v>570</v>
      </c>
      <c r="AF143">
        <v>623</v>
      </c>
      <c r="AG143">
        <v>679</v>
      </c>
      <c r="AH143">
        <v>737</v>
      </c>
      <c r="AI143">
        <v>798</v>
      </c>
      <c r="AJ143">
        <v>863</v>
      </c>
      <c r="AK143">
        <v>932</v>
      </c>
      <c r="AL143">
        <v>959</v>
      </c>
      <c r="AM143">
        <v>988</v>
      </c>
      <c r="AN143">
        <v>1019</v>
      </c>
      <c r="AO143">
        <v>1054</v>
      </c>
      <c r="AP143">
        <v>1090</v>
      </c>
      <c r="AQ143">
        <v>1129</v>
      </c>
      <c r="AR143">
        <v>1173</v>
      </c>
      <c r="AS143">
        <v>1220</v>
      </c>
      <c r="AT143">
        <v>1272</v>
      </c>
      <c r="AU143">
        <v>1328</v>
      </c>
      <c r="AV143">
        <v>1388</v>
      </c>
      <c r="AW143">
        <v>1455</v>
      </c>
      <c r="AX143">
        <v>1527</v>
      </c>
      <c r="AY143">
        <v>1610</v>
      </c>
      <c r="AZ143">
        <v>1701</v>
      </c>
      <c r="BA143">
        <v>1801</v>
      </c>
      <c r="BB143">
        <v>1908</v>
      </c>
      <c r="BC143">
        <v>2028</v>
      </c>
      <c r="BD143">
        <v>2169</v>
      </c>
      <c r="BE143">
        <v>2324</v>
      </c>
      <c r="BF143">
        <v>2499</v>
      </c>
      <c r="BG143">
        <v>2696</v>
      </c>
      <c r="BH143">
        <v>2920</v>
      </c>
      <c r="BI143">
        <v>3209</v>
      </c>
      <c r="BJ143">
        <v>3547</v>
      </c>
      <c r="BK143">
        <v>3933</v>
      </c>
      <c r="BL143">
        <v>4392</v>
      </c>
      <c r="BM143">
        <v>4919</v>
      </c>
      <c r="BN143">
        <v>5577</v>
      </c>
      <c r="BO143">
        <v>6376</v>
      </c>
      <c r="BP143">
        <v>7342</v>
      </c>
      <c r="BQ143">
        <v>8535</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Z143" s="343" t="s">
        <v>633</v>
      </c>
      <c r="EA143" t="s">
        <v>1010</v>
      </c>
      <c r="EB143">
        <v>1</v>
      </c>
      <c r="EC143">
        <v>32</v>
      </c>
      <c r="ED143" s="184" t="str">
        <f t="shared" si="7"/>
        <v>SDJ200132</v>
      </c>
      <c r="EE143">
        <v>0</v>
      </c>
      <c r="EF143">
        <v>62</v>
      </c>
      <c r="EG143">
        <v>121</v>
      </c>
      <c r="EH143">
        <v>176</v>
      </c>
      <c r="EI143">
        <v>242</v>
      </c>
      <c r="EJ143">
        <v>295</v>
      </c>
      <c r="EK143">
        <v>391</v>
      </c>
      <c r="EL143">
        <v>450</v>
      </c>
      <c r="EM143">
        <v>506</v>
      </c>
      <c r="EN143">
        <v>626</v>
      </c>
      <c r="EO143">
        <v>687</v>
      </c>
      <c r="EP143">
        <v>748</v>
      </c>
      <c r="EQ143">
        <v>808</v>
      </c>
      <c r="ER143">
        <v>870</v>
      </c>
      <c r="ES143">
        <v>931</v>
      </c>
      <c r="ET143">
        <v>993</v>
      </c>
      <c r="EU143">
        <v>1055</v>
      </c>
      <c r="EV143">
        <v>1119</v>
      </c>
      <c r="EW143">
        <v>1185</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c r="HX143">
        <v>0</v>
      </c>
      <c r="HY143">
        <v>0</v>
      </c>
      <c r="HZ143">
        <v>0</v>
      </c>
      <c r="IA143">
        <v>0</v>
      </c>
      <c r="IB143">
        <v>0</v>
      </c>
      <c r="IC143">
        <v>0</v>
      </c>
      <c r="ID143">
        <v>0</v>
      </c>
      <c r="IE143">
        <v>0</v>
      </c>
      <c r="IF143">
        <v>0</v>
      </c>
      <c r="IG143">
        <v>0</v>
      </c>
      <c r="IH143">
        <v>0</v>
      </c>
      <c r="II143">
        <v>0</v>
      </c>
      <c r="IJ143">
        <v>0</v>
      </c>
      <c r="IK143">
        <v>0</v>
      </c>
    </row>
    <row r="144" spans="13:245" hidden="1">
      <c r="M144" s="343" t="s">
        <v>633</v>
      </c>
      <c r="N144" t="s">
        <v>1010</v>
      </c>
      <c r="O144">
        <v>1</v>
      </c>
      <c r="P144">
        <v>33</v>
      </c>
      <c r="Q144" s="184" t="str">
        <f t="shared" si="6"/>
        <v>SDJ200133</v>
      </c>
      <c r="R144">
        <v>0</v>
      </c>
      <c r="S144">
        <v>29</v>
      </c>
      <c r="T144">
        <v>59</v>
      </c>
      <c r="U144">
        <v>90</v>
      </c>
      <c r="V144">
        <v>130</v>
      </c>
      <c r="W144">
        <v>163</v>
      </c>
      <c r="X144">
        <v>221</v>
      </c>
      <c r="Y144">
        <v>262</v>
      </c>
      <c r="Z144">
        <v>302</v>
      </c>
      <c r="AA144">
        <v>382</v>
      </c>
      <c r="AB144">
        <v>429</v>
      </c>
      <c r="AC144">
        <v>478</v>
      </c>
      <c r="AD144">
        <v>529</v>
      </c>
      <c r="AE144">
        <v>583</v>
      </c>
      <c r="AF144">
        <v>638</v>
      </c>
      <c r="AG144">
        <v>695</v>
      </c>
      <c r="AH144">
        <v>755</v>
      </c>
      <c r="AI144">
        <v>820</v>
      </c>
      <c r="AJ144">
        <v>888</v>
      </c>
      <c r="AK144">
        <v>959</v>
      </c>
      <c r="AL144">
        <v>988</v>
      </c>
      <c r="AM144">
        <v>1019</v>
      </c>
      <c r="AN144">
        <v>1054</v>
      </c>
      <c r="AO144">
        <v>1090</v>
      </c>
      <c r="AP144">
        <v>1129</v>
      </c>
      <c r="AQ144">
        <v>1173</v>
      </c>
      <c r="AR144">
        <v>1220</v>
      </c>
      <c r="AS144">
        <v>1272</v>
      </c>
      <c r="AT144">
        <v>1328</v>
      </c>
      <c r="AU144">
        <v>1388</v>
      </c>
      <c r="AV144">
        <v>1455</v>
      </c>
      <c r="AW144">
        <v>1527</v>
      </c>
      <c r="AX144">
        <v>1610</v>
      </c>
      <c r="AY144">
        <v>1701</v>
      </c>
      <c r="AZ144">
        <v>1801</v>
      </c>
      <c r="BA144">
        <v>1908</v>
      </c>
      <c r="BB144">
        <v>2028</v>
      </c>
      <c r="BC144">
        <v>2169</v>
      </c>
      <c r="BD144">
        <v>2324</v>
      </c>
      <c r="BE144">
        <v>2499</v>
      </c>
      <c r="BF144">
        <v>2696</v>
      </c>
      <c r="BG144">
        <v>2920</v>
      </c>
      <c r="BH144">
        <v>3209</v>
      </c>
      <c r="BI144">
        <v>3547</v>
      </c>
      <c r="BJ144">
        <v>3933</v>
      </c>
      <c r="BK144">
        <v>4392</v>
      </c>
      <c r="BL144">
        <v>4919</v>
      </c>
      <c r="BM144">
        <v>5577</v>
      </c>
      <c r="BN144">
        <v>6376</v>
      </c>
      <c r="BO144">
        <v>7342</v>
      </c>
      <c r="BP144">
        <v>8535</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Z144" s="343" t="s">
        <v>633</v>
      </c>
      <c r="EA144" t="s">
        <v>1010</v>
      </c>
      <c r="EB144">
        <v>1</v>
      </c>
      <c r="EC144">
        <v>33</v>
      </c>
      <c r="ED144" s="184" t="str">
        <f t="shared" si="7"/>
        <v>SDJ200133</v>
      </c>
      <c r="EE144">
        <v>0</v>
      </c>
      <c r="EF144">
        <v>61</v>
      </c>
      <c r="EG144">
        <v>119</v>
      </c>
      <c r="EH144">
        <v>175</v>
      </c>
      <c r="EI144">
        <v>244</v>
      </c>
      <c r="EJ144">
        <v>296</v>
      </c>
      <c r="EK144">
        <v>390</v>
      </c>
      <c r="EL144">
        <v>451</v>
      </c>
      <c r="EM144">
        <v>508</v>
      </c>
      <c r="EN144">
        <v>628</v>
      </c>
      <c r="EO144">
        <v>689</v>
      </c>
      <c r="EP144">
        <v>751</v>
      </c>
      <c r="EQ144">
        <v>814</v>
      </c>
      <c r="ER144">
        <v>878</v>
      </c>
      <c r="ES144">
        <v>940</v>
      </c>
      <c r="ET144">
        <v>1003</v>
      </c>
      <c r="EU144">
        <v>1067</v>
      </c>
      <c r="EV144">
        <v>1136</v>
      </c>
      <c r="EW144">
        <v>1205</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row>
    <row r="145" spans="13:245" hidden="1">
      <c r="M145" s="343" t="s">
        <v>633</v>
      </c>
      <c r="N145" t="s">
        <v>1010</v>
      </c>
      <c r="O145">
        <v>1</v>
      </c>
      <c r="P145">
        <v>34</v>
      </c>
      <c r="Q145" s="184" t="str">
        <f t="shared" si="6"/>
        <v>SDJ200134</v>
      </c>
      <c r="R145">
        <v>0</v>
      </c>
      <c r="S145">
        <v>30</v>
      </c>
      <c r="T145">
        <v>61</v>
      </c>
      <c r="U145">
        <v>92</v>
      </c>
      <c r="V145">
        <v>132</v>
      </c>
      <c r="W145">
        <v>166</v>
      </c>
      <c r="X145">
        <v>227</v>
      </c>
      <c r="Y145">
        <v>267</v>
      </c>
      <c r="Z145">
        <v>308</v>
      </c>
      <c r="AA145">
        <v>390</v>
      </c>
      <c r="AB145">
        <v>438</v>
      </c>
      <c r="AC145">
        <v>489</v>
      </c>
      <c r="AD145">
        <v>541</v>
      </c>
      <c r="AE145">
        <v>596</v>
      </c>
      <c r="AF145">
        <v>653</v>
      </c>
      <c r="AG145">
        <v>712</v>
      </c>
      <c r="AH145">
        <v>776</v>
      </c>
      <c r="AI145">
        <v>843</v>
      </c>
      <c r="AJ145">
        <v>914</v>
      </c>
      <c r="AK145">
        <v>988</v>
      </c>
      <c r="AL145">
        <v>1019</v>
      </c>
      <c r="AM145">
        <v>1054</v>
      </c>
      <c r="AN145">
        <v>1090</v>
      </c>
      <c r="AO145">
        <v>1129</v>
      </c>
      <c r="AP145">
        <v>1173</v>
      </c>
      <c r="AQ145">
        <v>1220</v>
      </c>
      <c r="AR145">
        <v>1272</v>
      </c>
      <c r="AS145">
        <v>1328</v>
      </c>
      <c r="AT145">
        <v>1388</v>
      </c>
      <c r="AU145">
        <v>1455</v>
      </c>
      <c r="AV145">
        <v>1527</v>
      </c>
      <c r="AW145">
        <v>1610</v>
      </c>
      <c r="AX145">
        <v>1701</v>
      </c>
      <c r="AY145">
        <v>1801</v>
      </c>
      <c r="AZ145">
        <v>1908</v>
      </c>
      <c r="BA145">
        <v>2028</v>
      </c>
      <c r="BB145">
        <v>2169</v>
      </c>
      <c r="BC145">
        <v>2324</v>
      </c>
      <c r="BD145">
        <v>2499</v>
      </c>
      <c r="BE145">
        <v>2696</v>
      </c>
      <c r="BF145">
        <v>2920</v>
      </c>
      <c r="BG145">
        <v>3209</v>
      </c>
      <c r="BH145">
        <v>3547</v>
      </c>
      <c r="BI145">
        <v>3933</v>
      </c>
      <c r="BJ145">
        <v>4392</v>
      </c>
      <c r="BK145">
        <v>4919</v>
      </c>
      <c r="BL145">
        <v>5577</v>
      </c>
      <c r="BM145">
        <v>6376</v>
      </c>
      <c r="BN145">
        <v>7342</v>
      </c>
      <c r="BO145">
        <v>8535</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Z145" s="343" t="s">
        <v>633</v>
      </c>
      <c r="EA145" t="s">
        <v>1010</v>
      </c>
      <c r="EB145">
        <v>1</v>
      </c>
      <c r="EC145">
        <v>34</v>
      </c>
      <c r="ED145" s="184" t="str">
        <f t="shared" si="7"/>
        <v>SDJ200134</v>
      </c>
      <c r="EE145">
        <v>0</v>
      </c>
      <c r="EF145">
        <v>62</v>
      </c>
      <c r="EG145">
        <v>121</v>
      </c>
      <c r="EH145">
        <v>175</v>
      </c>
      <c r="EI145">
        <v>243</v>
      </c>
      <c r="EJ145">
        <v>296</v>
      </c>
      <c r="EK145">
        <v>394</v>
      </c>
      <c r="EL145">
        <v>453</v>
      </c>
      <c r="EM145">
        <v>510</v>
      </c>
      <c r="EN145">
        <v>631</v>
      </c>
      <c r="EO145">
        <v>693</v>
      </c>
      <c r="EP145">
        <v>757</v>
      </c>
      <c r="EQ145">
        <v>820</v>
      </c>
      <c r="ER145">
        <v>885</v>
      </c>
      <c r="ES145">
        <v>950</v>
      </c>
      <c r="ET145">
        <v>1014</v>
      </c>
      <c r="EU145">
        <v>1083</v>
      </c>
      <c r="EV145">
        <v>1153</v>
      </c>
      <c r="EW145">
        <v>1226</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c r="IK145">
        <v>0</v>
      </c>
    </row>
    <row r="146" spans="13:245" hidden="1">
      <c r="M146" s="343" t="s">
        <v>633</v>
      </c>
      <c r="N146" t="s">
        <v>1010</v>
      </c>
      <c r="O146">
        <v>1</v>
      </c>
      <c r="P146">
        <v>35</v>
      </c>
      <c r="Q146" s="184" t="str">
        <f t="shared" si="6"/>
        <v>SDJ200135</v>
      </c>
      <c r="R146">
        <v>0</v>
      </c>
      <c r="S146">
        <v>31</v>
      </c>
      <c r="T146">
        <v>62</v>
      </c>
      <c r="U146">
        <v>94</v>
      </c>
      <c r="V146">
        <v>134</v>
      </c>
      <c r="W146">
        <v>169</v>
      </c>
      <c r="X146">
        <v>230</v>
      </c>
      <c r="Y146">
        <v>272</v>
      </c>
      <c r="Z146">
        <v>314</v>
      </c>
      <c r="AA146">
        <v>397</v>
      </c>
      <c r="AB146">
        <v>448</v>
      </c>
      <c r="AC146">
        <v>500</v>
      </c>
      <c r="AD146">
        <v>554</v>
      </c>
      <c r="AE146">
        <v>610</v>
      </c>
      <c r="AF146">
        <v>669</v>
      </c>
      <c r="AG146">
        <v>732</v>
      </c>
      <c r="AH146">
        <v>799</v>
      </c>
      <c r="AI146">
        <v>868</v>
      </c>
      <c r="AJ146">
        <v>941</v>
      </c>
      <c r="AK146">
        <v>1019</v>
      </c>
      <c r="AL146">
        <v>1054</v>
      </c>
      <c r="AM146">
        <v>1090</v>
      </c>
      <c r="AN146">
        <v>1129</v>
      </c>
      <c r="AO146">
        <v>1173</v>
      </c>
      <c r="AP146">
        <v>1220</v>
      </c>
      <c r="AQ146">
        <v>1272</v>
      </c>
      <c r="AR146">
        <v>1328</v>
      </c>
      <c r="AS146">
        <v>1388</v>
      </c>
      <c r="AT146">
        <v>1455</v>
      </c>
      <c r="AU146">
        <v>1527</v>
      </c>
      <c r="AV146">
        <v>1610</v>
      </c>
      <c r="AW146">
        <v>1701</v>
      </c>
      <c r="AX146">
        <v>1801</v>
      </c>
      <c r="AY146">
        <v>1908</v>
      </c>
      <c r="AZ146">
        <v>2028</v>
      </c>
      <c r="BA146">
        <v>2169</v>
      </c>
      <c r="BB146">
        <v>2324</v>
      </c>
      <c r="BC146">
        <v>2499</v>
      </c>
      <c r="BD146">
        <v>2696</v>
      </c>
      <c r="BE146">
        <v>2920</v>
      </c>
      <c r="BF146">
        <v>3209</v>
      </c>
      <c r="BG146">
        <v>3547</v>
      </c>
      <c r="BH146">
        <v>3933</v>
      </c>
      <c r="BI146">
        <v>4392</v>
      </c>
      <c r="BJ146">
        <v>4919</v>
      </c>
      <c r="BK146">
        <v>5577</v>
      </c>
      <c r="BL146">
        <v>6376</v>
      </c>
      <c r="BM146">
        <v>7342</v>
      </c>
      <c r="BN146">
        <v>8535</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Z146" s="343" t="s">
        <v>633</v>
      </c>
      <c r="EA146" t="s">
        <v>1010</v>
      </c>
      <c r="EB146">
        <v>1</v>
      </c>
      <c r="EC146">
        <v>35</v>
      </c>
      <c r="ED146" s="184" t="str">
        <f t="shared" si="7"/>
        <v>SDJ200135</v>
      </c>
      <c r="EE146">
        <v>0</v>
      </c>
      <c r="EF146">
        <v>63</v>
      </c>
      <c r="EG146">
        <v>121</v>
      </c>
      <c r="EH146">
        <v>176</v>
      </c>
      <c r="EI146">
        <v>243</v>
      </c>
      <c r="EJ146">
        <v>297</v>
      </c>
      <c r="EK146">
        <v>393</v>
      </c>
      <c r="EL146">
        <v>454</v>
      </c>
      <c r="EM146">
        <v>512</v>
      </c>
      <c r="EN146">
        <v>633</v>
      </c>
      <c r="EO146">
        <v>699</v>
      </c>
      <c r="EP146">
        <v>763</v>
      </c>
      <c r="EQ146">
        <v>828</v>
      </c>
      <c r="ER146">
        <v>893</v>
      </c>
      <c r="ES146">
        <v>960</v>
      </c>
      <c r="ET146">
        <v>1029</v>
      </c>
      <c r="EU146">
        <v>1101</v>
      </c>
      <c r="EV146">
        <v>1173</v>
      </c>
      <c r="EW146">
        <v>1247</v>
      </c>
      <c r="EX146">
        <v>0</v>
      </c>
      <c r="EY146">
        <v>0</v>
      </c>
      <c r="EZ146">
        <v>0</v>
      </c>
      <c r="FA146">
        <v>0</v>
      </c>
      <c r="FB146">
        <v>0</v>
      </c>
      <c r="FC146">
        <v>0</v>
      </c>
      <c r="FD146">
        <v>0</v>
      </c>
      <c r="FE146">
        <v>0</v>
      </c>
      <c r="FF146">
        <v>0</v>
      </c>
      <c r="FG146">
        <v>0</v>
      </c>
      <c r="FH146">
        <v>0</v>
      </c>
      <c r="FI146">
        <v>0</v>
      </c>
      <c r="FJ146">
        <v>0</v>
      </c>
      <c r="FK146">
        <v>0</v>
      </c>
      <c r="FL146">
        <v>0</v>
      </c>
      <c r="FM146">
        <v>0</v>
      </c>
      <c r="FN146">
        <v>0</v>
      </c>
      <c r="FO146">
        <v>0</v>
      </c>
      <c r="FP146">
        <v>0</v>
      </c>
      <c r="FQ146">
        <v>0</v>
      </c>
      <c r="FR146">
        <v>0</v>
      </c>
      <c r="FS146">
        <v>0</v>
      </c>
      <c r="FT146">
        <v>0</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row>
    <row r="147" spans="13:245" hidden="1">
      <c r="M147" s="343" t="s">
        <v>633</v>
      </c>
      <c r="N147" t="s">
        <v>1010</v>
      </c>
      <c r="O147">
        <v>1</v>
      </c>
      <c r="P147">
        <v>36</v>
      </c>
      <c r="Q147" s="184" t="str">
        <f t="shared" si="6"/>
        <v>SDJ200136</v>
      </c>
      <c r="R147">
        <v>0</v>
      </c>
      <c r="S147">
        <v>32</v>
      </c>
      <c r="T147">
        <v>63</v>
      </c>
      <c r="U147">
        <v>95</v>
      </c>
      <c r="V147">
        <v>137</v>
      </c>
      <c r="W147">
        <v>173</v>
      </c>
      <c r="X147">
        <v>236</v>
      </c>
      <c r="Y147">
        <v>277</v>
      </c>
      <c r="Z147">
        <v>320</v>
      </c>
      <c r="AA147">
        <v>406</v>
      </c>
      <c r="AB147">
        <v>458</v>
      </c>
      <c r="AC147">
        <v>511</v>
      </c>
      <c r="AD147">
        <v>567</v>
      </c>
      <c r="AE147">
        <v>626</v>
      </c>
      <c r="AF147">
        <v>688</v>
      </c>
      <c r="AG147">
        <v>754</v>
      </c>
      <c r="AH147">
        <v>822</v>
      </c>
      <c r="AI147">
        <v>894</v>
      </c>
      <c r="AJ147">
        <v>971</v>
      </c>
      <c r="AK147">
        <v>1054</v>
      </c>
      <c r="AL147">
        <v>1090</v>
      </c>
      <c r="AM147">
        <v>1129</v>
      </c>
      <c r="AN147">
        <v>1173</v>
      </c>
      <c r="AO147">
        <v>1220</v>
      </c>
      <c r="AP147">
        <v>1272</v>
      </c>
      <c r="AQ147">
        <v>1328</v>
      </c>
      <c r="AR147">
        <v>1388</v>
      </c>
      <c r="AS147">
        <v>1455</v>
      </c>
      <c r="AT147">
        <v>1527</v>
      </c>
      <c r="AU147">
        <v>1610</v>
      </c>
      <c r="AV147">
        <v>1701</v>
      </c>
      <c r="AW147">
        <v>1801</v>
      </c>
      <c r="AX147">
        <v>1908</v>
      </c>
      <c r="AY147">
        <v>2028</v>
      </c>
      <c r="AZ147">
        <v>2169</v>
      </c>
      <c r="BA147">
        <v>2324</v>
      </c>
      <c r="BB147">
        <v>2499</v>
      </c>
      <c r="BC147">
        <v>2696</v>
      </c>
      <c r="BD147">
        <v>2920</v>
      </c>
      <c r="BE147">
        <v>3209</v>
      </c>
      <c r="BF147">
        <v>3547</v>
      </c>
      <c r="BG147">
        <v>3933</v>
      </c>
      <c r="BH147">
        <v>4392</v>
      </c>
      <c r="BI147">
        <v>4919</v>
      </c>
      <c r="BJ147">
        <v>5577</v>
      </c>
      <c r="BK147">
        <v>6376</v>
      </c>
      <c r="BL147">
        <v>7342</v>
      </c>
      <c r="BM147">
        <v>8535</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Z147" s="343" t="s">
        <v>633</v>
      </c>
      <c r="EA147" t="s">
        <v>1010</v>
      </c>
      <c r="EB147">
        <v>1</v>
      </c>
      <c r="EC147">
        <v>36</v>
      </c>
      <c r="ED147" s="184" t="str">
        <f t="shared" si="7"/>
        <v>SDJ200136</v>
      </c>
      <c r="EE147">
        <v>0</v>
      </c>
      <c r="EF147">
        <v>64</v>
      </c>
      <c r="EG147">
        <v>121</v>
      </c>
      <c r="EH147">
        <v>175</v>
      </c>
      <c r="EI147">
        <v>245</v>
      </c>
      <c r="EJ147">
        <v>299</v>
      </c>
      <c r="EK147">
        <v>397</v>
      </c>
      <c r="EL147">
        <v>455</v>
      </c>
      <c r="EM147">
        <v>514</v>
      </c>
      <c r="EN147">
        <v>638</v>
      </c>
      <c r="EO147">
        <v>704</v>
      </c>
      <c r="EP147">
        <v>769</v>
      </c>
      <c r="EQ147">
        <v>836</v>
      </c>
      <c r="ER147">
        <v>905</v>
      </c>
      <c r="ES147">
        <v>975</v>
      </c>
      <c r="ET147">
        <v>1048</v>
      </c>
      <c r="EU147">
        <v>1120</v>
      </c>
      <c r="EV147">
        <v>1194</v>
      </c>
      <c r="EW147">
        <v>1272</v>
      </c>
      <c r="EX147">
        <v>0</v>
      </c>
      <c r="EY147">
        <v>0</v>
      </c>
      <c r="EZ147">
        <v>0</v>
      </c>
      <c r="FA147">
        <v>0</v>
      </c>
      <c r="FB147">
        <v>0</v>
      </c>
      <c r="FC147">
        <v>0</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c r="IK147">
        <v>0</v>
      </c>
    </row>
    <row r="148" spans="13:245" hidden="1">
      <c r="M148" s="343" t="s">
        <v>633</v>
      </c>
      <c r="N148" t="s">
        <v>1010</v>
      </c>
      <c r="O148">
        <v>1</v>
      </c>
      <c r="P148">
        <v>37</v>
      </c>
      <c r="Q148" s="184" t="str">
        <f t="shared" si="6"/>
        <v>SDJ200137</v>
      </c>
      <c r="R148">
        <v>0</v>
      </c>
      <c r="S148">
        <v>32</v>
      </c>
      <c r="T148">
        <v>64</v>
      </c>
      <c r="U148">
        <v>98</v>
      </c>
      <c r="V148">
        <v>140</v>
      </c>
      <c r="W148">
        <v>176</v>
      </c>
      <c r="X148">
        <v>240</v>
      </c>
      <c r="Y148">
        <v>284</v>
      </c>
      <c r="Z148">
        <v>329</v>
      </c>
      <c r="AA148">
        <v>416</v>
      </c>
      <c r="AB148">
        <v>469</v>
      </c>
      <c r="AC148">
        <v>524</v>
      </c>
      <c r="AD148">
        <v>582</v>
      </c>
      <c r="AE148">
        <v>644</v>
      </c>
      <c r="AF148">
        <v>709</v>
      </c>
      <c r="AG148">
        <v>777</v>
      </c>
      <c r="AH148">
        <v>848</v>
      </c>
      <c r="AI148">
        <v>923</v>
      </c>
      <c r="AJ148">
        <v>1004</v>
      </c>
      <c r="AK148">
        <v>1090</v>
      </c>
      <c r="AL148">
        <v>1129</v>
      </c>
      <c r="AM148">
        <v>1173</v>
      </c>
      <c r="AN148">
        <v>1220</v>
      </c>
      <c r="AO148">
        <v>1272</v>
      </c>
      <c r="AP148">
        <v>1328</v>
      </c>
      <c r="AQ148">
        <v>1388</v>
      </c>
      <c r="AR148">
        <v>1455</v>
      </c>
      <c r="AS148">
        <v>1527</v>
      </c>
      <c r="AT148">
        <v>1610</v>
      </c>
      <c r="AU148">
        <v>1701</v>
      </c>
      <c r="AV148">
        <v>1801</v>
      </c>
      <c r="AW148">
        <v>1908</v>
      </c>
      <c r="AX148">
        <v>2028</v>
      </c>
      <c r="AY148">
        <v>2169</v>
      </c>
      <c r="AZ148">
        <v>2324</v>
      </c>
      <c r="BA148">
        <v>2499</v>
      </c>
      <c r="BB148">
        <v>2696</v>
      </c>
      <c r="BC148">
        <v>2920</v>
      </c>
      <c r="BD148">
        <v>3209</v>
      </c>
      <c r="BE148">
        <v>3547</v>
      </c>
      <c r="BF148">
        <v>3933</v>
      </c>
      <c r="BG148">
        <v>4392</v>
      </c>
      <c r="BH148">
        <v>4919</v>
      </c>
      <c r="BI148">
        <v>5577</v>
      </c>
      <c r="BJ148">
        <v>6376</v>
      </c>
      <c r="BK148">
        <v>7342</v>
      </c>
      <c r="BL148">
        <v>8535</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Z148" s="343" t="s">
        <v>633</v>
      </c>
      <c r="EA148" t="s">
        <v>1010</v>
      </c>
      <c r="EB148">
        <v>1</v>
      </c>
      <c r="EC148">
        <v>37</v>
      </c>
      <c r="ED148" s="184" t="str">
        <f t="shared" si="7"/>
        <v>SDJ200137</v>
      </c>
      <c r="EE148">
        <v>0</v>
      </c>
      <c r="EF148">
        <v>63</v>
      </c>
      <c r="EG148">
        <v>121</v>
      </c>
      <c r="EH148">
        <v>178</v>
      </c>
      <c r="EI148">
        <v>246</v>
      </c>
      <c r="EJ148">
        <v>299</v>
      </c>
      <c r="EK148">
        <v>397</v>
      </c>
      <c r="EL148">
        <v>459</v>
      </c>
      <c r="EM148">
        <v>521</v>
      </c>
      <c r="EN148">
        <v>644</v>
      </c>
      <c r="EO148">
        <v>711</v>
      </c>
      <c r="EP148">
        <v>778</v>
      </c>
      <c r="EQ148">
        <v>847</v>
      </c>
      <c r="ER148">
        <v>919</v>
      </c>
      <c r="ES148">
        <v>993</v>
      </c>
      <c r="ET148">
        <v>1067</v>
      </c>
      <c r="EU148">
        <v>1142</v>
      </c>
      <c r="EV148">
        <v>1219</v>
      </c>
      <c r="EW148">
        <v>1301</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row>
    <row r="149" spans="13:245" hidden="1">
      <c r="M149" s="343" t="s">
        <v>633</v>
      </c>
      <c r="N149" t="s">
        <v>1010</v>
      </c>
      <c r="O149">
        <v>1</v>
      </c>
      <c r="P149">
        <v>38</v>
      </c>
      <c r="Q149" s="184" t="str">
        <f t="shared" si="6"/>
        <v>SDJ200138</v>
      </c>
      <c r="R149">
        <v>0</v>
      </c>
      <c r="S149">
        <v>32</v>
      </c>
      <c r="T149">
        <v>66</v>
      </c>
      <c r="U149">
        <v>100</v>
      </c>
      <c r="V149">
        <v>143</v>
      </c>
      <c r="W149">
        <v>180</v>
      </c>
      <c r="X149">
        <v>246</v>
      </c>
      <c r="Y149">
        <v>291</v>
      </c>
      <c r="Z149">
        <v>337</v>
      </c>
      <c r="AA149">
        <v>426</v>
      </c>
      <c r="AB149">
        <v>481</v>
      </c>
      <c r="AC149">
        <v>538</v>
      </c>
      <c r="AD149">
        <v>600</v>
      </c>
      <c r="AE149">
        <v>664</v>
      </c>
      <c r="AF149">
        <v>731</v>
      </c>
      <c r="AG149">
        <v>801</v>
      </c>
      <c r="AH149">
        <v>875</v>
      </c>
      <c r="AI149">
        <v>955</v>
      </c>
      <c r="AJ149">
        <v>1039</v>
      </c>
      <c r="AK149">
        <v>1129</v>
      </c>
      <c r="AL149">
        <v>1173</v>
      </c>
      <c r="AM149">
        <v>1220</v>
      </c>
      <c r="AN149">
        <v>1272</v>
      </c>
      <c r="AO149">
        <v>1328</v>
      </c>
      <c r="AP149">
        <v>1388</v>
      </c>
      <c r="AQ149">
        <v>1455</v>
      </c>
      <c r="AR149">
        <v>1527</v>
      </c>
      <c r="AS149">
        <v>1610</v>
      </c>
      <c r="AT149">
        <v>1701</v>
      </c>
      <c r="AU149">
        <v>1801</v>
      </c>
      <c r="AV149">
        <v>1908</v>
      </c>
      <c r="AW149">
        <v>2028</v>
      </c>
      <c r="AX149">
        <v>2169</v>
      </c>
      <c r="AY149">
        <v>2324</v>
      </c>
      <c r="AZ149">
        <v>2499</v>
      </c>
      <c r="BA149">
        <v>2696</v>
      </c>
      <c r="BB149">
        <v>2920</v>
      </c>
      <c r="BC149">
        <v>3209</v>
      </c>
      <c r="BD149">
        <v>3547</v>
      </c>
      <c r="BE149">
        <v>3933</v>
      </c>
      <c r="BF149">
        <v>4392</v>
      </c>
      <c r="BG149">
        <v>4919</v>
      </c>
      <c r="BH149">
        <v>5577</v>
      </c>
      <c r="BI149">
        <v>6376</v>
      </c>
      <c r="BJ149">
        <v>7342</v>
      </c>
      <c r="BK149">
        <v>8535</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Z149" s="343" t="s">
        <v>633</v>
      </c>
      <c r="EA149" t="s">
        <v>1010</v>
      </c>
      <c r="EB149">
        <v>1</v>
      </c>
      <c r="EC149">
        <v>38</v>
      </c>
      <c r="ED149" s="184" t="str">
        <f t="shared" si="7"/>
        <v>SDJ200138</v>
      </c>
      <c r="EE149">
        <v>0</v>
      </c>
      <c r="EF149">
        <v>62</v>
      </c>
      <c r="EG149">
        <v>123</v>
      </c>
      <c r="EH149">
        <v>179</v>
      </c>
      <c r="EI149">
        <v>247</v>
      </c>
      <c r="EJ149">
        <v>301</v>
      </c>
      <c r="EK149">
        <v>401</v>
      </c>
      <c r="EL149">
        <v>464</v>
      </c>
      <c r="EM149">
        <v>526</v>
      </c>
      <c r="EN149">
        <v>651</v>
      </c>
      <c r="EO149">
        <v>719</v>
      </c>
      <c r="EP149">
        <v>789</v>
      </c>
      <c r="EQ149">
        <v>863</v>
      </c>
      <c r="ER149">
        <v>936</v>
      </c>
      <c r="ES149">
        <v>1011</v>
      </c>
      <c r="ET149">
        <v>1087</v>
      </c>
      <c r="EU149">
        <v>1165</v>
      </c>
      <c r="EV149">
        <v>1248</v>
      </c>
      <c r="EW149">
        <v>1332</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0</v>
      </c>
      <c r="HX149">
        <v>0</v>
      </c>
      <c r="HY149">
        <v>0</v>
      </c>
      <c r="HZ149">
        <v>0</v>
      </c>
      <c r="IA149">
        <v>0</v>
      </c>
      <c r="IB149">
        <v>0</v>
      </c>
      <c r="IC149">
        <v>0</v>
      </c>
      <c r="ID149">
        <v>0</v>
      </c>
      <c r="IE149">
        <v>0</v>
      </c>
      <c r="IF149">
        <v>0</v>
      </c>
      <c r="IG149">
        <v>0</v>
      </c>
      <c r="IH149">
        <v>0</v>
      </c>
      <c r="II149">
        <v>0</v>
      </c>
      <c r="IJ149">
        <v>0</v>
      </c>
      <c r="IK149">
        <v>0</v>
      </c>
    </row>
    <row r="150" spans="13:245" hidden="1">
      <c r="M150" s="343" t="s">
        <v>633</v>
      </c>
      <c r="N150" t="s">
        <v>1010</v>
      </c>
      <c r="O150">
        <v>1</v>
      </c>
      <c r="P150">
        <v>39</v>
      </c>
      <c r="Q150" s="184" t="str">
        <f t="shared" si="6"/>
        <v>SDJ200139</v>
      </c>
      <c r="R150">
        <v>0</v>
      </c>
      <c r="S150">
        <v>34</v>
      </c>
      <c r="T150">
        <v>68</v>
      </c>
      <c r="U150">
        <v>102</v>
      </c>
      <c r="V150">
        <v>146</v>
      </c>
      <c r="W150">
        <v>185</v>
      </c>
      <c r="X150">
        <v>252</v>
      </c>
      <c r="Y150">
        <v>298</v>
      </c>
      <c r="Z150">
        <v>345</v>
      </c>
      <c r="AA150">
        <v>438</v>
      </c>
      <c r="AB150">
        <v>494</v>
      </c>
      <c r="AC150">
        <v>555</v>
      </c>
      <c r="AD150">
        <v>618</v>
      </c>
      <c r="AE150">
        <v>684</v>
      </c>
      <c r="AF150">
        <v>754</v>
      </c>
      <c r="AG150">
        <v>828</v>
      </c>
      <c r="AH150">
        <v>906</v>
      </c>
      <c r="AI150">
        <v>989</v>
      </c>
      <c r="AJ150">
        <v>1077</v>
      </c>
      <c r="AK150">
        <v>1173</v>
      </c>
      <c r="AL150">
        <v>1220</v>
      </c>
      <c r="AM150">
        <v>1272</v>
      </c>
      <c r="AN150">
        <v>1328</v>
      </c>
      <c r="AO150">
        <v>1388</v>
      </c>
      <c r="AP150">
        <v>1455</v>
      </c>
      <c r="AQ150">
        <v>1527</v>
      </c>
      <c r="AR150">
        <v>1610</v>
      </c>
      <c r="AS150">
        <v>1701</v>
      </c>
      <c r="AT150">
        <v>1801</v>
      </c>
      <c r="AU150">
        <v>1908</v>
      </c>
      <c r="AV150">
        <v>2028</v>
      </c>
      <c r="AW150">
        <v>2169</v>
      </c>
      <c r="AX150">
        <v>2324</v>
      </c>
      <c r="AY150">
        <v>2499</v>
      </c>
      <c r="AZ150">
        <v>2696</v>
      </c>
      <c r="BA150">
        <v>2920</v>
      </c>
      <c r="BB150">
        <v>3209</v>
      </c>
      <c r="BC150">
        <v>3547</v>
      </c>
      <c r="BD150">
        <v>3933</v>
      </c>
      <c r="BE150">
        <v>4392</v>
      </c>
      <c r="BF150">
        <v>4919</v>
      </c>
      <c r="BG150">
        <v>5577</v>
      </c>
      <c r="BH150">
        <v>6376</v>
      </c>
      <c r="BI150">
        <v>7342</v>
      </c>
      <c r="BJ150">
        <v>8535</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Z150" s="343" t="s">
        <v>633</v>
      </c>
      <c r="EA150" t="s">
        <v>1010</v>
      </c>
      <c r="EB150">
        <v>1</v>
      </c>
      <c r="EC150">
        <v>39</v>
      </c>
      <c r="ED150" s="184" t="str">
        <f t="shared" si="7"/>
        <v>SDJ200139</v>
      </c>
      <c r="EE150">
        <v>0</v>
      </c>
      <c r="EF150">
        <v>65</v>
      </c>
      <c r="EG150">
        <v>124</v>
      </c>
      <c r="EH150">
        <v>179</v>
      </c>
      <c r="EI150">
        <v>248</v>
      </c>
      <c r="EJ150">
        <v>305</v>
      </c>
      <c r="EK150">
        <v>405</v>
      </c>
      <c r="EL150">
        <v>468</v>
      </c>
      <c r="EM150">
        <v>531</v>
      </c>
      <c r="EN150">
        <v>660</v>
      </c>
      <c r="EO150">
        <v>729</v>
      </c>
      <c r="EP150">
        <v>803</v>
      </c>
      <c r="EQ150">
        <v>877</v>
      </c>
      <c r="ER150">
        <v>953</v>
      </c>
      <c r="ES150">
        <v>1030</v>
      </c>
      <c r="ET150">
        <v>1111</v>
      </c>
      <c r="EU150">
        <v>1193</v>
      </c>
      <c r="EV150">
        <v>1278</v>
      </c>
      <c r="EW150">
        <v>1367</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row>
    <row r="151" spans="13:245" hidden="1">
      <c r="M151" s="343" t="s">
        <v>633</v>
      </c>
      <c r="N151" t="s">
        <v>1010</v>
      </c>
      <c r="O151">
        <v>1</v>
      </c>
      <c r="P151">
        <v>40</v>
      </c>
      <c r="Q151" s="184" t="str">
        <f t="shared" si="6"/>
        <v>SDJ200140</v>
      </c>
      <c r="R151">
        <v>0</v>
      </c>
      <c r="S151">
        <v>35</v>
      </c>
      <c r="T151">
        <v>70</v>
      </c>
      <c r="U151">
        <v>106</v>
      </c>
      <c r="V151">
        <v>152</v>
      </c>
      <c r="W151">
        <v>192</v>
      </c>
      <c r="X151">
        <v>263</v>
      </c>
      <c r="Y151">
        <v>311</v>
      </c>
      <c r="Z151">
        <v>360</v>
      </c>
      <c r="AA151">
        <v>457</v>
      </c>
      <c r="AB151">
        <v>518</v>
      </c>
      <c r="AC151">
        <v>582</v>
      </c>
      <c r="AD151">
        <v>648</v>
      </c>
      <c r="AE151">
        <v>718</v>
      </c>
      <c r="AF151">
        <v>793</v>
      </c>
      <c r="AG151">
        <v>872</v>
      </c>
      <c r="AH151">
        <v>955</v>
      </c>
      <c r="AI151">
        <v>1044</v>
      </c>
      <c r="AJ151">
        <v>1139</v>
      </c>
      <c r="AK151">
        <v>1241</v>
      </c>
      <c r="AL151">
        <v>1294</v>
      </c>
      <c r="AM151">
        <v>1351</v>
      </c>
      <c r="AN151">
        <v>1413</v>
      </c>
      <c r="AO151">
        <v>1481</v>
      </c>
      <c r="AP151">
        <v>1554</v>
      </c>
      <c r="AQ151">
        <v>1639</v>
      </c>
      <c r="AR151">
        <v>1731</v>
      </c>
      <c r="AS151">
        <v>1832</v>
      </c>
      <c r="AT151">
        <v>1942</v>
      </c>
      <c r="AU151">
        <v>2063</v>
      </c>
      <c r="AV151">
        <v>2207</v>
      </c>
      <c r="AW151">
        <v>2365</v>
      </c>
      <c r="AX151">
        <v>2543</v>
      </c>
      <c r="AY151">
        <v>2744</v>
      </c>
      <c r="AZ151">
        <v>2972</v>
      </c>
      <c r="BA151">
        <v>3265</v>
      </c>
      <c r="BB151">
        <v>3609</v>
      </c>
      <c r="BC151">
        <v>4002</v>
      </c>
      <c r="BD151">
        <v>4470</v>
      </c>
      <c r="BE151">
        <v>5006</v>
      </c>
      <c r="BF151">
        <v>5675</v>
      </c>
      <c r="BG151">
        <v>6488</v>
      </c>
      <c r="BH151">
        <v>7472</v>
      </c>
      <c r="BI151">
        <v>8685</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Z151" s="343" t="s">
        <v>633</v>
      </c>
      <c r="EA151" t="s">
        <v>1010</v>
      </c>
      <c r="EB151">
        <v>1</v>
      </c>
      <c r="EC151">
        <v>40</v>
      </c>
      <c r="ED151" s="184" t="str">
        <f t="shared" si="7"/>
        <v>SDJ200140</v>
      </c>
      <c r="EE151">
        <v>0</v>
      </c>
      <c r="EF151">
        <v>65</v>
      </c>
      <c r="EG151">
        <v>125</v>
      </c>
      <c r="EH151">
        <v>181</v>
      </c>
      <c r="EI151">
        <v>252</v>
      </c>
      <c r="EJ151">
        <v>308</v>
      </c>
      <c r="EK151">
        <v>412</v>
      </c>
      <c r="EL151">
        <v>476</v>
      </c>
      <c r="EM151">
        <v>539</v>
      </c>
      <c r="EN151">
        <v>671</v>
      </c>
      <c r="EO151">
        <v>745</v>
      </c>
      <c r="EP151">
        <v>821</v>
      </c>
      <c r="EQ151">
        <v>896</v>
      </c>
      <c r="ER151">
        <v>974</v>
      </c>
      <c r="ES151">
        <v>1056</v>
      </c>
      <c r="ET151">
        <v>1139</v>
      </c>
      <c r="EU151">
        <v>1224</v>
      </c>
      <c r="EV151">
        <v>1313</v>
      </c>
      <c r="EW151">
        <v>1405</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c r="IK151">
        <v>0</v>
      </c>
    </row>
    <row r="152" spans="13:245" hidden="1">
      <c r="M152" s="343" t="s">
        <v>633</v>
      </c>
      <c r="N152" t="s">
        <v>1010</v>
      </c>
      <c r="O152">
        <v>1</v>
      </c>
      <c r="P152">
        <v>41</v>
      </c>
      <c r="Q152" s="184" t="str">
        <f t="shared" si="6"/>
        <v>SDJ200141</v>
      </c>
      <c r="R152">
        <v>0</v>
      </c>
      <c r="S152">
        <v>38</v>
      </c>
      <c r="T152">
        <v>75</v>
      </c>
      <c r="U152">
        <v>113</v>
      </c>
      <c r="V152">
        <v>163</v>
      </c>
      <c r="W152">
        <v>207</v>
      </c>
      <c r="X152">
        <v>283</v>
      </c>
      <c r="Y152">
        <v>335</v>
      </c>
      <c r="Z152">
        <v>389</v>
      </c>
      <c r="AA152">
        <v>495</v>
      </c>
      <c r="AB152">
        <v>562</v>
      </c>
      <c r="AC152">
        <v>631</v>
      </c>
      <c r="AD152">
        <v>705</v>
      </c>
      <c r="AE152">
        <v>782</v>
      </c>
      <c r="AF152">
        <v>865</v>
      </c>
      <c r="AG152">
        <v>952</v>
      </c>
      <c r="AH152">
        <v>1044</v>
      </c>
      <c r="AI152">
        <v>1144</v>
      </c>
      <c r="AJ152">
        <v>1250</v>
      </c>
      <c r="AK152">
        <v>1364</v>
      </c>
      <c r="AL152">
        <v>1425</v>
      </c>
      <c r="AM152">
        <v>1489</v>
      </c>
      <c r="AN152">
        <v>1561</v>
      </c>
      <c r="AO152">
        <v>1638</v>
      </c>
      <c r="AP152">
        <v>1727</v>
      </c>
      <c r="AQ152">
        <v>1825</v>
      </c>
      <c r="AR152">
        <v>1932</v>
      </c>
      <c r="AS152">
        <v>2047</v>
      </c>
      <c r="AT152">
        <v>2175</v>
      </c>
      <c r="AU152">
        <v>2326</v>
      </c>
      <c r="AV152">
        <v>2493</v>
      </c>
      <c r="AW152">
        <v>2680</v>
      </c>
      <c r="AX152">
        <v>2892</v>
      </c>
      <c r="AY152">
        <v>3133</v>
      </c>
      <c r="AZ152">
        <v>3442</v>
      </c>
      <c r="BA152">
        <v>3805</v>
      </c>
      <c r="BB152">
        <v>4219</v>
      </c>
      <c r="BC152">
        <v>4712</v>
      </c>
      <c r="BD152">
        <v>5277</v>
      </c>
      <c r="BE152">
        <v>5982</v>
      </c>
      <c r="BF152">
        <v>6840</v>
      </c>
      <c r="BG152">
        <v>7876</v>
      </c>
      <c r="BH152">
        <v>9155</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Z152" s="343" t="s">
        <v>633</v>
      </c>
      <c r="EA152" t="s">
        <v>1010</v>
      </c>
      <c r="EB152">
        <v>1</v>
      </c>
      <c r="EC152">
        <v>41</v>
      </c>
      <c r="ED152" s="184" t="str">
        <f t="shared" si="7"/>
        <v>SDJ200141</v>
      </c>
      <c r="EE152">
        <v>0</v>
      </c>
      <c r="EF152">
        <v>67</v>
      </c>
      <c r="EG152">
        <v>127</v>
      </c>
      <c r="EH152">
        <v>184</v>
      </c>
      <c r="EI152">
        <v>258</v>
      </c>
      <c r="EJ152">
        <v>317</v>
      </c>
      <c r="EK152">
        <v>422</v>
      </c>
      <c r="EL152">
        <v>489</v>
      </c>
      <c r="EM152">
        <v>555</v>
      </c>
      <c r="EN152">
        <v>692</v>
      </c>
      <c r="EO152">
        <v>769</v>
      </c>
      <c r="EP152">
        <v>846</v>
      </c>
      <c r="EQ152">
        <v>926</v>
      </c>
      <c r="ER152">
        <v>1006</v>
      </c>
      <c r="ES152">
        <v>1090</v>
      </c>
      <c r="ET152">
        <v>1175</v>
      </c>
      <c r="EU152">
        <v>1263</v>
      </c>
      <c r="EV152">
        <v>1355</v>
      </c>
      <c r="EW152">
        <v>1450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row>
    <row r="153" spans="13:245" hidden="1">
      <c r="M153" s="343" t="s">
        <v>633</v>
      </c>
      <c r="N153" t="s">
        <v>1010</v>
      </c>
      <c r="O153">
        <v>1</v>
      </c>
      <c r="P153">
        <v>42</v>
      </c>
      <c r="Q153" s="184" t="str">
        <f t="shared" si="6"/>
        <v>SDJ200142</v>
      </c>
      <c r="R153">
        <v>0</v>
      </c>
      <c r="S153">
        <v>40</v>
      </c>
      <c r="T153">
        <v>80</v>
      </c>
      <c r="U153">
        <v>122</v>
      </c>
      <c r="V153">
        <v>176</v>
      </c>
      <c r="W153">
        <v>223</v>
      </c>
      <c r="X153">
        <v>305</v>
      </c>
      <c r="Y153">
        <v>362</v>
      </c>
      <c r="Z153">
        <v>421</v>
      </c>
      <c r="AA153">
        <v>537</v>
      </c>
      <c r="AB153">
        <v>609</v>
      </c>
      <c r="AC153">
        <v>685</v>
      </c>
      <c r="AD153">
        <v>766</v>
      </c>
      <c r="AE153">
        <v>852</v>
      </c>
      <c r="AF153">
        <v>942</v>
      </c>
      <c r="AG153">
        <v>1039</v>
      </c>
      <c r="AH153">
        <v>1143</v>
      </c>
      <c r="AI153">
        <v>1254</v>
      </c>
      <c r="AJ153">
        <v>1372</v>
      </c>
      <c r="AK153">
        <v>1498</v>
      </c>
      <c r="AL153">
        <v>1566</v>
      </c>
      <c r="AM153">
        <v>1641</v>
      </c>
      <c r="AN153">
        <v>1722</v>
      </c>
      <c r="AO153">
        <v>1816</v>
      </c>
      <c r="AP153">
        <v>1919</v>
      </c>
      <c r="AQ153">
        <v>2031</v>
      </c>
      <c r="AR153">
        <v>2152</v>
      </c>
      <c r="AS153">
        <v>2287</v>
      </c>
      <c r="AT153">
        <v>2446</v>
      </c>
      <c r="AU153">
        <v>2621</v>
      </c>
      <c r="AV153">
        <v>2818</v>
      </c>
      <c r="AW153">
        <v>3041</v>
      </c>
      <c r="AX153">
        <v>3294</v>
      </c>
      <c r="AY153">
        <v>3619</v>
      </c>
      <c r="AZ153">
        <v>4000</v>
      </c>
      <c r="BA153">
        <v>4436</v>
      </c>
      <c r="BB153">
        <v>4954</v>
      </c>
      <c r="BC153">
        <v>5548</v>
      </c>
      <c r="BD153">
        <v>6290</v>
      </c>
      <c r="BE153">
        <v>7191</v>
      </c>
      <c r="BF153">
        <v>8281</v>
      </c>
      <c r="BG153">
        <v>9626</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Z153" s="343" t="s">
        <v>633</v>
      </c>
      <c r="EA153" t="s">
        <v>1010</v>
      </c>
      <c r="EB153">
        <v>1</v>
      </c>
      <c r="EC153">
        <v>42</v>
      </c>
      <c r="ED153" s="184" t="str">
        <f t="shared" si="7"/>
        <v>SDJ200142</v>
      </c>
      <c r="EE153">
        <v>0</v>
      </c>
      <c r="EF153">
        <v>68</v>
      </c>
      <c r="EG153">
        <v>130</v>
      </c>
      <c r="EH153">
        <v>190</v>
      </c>
      <c r="EI153">
        <v>266</v>
      </c>
      <c r="EJ153">
        <v>327</v>
      </c>
      <c r="EK153">
        <v>434</v>
      </c>
      <c r="EL153">
        <v>504</v>
      </c>
      <c r="EM153">
        <v>573</v>
      </c>
      <c r="EN153">
        <v>715</v>
      </c>
      <c r="EO153">
        <v>794</v>
      </c>
      <c r="EP153">
        <v>874</v>
      </c>
      <c r="EQ153">
        <v>956</v>
      </c>
      <c r="ER153">
        <v>1040</v>
      </c>
      <c r="ES153">
        <v>1125</v>
      </c>
      <c r="ET153">
        <v>1214</v>
      </c>
      <c r="EU153">
        <v>1305</v>
      </c>
      <c r="EV153">
        <v>1400</v>
      </c>
      <c r="EW153">
        <v>1501</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row>
    <row r="154" spans="13:245" hidden="1">
      <c r="M154" s="343" t="s">
        <v>633</v>
      </c>
      <c r="N154" t="s">
        <v>1010</v>
      </c>
      <c r="O154">
        <v>1</v>
      </c>
      <c r="P154">
        <v>43</v>
      </c>
      <c r="Q154" s="184" t="str">
        <f t="shared" si="6"/>
        <v>SDJ200143</v>
      </c>
      <c r="R154">
        <v>0</v>
      </c>
      <c r="S154">
        <v>44</v>
      </c>
      <c r="T154">
        <v>88</v>
      </c>
      <c r="U154">
        <v>134</v>
      </c>
      <c r="V154">
        <v>193</v>
      </c>
      <c r="W154">
        <v>244</v>
      </c>
      <c r="X154">
        <v>335</v>
      </c>
      <c r="Y154">
        <v>398</v>
      </c>
      <c r="Z154">
        <v>464</v>
      </c>
      <c r="AA154">
        <v>592</v>
      </c>
      <c r="AB154">
        <v>672</v>
      </c>
      <c r="AC154">
        <v>757</v>
      </c>
      <c r="AD154">
        <v>848</v>
      </c>
      <c r="AE154">
        <v>944</v>
      </c>
      <c r="AF154">
        <v>1047</v>
      </c>
      <c r="AG154">
        <v>1157</v>
      </c>
      <c r="AH154">
        <v>1274</v>
      </c>
      <c r="AI154">
        <v>1399</v>
      </c>
      <c r="AJ154">
        <v>1532</v>
      </c>
      <c r="AK154">
        <v>1672</v>
      </c>
      <c r="AL154">
        <v>1752</v>
      </c>
      <c r="AM154">
        <v>1838</v>
      </c>
      <c r="AN154">
        <v>1939</v>
      </c>
      <c r="AO154">
        <v>2048</v>
      </c>
      <c r="AP154">
        <v>2168</v>
      </c>
      <c r="AQ154">
        <v>2298</v>
      </c>
      <c r="AR154">
        <v>2442</v>
      </c>
      <c r="AS154">
        <v>2611</v>
      </c>
      <c r="AT154">
        <v>2799</v>
      </c>
      <c r="AU154">
        <v>3009</v>
      </c>
      <c r="AV154">
        <v>3247</v>
      </c>
      <c r="AW154">
        <v>3516</v>
      </c>
      <c r="AX154">
        <v>3864</v>
      </c>
      <c r="AY154">
        <v>4271</v>
      </c>
      <c r="AZ154">
        <v>4736</v>
      </c>
      <c r="BA154">
        <v>5289</v>
      </c>
      <c r="BB154">
        <v>5924</v>
      </c>
      <c r="BC154">
        <v>6715</v>
      </c>
      <c r="BD154">
        <v>7678</v>
      </c>
      <c r="BE154">
        <v>8841</v>
      </c>
      <c r="BF154">
        <v>10277</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Z154" s="343" t="s">
        <v>633</v>
      </c>
      <c r="EA154" t="s">
        <v>1010</v>
      </c>
      <c r="EB154">
        <v>1</v>
      </c>
      <c r="EC154">
        <v>43</v>
      </c>
      <c r="ED154" s="184" t="str">
        <f t="shared" si="7"/>
        <v>SDJ200143</v>
      </c>
      <c r="EE154">
        <v>0</v>
      </c>
      <c r="EF154">
        <v>71</v>
      </c>
      <c r="EG154">
        <v>135</v>
      </c>
      <c r="EH154">
        <v>198</v>
      </c>
      <c r="EI154">
        <v>276</v>
      </c>
      <c r="EJ154">
        <v>338</v>
      </c>
      <c r="EK154">
        <v>451</v>
      </c>
      <c r="EL154">
        <v>523</v>
      </c>
      <c r="EM154">
        <v>596</v>
      </c>
      <c r="EN154">
        <v>743</v>
      </c>
      <c r="EO154">
        <v>824</v>
      </c>
      <c r="EP154">
        <v>906</v>
      </c>
      <c r="EQ154">
        <v>992</v>
      </c>
      <c r="ER154">
        <v>1078</v>
      </c>
      <c r="ES154">
        <v>1167</v>
      </c>
      <c r="ET154">
        <v>1257</v>
      </c>
      <c r="EU154">
        <v>1351</v>
      </c>
      <c r="EV154">
        <v>1451</v>
      </c>
      <c r="EW154">
        <v>1557</v>
      </c>
      <c r="EX154">
        <v>0</v>
      </c>
      <c r="EY154">
        <v>0</v>
      </c>
      <c r="EZ154">
        <v>0</v>
      </c>
      <c r="FA154">
        <v>0</v>
      </c>
      <c r="FB154">
        <v>0</v>
      </c>
      <c r="FC154">
        <v>0</v>
      </c>
      <c r="FD154">
        <v>0</v>
      </c>
      <c r="FE154">
        <v>0</v>
      </c>
      <c r="FF154">
        <v>0</v>
      </c>
      <c r="FG154">
        <v>0</v>
      </c>
      <c r="FH154">
        <v>0</v>
      </c>
      <c r="FI154">
        <v>0</v>
      </c>
      <c r="FJ154">
        <v>0</v>
      </c>
      <c r="FK154">
        <v>0</v>
      </c>
      <c r="FL154">
        <v>0</v>
      </c>
      <c r="FM154">
        <v>0</v>
      </c>
      <c r="FN154">
        <v>0</v>
      </c>
      <c r="FO154">
        <v>0</v>
      </c>
      <c r="FP154">
        <v>0</v>
      </c>
      <c r="FQ154">
        <v>0</v>
      </c>
      <c r="FR154">
        <v>0</v>
      </c>
      <c r="FS154">
        <v>0</v>
      </c>
      <c r="FT154">
        <v>0</v>
      </c>
      <c r="FU154">
        <v>0</v>
      </c>
      <c r="FV154">
        <v>0</v>
      </c>
      <c r="FW154">
        <v>0</v>
      </c>
      <c r="FX154">
        <v>0</v>
      </c>
      <c r="FY154">
        <v>0</v>
      </c>
      <c r="FZ154">
        <v>0</v>
      </c>
      <c r="GA154">
        <v>0</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row>
    <row r="155" spans="13:245" hidden="1">
      <c r="M155" s="343" t="s">
        <v>633</v>
      </c>
      <c r="N155" t="s">
        <v>1010</v>
      </c>
      <c r="O155">
        <v>1</v>
      </c>
      <c r="P155">
        <v>44</v>
      </c>
      <c r="Q155" s="184" t="str">
        <f t="shared" si="6"/>
        <v>SDJ200144</v>
      </c>
      <c r="R155">
        <v>0</v>
      </c>
      <c r="S155">
        <v>48</v>
      </c>
      <c r="T155">
        <v>97</v>
      </c>
      <c r="U155">
        <v>146</v>
      </c>
      <c r="V155">
        <v>211</v>
      </c>
      <c r="W155">
        <v>267</v>
      </c>
      <c r="X155">
        <v>368</v>
      </c>
      <c r="Y155">
        <v>437</v>
      </c>
      <c r="Z155">
        <v>510</v>
      </c>
      <c r="AA155">
        <v>651</v>
      </c>
      <c r="AB155">
        <v>741</v>
      </c>
      <c r="AC155">
        <v>836</v>
      </c>
      <c r="AD155">
        <v>937</v>
      </c>
      <c r="AE155">
        <v>1045</v>
      </c>
      <c r="AF155">
        <v>1161</v>
      </c>
      <c r="AG155">
        <v>1285</v>
      </c>
      <c r="AH155">
        <v>1417</v>
      </c>
      <c r="AI155">
        <v>1557</v>
      </c>
      <c r="AJ155">
        <v>1705</v>
      </c>
      <c r="AK155">
        <v>1863</v>
      </c>
      <c r="AL155">
        <v>1955</v>
      </c>
      <c r="AM155">
        <v>2062</v>
      </c>
      <c r="AN155">
        <v>2178</v>
      </c>
      <c r="AO155">
        <v>2306</v>
      </c>
      <c r="AP155">
        <v>2443</v>
      </c>
      <c r="AQ155">
        <v>2596</v>
      </c>
      <c r="AR155">
        <v>2777</v>
      </c>
      <c r="AS155">
        <v>2976</v>
      </c>
      <c r="AT155">
        <v>3199</v>
      </c>
      <c r="AU155">
        <v>3453</v>
      </c>
      <c r="AV155">
        <v>3739</v>
      </c>
      <c r="AW155">
        <v>4109</v>
      </c>
      <c r="AX155">
        <v>4542</v>
      </c>
      <c r="AY155">
        <v>5036</v>
      </c>
      <c r="AZ155">
        <v>5624</v>
      </c>
      <c r="BA155">
        <v>6299</v>
      </c>
      <c r="BB155">
        <v>7141</v>
      </c>
      <c r="BC155">
        <v>8164</v>
      </c>
      <c r="BD155">
        <v>9402</v>
      </c>
      <c r="BE155">
        <v>10929</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Z155" s="343" t="s">
        <v>633</v>
      </c>
      <c r="EA155" t="s">
        <v>1010</v>
      </c>
      <c r="EB155">
        <v>1</v>
      </c>
      <c r="EC155">
        <v>44</v>
      </c>
      <c r="ED155" s="184" t="str">
        <f t="shared" si="7"/>
        <v>SDJ200144</v>
      </c>
      <c r="EE155">
        <v>0</v>
      </c>
      <c r="EF155">
        <v>73</v>
      </c>
      <c r="EG155">
        <v>142</v>
      </c>
      <c r="EH155">
        <v>204</v>
      </c>
      <c r="EI155">
        <v>286</v>
      </c>
      <c r="EJ155">
        <v>350</v>
      </c>
      <c r="EK155">
        <v>469</v>
      </c>
      <c r="EL155">
        <v>543</v>
      </c>
      <c r="EM155">
        <v>619</v>
      </c>
      <c r="EN155">
        <v>770</v>
      </c>
      <c r="EO155">
        <v>855</v>
      </c>
      <c r="EP155">
        <v>941</v>
      </c>
      <c r="EQ155">
        <v>1029</v>
      </c>
      <c r="ER155">
        <v>1118</v>
      </c>
      <c r="ES155">
        <v>1209</v>
      </c>
      <c r="ET155">
        <v>1303</v>
      </c>
      <c r="EU155">
        <v>1402</v>
      </c>
      <c r="EV155">
        <v>1506</v>
      </c>
      <c r="EW155">
        <v>1617</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row>
    <row r="156" spans="13:245" hidden="1">
      <c r="M156" s="343" t="s">
        <v>633</v>
      </c>
      <c r="N156" t="s">
        <v>1010</v>
      </c>
      <c r="O156">
        <v>1</v>
      </c>
      <c r="P156">
        <v>45</v>
      </c>
      <c r="Q156" s="184" t="str">
        <f t="shared" si="6"/>
        <v>SDJ200145</v>
      </c>
      <c r="R156">
        <v>0</v>
      </c>
      <c r="S156">
        <v>52</v>
      </c>
      <c r="T156">
        <v>105</v>
      </c>
      <c r="U156">
        <v>160</v>
      </c>
      <c r="V156">
        <v>230</v>
      </c>
      <c r="W156">
        <v>294</v>
      </c>
      <c r="X156">
        <v>403</v>
      </c>
      <c r="Y156">
        <v>480</v>
      </c>
      <c r="Z156">
        <v>560</v>
      </c>
      <c r="AA156">
        <v>716</v>
      </c>
      <c r="AB156">
        <v>816</v>
      </c>
      <c r="AC156">
        <v>921</v>
      </c>
      <c r="AD156">
        <v>1035</v>
      </c>
      <c r="AE156">
        <v>1157</v>
      </c>
      <c r="AF156">
        <v>1287</v>
      </c>
      <c r="AG156">
        <v>1425</v>
      </c>
      <c r="AH156">
        <v>1573</v>
      </c>
      <c r="AI156">
        <v>1728</v>
      </c>
      <c r="AJ156">
        <v>1895</v>
      </c>
      <c r="AK156">
        <v>2071</v>
      </c>
      <c r="AL156">
        <v>2185</v>
      </c>
      <c r="AM156">
        <v>2308</v>
      </c>
      <c r="AN156">
        <v>2443</v>
      </c>
      <c r="AO156">
        <v>2589</v>
      </c>
      <c r="AP156">
        <v>2751</v>
      </c>
      <c r="AQ156">
        <v>2942</v>
      </c>
      <c r="AR156">
        <v>3153</v>
      </c>
      <c r="AS156">
        <v>3390</v>
      </c>
      <c r="AT156">
        <v>3658</v>
      </c>
      <c r="AU156">
        <v>3962</v>
      </c>
      <c r="AV156">
        <v>4354</v>
      </c>
      <c r="AW156">
        <v>4812</v>
      </c>
      <c r="AX156">
        <v>5336</v>
      </c>
      <c r="AY156">
        <v>5960</v>
      </c>
      <c r="AZ156">
        <v>6675</v>
      </c>
      <c r="BA156">
        <v>7566</v>
      </c>
      <c r="BB156">
        <v>8651</v>
      </c>
      <c r="BC156">
        <v>9962</v>
      </c>
      <c r="BD156">
        <v>11580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Z156" s="343" t="s">
        <v>633</v>
      </c>
      <c r="EA156" t="s">
        <v>1010</v>
      </c>
      <c r="EB156">
        <v>1</v>
      </c>
      <c r="EC156">
        <v>45</v>
      </c>
      <c r="ED156" s="184" t="str">
        <f t="shared" si="7"/>
        <v>SDJ200145</v>
      </c>
      <c r="EE156">
        <v>0</v>
      </c>
      <c r="EF156">
        <v>75</v>
      </c>
      <c r="EG156">
        <v>146</v>
      </c>
      <c r="EH156">
        <v>213</v>
      </c>
      <c r="EI156">
        <v>296</v>
      </c>
      <c r="EJ156">
        <v>366</v>
      </c>
      <c r="EK156">
        <v>487</v>
      </c>
      <c r="EL156">
        <v>565</v>
      </c>
      <c r="EM156">
        <v>643</v>
      </c>
      <c r="EN156">
        <v>801</v>
      </c>
      <c r="EO156">
        <v>889</v>
      </c>
      <c r="EP156">
        <v>977</v>
      </c>
      <c r="EQ156">
        <v>1068</v>
      </c>
      <c r="ER156">
        <v>1161</v>
      </c>
      <c r="ES156">
        <v>1255</v>
      </c>
      <c r="ET156">
        <v>1353</v>
      </c>
      <c r="EU156">
        <v>1457</v>
      </c>
      <c r="EV156">
        <v>1565</v>
      </c>
      <c r="EW156">
        <v>1683</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row>
    <row r="157" spans="13:245" hidden="1">
      <c r="M157" s="343" t="s">
        <v>633</v>
      </c>
      <c r="N157" t="s">
        <v>1010</v>
      </c>
      <c r="O157">
        <v>1</v>
      </c>
      <c r="P157">
        <v>46</v>
      </c>
      <c r="Q157" s="184" t="str">
        <f t="shared" si="6"/>
        <v>SDJ200146</v>
      </c>
      <c r="R157">
        <v>0</v>
      </c>
      <c r="S157">
        <v>56</v>
      </c>
      <c r="T157">
        <v>114</v>
      </c>
      <c r="U157">
        <v>174</v>
      </c>
      <c r="V157">
        <v>252</v>
      </c>
      <c r="W157">
        <v>321</v>
      </c>
      <c r="X157">
        <v>442</v>
      </c>
      <c r="Y157">
        <v>526</v>
      </c>
      <c r="Z157">
        <v>614</v>
      </c>
      <c r="AA157">
        <v>787</v>
      </c>
      <c r="AB157">
        <v>897</v>
      </c>
      <c r="AC157">
        <v>1015</v>
      </c>
      <c r="AD157">
        <v>1142</v>
      </c>
      <c r="AE157">
        <v>1279</v>
      </c>
      <c r="AF157">
        <v>1424</v>
      </c>
      <c r="AG157">
        <v>1578</v>
      </c>
      <c r="AH157">
        <v>1742</v>
      </c>
      <c r="AI157">
        <v>1916</v>
      </c>
      <c r="AJ157">
        <v>2102</v>
      </c>
      <c r="AK157">
        <v>2308</v>
      </c>
      <c r="AL157">
        <v>2438</v>
      </c>
      <c r="AM157">
        <v>2581</v>
      </c>
      <c r="AN157">
        <v>2734</v>
      </c>
      <c r="AO157">
        <v>2906</v>
      </c>
      <c r="AP157">
        <v>3108</v>
      </c>
      <c r="AQ157">
        <v>3331</v>
      </c>
      <c r="AR157">
        <v>3581</v>
      </c>
      <c r="AS157">
        <v>3864</v>
      </c>
      <c r="AT157">
        <v>4185</v>
      </c>
      <c r="AU157">
        <v>4599</v>
      </c>
      <c r="AV157">
        <v>5083</v>
      </c>
      <c r="AW157">
        <v>5636</v>
      </c>
      <c r="AX157">
        <v>6295</v>
      </c>
      <c r="AY157">
        <v>7050</v>
      </c>
      <c r="AZ157">
        <v>7992</v>
      </c>
      <c r="BA157">
        <v>9137</v>
      </c>
      <c r="BB157">
        <v>10522</v>
      </c>
      <c r="BC157">
        <v>12231</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Z157" s="343" t="s">
        <v>633</v>
      </c>
      <c r="EA157" t="s">
        <v>1010</v>
      </c>
      <c r="EB157">
        <v>1</v>
      </c>
      <c r="EC157">
        <v>46</v>
      </c>
      <c r="ED157" s="184" t="str">
        <f t="shared" si="7"/>
        <v>SDJ200146</v>
      </c>
      <c r="EE157">
        <v>0</v>
      </c>
      <c r="EF157">
        <v>77</v>
      </c>
      <c r="EG157">
        <v>151</v>
      </c>
      <c r="EH157">
        <v>221</v>
      </c>
      <c r="EI157">
        <v>309</v>
      </c>
      <c r="EJ157">
        <v>380</v>
      </c>
      <c r="EK157">
        <v>508</v>
      </c>
      <c r="EL157">
        <v>589</v>
      </c>
      <c r="EM157">
        <v>669</v>
      </c>
      <c r="EN157">
        <v>834</v>
      </c>
      <c r="EO157">
        <v>925</v>
      </c>
      <c r="EP157">
        <v>1017</v>
      </c>
      <c r="EQ157">
        <v>1111</v>
      </c>
      <c r="ER157">
        <v>1206</v>
      </c>
      <c r="ES157">
        <v>1305</v>
      </c>
      <c r="ET157">
        <v>1407</v>
      </c>
      <c r="EU157">
        <v>1516</v>
      </c>
      <c r="EV157">
        <v>1630</v>
      </c>
      <c r="EW157">
        <v>1753</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0</v>
      </c>
      <c r="GB157">
        <v>0</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row>
    <row r="158" spans="13:245" hidden="1">
      <c r="M158" s="343" t="s">
        <v>633</v>
      </c>
      <c r="N158" t="s">
        <v>1010</v>
      </c>
      <c r="O158">
        <v>1</v>
      </c>
      <c r="P158">
        <v>47</v>
      </c>
      <c r="Q158" s="184" t="str">
        <f t="shared" si="6"/>
        <v>SDJ200147</v>
      </c>
      <c r="R158">
        <v>0</v>
      </c>
      <c r="S158">
        <v>62</v>
      </c>
      <c r="T158">
        <v>127</v>
      </c>
      <c r="U158">
        <v>194</v>
      </c>
      <c r="V158">
        <v>282</v>
      </c>
      <c r="W158">
        <v>358</v>
      </c>
      <c r="X158">
        <v>493</v>
      </c>
      <c r="Y158">
        <v>588</v>
      </c>
      <c r="Z158">
        <v>689</v>
      </c>
      <c r="AA158">
        <v>882</v>
      </c>
      <c r="AB158">
        <v>1007</v>
      </c>
      <c r="AC158">
        <v>1142</v>
      </c>
      <c r="AD158">
        <v>1288</v>
      </c>
      <c r="AE158">
        <v>1444</v>
      </c>
      <c r="AF158">
        <v>1608</v>
      </c>
      <c r="AG158">
        <v>1783</v>
      </c>
      <c r="AH158">
        <v>1969</v>
      </c>
      <c r="AI158">
        <v>2168</v>
      </c>
      <c r="AJ158">
        <v>2387</v>
      </c>
      <c r="AK158">
        <v>2622</v>
      </c>
      <c r="AL158">
        <v>2775</v>
      </c>
      <c r="AM158">
        <v>2941</v>
      </c>
      <c r="AN158">
        <v>3125</v>
      </c>
      <c r="AO158">
        <v>3342</v>
      </c>
      <c r="AP158">
        <v>3582</v>
      </c>
      <c r="AQ158">
        <v>3851</v>
      </c>
      <c r="AR158">
        <v>4156</v>
      </c>
      <c r="AS158">
        <v>4501</v>
      </c>
      <c r="AT158">
        <v>4946</v>
      </c>
      <c r="AU158">
        <v>5467</v>
      </c>
      <c r="AV158">
        <v>6062</v>
      </c>
      <c r="AW158">
        <v>6770</v>
      </c>
      <c r="AX158">
        <v>7582</v>
      </c>
      <c r="AY158">
        <v>8595</v>
      </c>
      <c r="AZ158">
        <v>9827</v>
      </c>
      <c r="BA158">
        <v>11316</v>
      </c>
      <c r="BB158">
        <v>13154</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Z158" s="343" t="s">
        <v>633</v>
      </c>
      <c r="EA158" t="s">
        <v>1010</v>
      </c>
      <c r="EB158">
        <v>1</v>
      </c>
      <c r="EC158">
        <v>47</v>
      </c>
      <c r="ED158" s="184" t="str">
        <f t="shared" si="7"/>
        <v>SDJ200147</v>
      </c>
      <c r="EE158">
        <v>0</v>
      </c>
      <c r="EF158">
        <v>81</v>
      </c>
      <c r="EG158">
        <v>158</v>
      </c>
      <c r="EH158">
        <v>231</v>
      </c>
      <c r="EI158">
        <v>325</v>
      </c>
      <c r="EJ158">
        <v>398</v>
      </c>
      <c r="EK158">
        <v>531</v>
      </c>
      <c r="EL158">
        <v>615</v>
      </c>
      <c r="EM158">
        <v>701</v>
      </c>
      <c r="EN158">
        <v>871</v>
      </c>
      <c r="EO158">
        <v>965</v>
      </c>
      <c r="EP158">
        <v>1060</v>
      </c>
      <c r="EQ158">
        <v>1158</v>
      </c>
      <c r="ER158">
        <v>1258</v>
      </c>
      <c r="ES158">
        <v>1360</v>
      </c>
      <c r="ET158">
        <v>1468</v>
      </c>
      <c r="EU158">
        <v>1581</v>
      </c>
      <c r="EV158">
        <v>1702</v>
      </c>
      <c r="EW158">
        <v>1838</v>
      </c>
      <c r="EX158">
        <v>0</v>
      </c>
      <c r="EY158">
        <v>0</v>
      </c>
      <c r="EZ158">
        <v>0</v>
      </c>
      <c r="FA158">
        <v>0</v>
      </c>
      <c r="FB158">
        <v>0</v>
      </c>
      <c r="FC158">
        <v>0</v>
      </c>
      <c r="FD158">
        <v>0</v>
      </c>
      <c r="FE158">
        <v>0</v>
      </c>
      <c r="FF158">
        <v>0</v>
      </c>
      <c r="FG158">
        <v>0</v>
      </c>
      <c r="FH158">
        <v>0</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0</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row>
    <row r="159" spans="13:245" hidden="1">
      <c r="M159" s="343" t="s">
        <v>633</v>
      </c>
      <c r="N159" t="s">
        <v>1010</v>
      </c>
      <c r="O159">
        <v>1</v>
      </c>
      <c r="P159">
        <v>48</v>
      </c>
      <c r="Q159" s="184" t="str">
        <f t="shared" si="6"/>
        <v>SDJ200148</v>
      </c>
      <c r="R159">
        <v>0</v>
      </c>
      <c r="S159">
        <v>68</v>
      </c>
      <c r="T159">
        <v>140</v>
      </c>
      <c r="U159">
        <v>214</v>
      </c>
      <c r="V159">
        <v>310</v>
      </c>
      <c r="W159">
        <v>394</v>
      </c>
      <c r="X159">
        <v>543</v>
      </c>
      <c r="Y159">
        <v>648</v>
      </c>
      <c r="Z159">
        <v>759</v>
      </c>
      <c r="AA159">
        <v>973</v>
      </c>
      <c r="AB159">
        <v>1114</v>
      </c>
      <c r="AC159">
        <v>1265</v>
      </c>
      <c r="AD159">
        <v>1429</v>
      </c>
      <c r="AE159">
        <v>1602</v>
      </c>
      <c r="AF159">
        <v>1785</v>
      </c>
      <c r="AG159">
        <v>1981</v>
      </c>
      <c r="AH159">
        <v>2190</v>
      </c>
      <c r="AI159">
        <v>2420</v>
      </c>
      <c r="AJ159">
        <v>2667</v>
      </c>
      <c r="AK159">
        <v>2932</v>
      </c>
      <c r="AL159">
        <v>3106</v>
      </c>
      <c r="AM159">
        <v>3301</v>
      </c>
      <c r="AN159">
        <v>3531</v>
      </c>
      <c r="AO159">
        <v>3784</v>
      </c>
      <c r="AP159">
        <v>4068</v>
      </c>
      <c r="AQ159">
        <v>4390</v>
      </c>
      <c r="AR159">
        <v>4755</v>
      </c>
      <c r="AS159">
        <v>5225</v>
      </c>
      <c r="AT159">
        <v>5775</v>
      </c>
      <c r="AU159">
        <v>6403</v>
      </c>
      <c r="AV159">
        <v>7151</v>
      </c>
      <c r="AW159">
        <v>8010</v>
      </c>
      <c r="AX159">
        <v>9080</v>
      </c>
      <c r="AY159">
        <v>10381</v>
      </c>
      <c r="AZ159">
        <v>11955</v>
      </c>
      <c r="BA159">
        <v>13896</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Z159" s="343" t="s">
        <v>633</v>
      </c>
      <c r="EA159" t="s">
        <v>1010</v>
      </c>
      <c r="EB159">
        <v>1</v>
      </c>
      <c r="EC159">
        <v>48</v>
      </c>
      <c r="ED159" s="184" t="str">
        <f t="shared" si="7"/>
        <v>SDJ200148</v>
      </c>
      <c r="EE159">
        <v>0</v>
      </c>
      <c r="EF159">
        <v>84</v>
      </c>
      <c r="EG159">
        <v>166</v>
      </c>
      <c r="EH159">
        <v>243</v>
      </c>
      <c r="EI159">
        <v>340</v>
      </c>
      <c r="EJ159">
        <v>416</v>
      </c>
      <c r="EK159">
        <v>555</v>
      </c>
      <c r="EL159">
        <v>643</v>
      </c>
      <c r="EM159">
        <v>731</v>
      </c>
      <c r="EN159">
        <v>909</v>
      </c>
      <c r="EO159">
        <v>1007</v>
      </c>
      <c r="EP159">
        <v>1106</v>
      </c>
      <c r="EQ159">
        <v>1208</v>
      </c>
      <c r="ER159">
        <v>1312</v>
      </c>
      <c r="ES159">
        <v>1420</v>
      </c>
      <c r="ET159">
        <v>1533</v>
      </c>
      <c r="EU159">
        <v>1652</v>
      </c>
      <c r="EV159">
        <v>1785</v>
      </c>
      <c r="EW159">
        <v>1929</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row>
    <row r="160" spans="13:245" hidden="1">
      <c r="M160" s="343" t="s">
        <v>633</v>
      </c>
      <c r="N160" t="s">
        <v>1010</v>
      </c>
      <c r="O160">
        <v>1</v>
      </c>
      <c r="P160">
        <v>49</v>
      </c>
      <c r="Q160" s="184" t="str">
        <f t="shared" si="6"/>
        <v>SDJ200149</v>
      </c>
      <c r="R160">
        <v>0</v>
      </c>
      <c r="S160">
        <v>77</v>
      </c>
      <c r="T160">
        <v>155</v>
      </c>
      <c r="U160">
        <v>237</v>
      </c>
      <c r="V160">
        <v>343</v>
      </c>
      <c r="W160">
        <v>438</v>
      </c>
      <c r="X160">
        <v>604</v>
      </c>
      <c r="Y160">
        <v>722</v>
      </c>
      <c r="Z160">
        <v>846</v>
      </c>
      <c r="AA160">
        <v>1088</v>
      </c>
      <c r="AB160">
        <v>1247</v>
      </c>
      <c r="AC160">
        <v>1419</v>
      </c>
      <c r="AD160">
        <v>1602</v>
      </c>
      <c r="AE160">
        <v>1797</v>
      </c>
      <c r="AF160">
        <v>2005</v>
      </c>
      <c r="AG160">
        <v>2226</v>
      </c>
      <c r="AH160">
        <v>2471</v>
      </c>
      <c r="AI160">
        <v>2732</v>
      </c>
      <c r="AJ160">
        <v>3013</v>
      </c>
      <c r="AK160">
        <v>3313</v>
      </c>
      <c r="AL160">
        <v>3521</v>
      </c>
      <c r="AM160">
        <v>3765</v>
      </c>
      <c r="AN160">
        <v>4035</v>
      </c>
      <c r="AO160">
        <v>4338</v>
      </c>
      <c r="AP160">
        <v>4682</v>
      </c>
      <c r="AQ160">
        <v>5070</v>
      </c>
      <c r="AR160">
        <v>5572</v>
      </c>
      <c r="AS160">
        <v>6158</v>
      </c>
      <c r="AT160">
        <v>6829</v>
      </c>
      <c r="AU160">
        <v>7626</v>
      </c>
      <c r="AV160">
        <v>8542</v>
      </c>
      <c r="AW160">
        <v>9683</v>
      </c>
      <c r="AX160">
        <v>11070</v>
      </c>
      <c r="AY160">
        <v>12748</v>
      </c>
      <c r="AZ160">
        <v>14819</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Z160" s="343" t="s">
        <v>633</v>
      </c>
      <c r="EA160" t="s">
        <v>1010</v>
      </c>
      <c r="EB160">
        <v>1</v>
      </c>
      <c r="EC160">
        <v>49</v>
      </c>
      <c r="ED160" s="184" t="str">
        <f t="shared" si="7"/>
        <v>SDJ200149</v>
      </c>
      <c r="EE160">
        <v>0</v>
      </c>
      <c r="EF160">
        <v>90</v>
      </c>
      <c r="EG160">
        <v>174</v>
      </c>
      <c r="EH160">
        <v>255</v>
      </c>
      <c r="EI160">
        <v>355</v>
      </c>
      <c r="EJ160">
        <v>446</v>
      </c>
      <c r="EK160">
        <v>582</v>
      </c>
      <c r="EL160">
        <v>674</v>
      </c>
      <c r="EM160">
        <v>765</v>
      </c>
      <c r="EN160">
        <v>951</v>
      </c>
      <c r="EO160">
        <v>1053</v>
      </c>
      <c r="EP160">
        <v>1157</v>
      </c>
      <c r="EQ160">
        <v>1263</v>
      </c>
      <c r="ER160">
        <v>1372</v>
      </c>
      <c r="ES160">
        <v>1485</v>
      </c>
      <c r="ET160">
        <v>1604</v>
      </c>
      <c r="EU160">
        <v>1736</v>
      </c>
      <c r="EV160">
        <v>1876</v>
      </c>
      <c r="EW160">
        <v>2029</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row>
    <row r="161" spans="13:245" hidden="1">
      <c r="M161" s="343" t="s">
        <v>633</v>
      </c>
      <c r="N161" t="s">
        <v>1010</v>
      </c>
      <c r="O161">
        <v>1</v>
      </c>
      <c r="P161">
        <v>50</v>
      </c>
      <c r="Q161" s="184" t="str">
        <f t="shared" si="6"/>
        <v>SDJ200150</v>
      </c>
      <c r="R161">
        <v>0</v>
      </c>
      <c r="S161">
        <v>86</v>
      </c>
      <c r="T161">
        <v>174</v>
      </c>
      <c r="U161">
        <v>265</v>
      </c>
      <c r="V161">
        <v>384</v>
      </c>
      <c r="W161">
        <v>491</v>
      </c>
      <c r="X161">
        <v>678</v>
      </c>
      <c r="Y161">
        <v>811</v>
      </c>
      <c r="Z161">
        <v>953</v>
      </c>
      <c r="AA161">
        <v>1228</v>
      </c>
      <c r="AB161">
        <v>1410</v>
      </c>
      <c r="AC161">
        <v>1605</v>
      </c>
      <c r="AD161">
        <v>1813</v>
      </c>
      <c r="AE161">
        <v>2035</v>
      </c>
      <c r="AF161">
        <v>2272</v>
      </c>
      <c r="AG161">
        <v>2533</v>
      </c>
      <c r="AH161">
        <v>2812</v>
      </c>
      <c r="AI161">
        <v>3113</v>
      </c>
      <c r="AJ161">
        <v>3434</v>
      </c>
      <c r="AK161">
        <v>3783</v>
      </c>
      <c r="AL161">
        <v>4046</v>
      </c>
      <c r="AM161">
        <v>4336</v>
      </c>
      <c r="AN161">
        <v>4661</v>
      </c>
      <c r="AO161">
        <v>5030</v>
      </c>
      <c r="AP161">
        <v>5448</v>
      </c>
      <c r="AQ161">
        <v>5987</v>
      </c>
      <c r="AR161">
        <v>6617</v>
      </c>
      <c r="AS161">
        <v>7337</v>
      </c>
      <c r="AT161">
        <v>8194</v>
      </c>
      <c r="AU161">
        <v>9178</v>
      </c>
      <c r="AV161">
        <v>10404</v>
      </c>
      <c r="AW161">
        <v>11895</v>
      </c>
      <c r="AX161">
        <v>13698</v>
      </c>
      <c r="AY161">
        <v>15923</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Z161" s="343" t="s">
        <v>633</v>
      </c>
      <c r="EA161" t="s">
        <v>1010</v>
      </c>
      <c r="EB161">
        <v>1</v>
      </c>
      <c r="EC161">
        <v>50</v>
      </c>
      <c r="ED161" s="184" t="str">
        <f t="shared" si="7"/>
        <v>SDJ200150</v>
      </c>
      <c r="EE161">
        <v>0</v>
      </c>
      <c r="EF161">
        <v>95</v>
      </c>
      <c r="EG161">
        <v>184</v>
      </c>
      <c r="EH161">
        <v>268</v>
      </c>
      <c r="EI161">
        <v>373</v>
      </c>
      <c r="EJ161">
        <v>480</v>
      </c>
      <c r="EK161">
        <v>611</v>
      </c>
      <c r="EL161">
        <v>707</v>
      </c>
      <c r="EM161">
        <v>807</v>
      </c>
      <c r="EN161">
        <v>997</v>
      </c>
      <c r="EO161">
        <v>1103</v>
      </c>
      <c r="EP161">
        <v>1212</v>
      </c>
      <c r="EQ161">
        <v>1322</v>
      </c>
      <c r="ER161">
        <v>1437</v>
      </c>
      <c r="ES161">
        <v>1556</v>
      </c>
      <c r="ET161">
        <v>1687</v>
      </c>
      <c r="EU161">
        <v>1825</v>
      </c>
      <c r="EV161">
        <v>1976</v>
      </c>
      <c r="EW161">
        <v>2137</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0</v>
      </c>
      <c r="IK161">
        <v>0</v>
      </c>
    </row>
    <row r="162" spans="13:245" hidden="1">
      <c r="M162" s="343" t="s">
        <v>633</v>
      </c>
      <c r="N162" t="s">
        <v>1010</v>
      </c>
      <c r="O162">
        <v>2</v>
      </c>
      <c r="P162">
        <v>0</v>
      </c>
      <c r="Q162" s="184" t="str">
        <f t="shared" si="6"/>
        <v>SDJ200200</v>
      </c>
      <c r="R162">
        <v>0</v>
      </c>
      <c r="S162">
        <v>16</v>
      </c>
      <c r="T162">
        <v>32</v>
      </c>
      <c r="U162">
        <v>48</v>
      </c>
      <c r="V162">
        <v>69</v>
      </c>
      <c r="W162">
        <v>87</v>
      </c>
      <c r="X162">
        <v>119</v>
      </c>
      <c r="Y162">
        <v>140</v>
      </c>
      <c r="Z162">
        <v>162</v>
      </c>
      <c r="AA162">
        <v>205</v>
      </c>
      <c r="AB162">
        <v>230</v>
      </c>
      <c r="AC162">
        <v>256</v>
      </c>
      <c r="AD162">
        <v>282</v>
      </c>
      <c r="AE162">
        <v>309</v>
      </c>
      <c r="AF162">
        <v>337</v>
      </c>
      <c r="AG162">
        <v>365</v>
      </c>
      <c r="AH162">
        <v>393</v>
      </c>
      <c r="AI162">
        <v>423</v>
      </c>
      <c r="AJ162">
        <v>453</v>
      </c>
      <c r="AK162">
        <v>484</v>
      </c>
      <c r="AL162">
        <v>494</v>
      </c>
      <c r="AM162">
        <v>504</v>
      </c>
      <c r="AN162">
        <v>514</v>
      </c>
      <c r="AO162">
        <v>525</v>
      </c>
      <c r="AP162">
        <v>536</v>
      </c>
      <c r="AQ162">
        <v>548</v>
      </c>
      <c r="AR162">
        <v>559</v>
      </c>
      <c r="AS162">
        <v>571</v>
      </c>
      <c r="AT162">
        <v>583</v>
      </c>
      <c r="AU162">
        <v>596</v>
      </c>
      <c r="AV162">
        <v>610</v>
      </c>
      <c r="AW162">
        <v>624</v>
      </c>
      <c r="AX162">
        <v>638</v>
      </c>
      <c r="AY162">
        <v>653</v>
      </c>
      <c r="AZ162">
        <v>669</v>
      </c>
      <c r="BA162">
        <v>685</v>
      </c>
      <c r="BB162">
        <v>703</v>
      </c>
      <c r="BC162">
        <v>721</v>
      </c>
      <c r="BD162">
        <v>740</v>
      </c>
      <c r="BE162">
        <v>760</v>
      </c>
      <c r="BF162">
        <v>782</v>
      </c>
      <c r="BG162">
        <v>805</v>
      </c>
      <c r="BH162">
        <v>829</v>
      </c>
      <c r="BI162">
        <v>855</v>
      </c>
      <c r="BJ162">
        <v>882</v>
      </c>
      <c r="BK162">
        <v>912</v>
      </c>
      <c r="BL162">
        <v>943</v>
      </c>
      <c r="BM162">
        <v>977</v>
      </c>
      <c r="BN162">
        <v>1012</v>
      </c>
      <c r="BO162">
        <v>1048</v>
      </c>
      <c r="BP162">
        <v>1088</v>
      </c>
      <c r="BQ162">
        <v>1130</v>
      </c>
      <c r="BR162">
        <v>1174</v>
      </c>
      <c r="BS162">
        <v>1219</v>
      </c>
      <c r="BT162">
        <v>1268</v>
      </c>
      <c r="BU162">
        <v>1320</v>
      </c>
      <c r="BV162">
        <v>1374</v>
      </c>
      <c r="BW162">
        <v>1431</v>
      </c>
      <c r="BX162">
        <v>1491</v>
      </c>
      <c r="BY162">
        <v>1555</v>
      </c>
      <c r="BZ162">
        <v>1625</v>
      </c>
      <c r="CA162">
        <v>1699</v>
      </c>
      <c r="CB162">
        <v>1777</v>
      </c>
      <c r="CC162">
        <v>1861</v>
      </c>
      <c r="CD162">
        <v>1953</v>
      </c>
      <c r="CE162">
        <v>2056</v>
      </c>
      <c r="CF162">
        <v>2167</v>
      </c>
      <c r="CG162">
        <v>2286</v>
      </c>
      <c r="CH162">
        <v>2416</v>
      </c>
      <c r="CI162">
        <v>2556</v>
      </c>
      <c r="CJ162">
        <v>2721</v>
      </c>
      <c r="CK162">
        <v>2901</v>
      </c>
      <c r="CL162">
        <v>3096</v>
      </c>
      <c r="CM162">
        <v>3315</v>
      </c>
      <c r="CN162">
        <v>3559</v>
      </c>
      <c r="CO162">
        <v>3856</v>
      </c>
      <c r="CP162">
        <v>4190</v>
      </c>
      <c r="CQ162">
        <v>4571</v>
      </c>
      <c r="CR162">
        <v>5017</v>
      </c>
      <c r="CS162">
        <v>5527</v>
      </c>
      <c r="CT162">
        <v>6140</v>
      </c>
      <c r="CU162">
        <v>6855</v>
      </c>
      <c r="CV162">
        <v>7722</v>
      </c>
      <c r="CW162">
        <v>8760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Z162" s="343" t="s">
        <v>633</v>
      </c>
      <c r="EA162" t="s">
        <v>1010</v>
      </c>
      <c r="EB162">
        <v>2</v>
      </c>
      <c r="EC162">
        <v>0</v>
      </c>
      <c r="ED162" s="184" t="str">
        <f t="shared" si="7"/>
        <v>SDJ200200</v>
      </c>
      <c r="EE162">
        <v>0</v>
      </c>
      <c r="EF162">
        <v>63</v>
      </c>
      <c r="EG162">
        <v>120</v>
      </c>
      <c r="EH162">
        <v>173</v>
      </c>
      <c r="EI162">
        <v>240</v>
      </c>
      <c r="EJ162">
        <v>292</v>
      </c>
      <c r="EK162">
        <v>387</v>
      </c>
      <c r="EL162">
        <v>443</v>
      </c>
      <c r="EM162">
        <v>498</v>
      </c>
      <c r="EN162">
        <v>613</v>
      </c>
      <c r="EO162">
        <v>669</v>
      </c>
      <c r="EP162">
        <v>724</v>
      </c>
      <c r="EQ162">
        <v>775</v>
      </c>
      <c r="ER162">
        <v>826</v>
      </c>
      <c r="ES162">
        <v>876</v>
      </c>
      <c r="ET162">
        <v>923</v>
      </c>
      <c r="EU162">
        <v>968</v>
      </c>
      <c r="EV162">
        <v>1014</v>
      </c>
      <c r="EW162">
        <v>1058</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row>
    <row r="163" spans="13:245" hidden="1">
      <c r="M163" s="343" t="s">
        <v>633</v>
      </c>
      <c r="N163" t="s">
        <v>1010</v>
      </c>
      <c r="O163">
        <v>2</v>
      </c>
      <c r="P163">
        <v>1</v>
      </c>
      <c r="Q163" s="184" t="str">
        <f t="shared" si="6"/>
        <v>SDJ200201</v>
      </c>
      <c r="R163">
        <v>0</v>
      </c>
      <c r="S163">
        <v>16</v>
      </c>
      <c r="T163">
        <v>32</v>
      </c>
      <c r="U163">
        <v>49</v>
      </c>
      <c r="V163">
        <v>70</v>
      </c>
      <c r="W163">
        <v>89</v>
      </c>
      <c r="X163">
        <v>122</v>
      </c>
      <c r="Y163">
        <v>143</v>
      </c>
      <c r="Z163">
        <v>166</v>
      </c>
      <c r="AA163">
        <v>209</v>
      </c>
      <c r="AB163">
        <v>235</v>
      </c>
      <c r="AC163">
        <v>261</v>
      </c>
      <c r="AD163">
        <v>288</v>
      </c>
      <c r="AE163">
        <v>316</v>
      </c>
      <c r="AF163">
        <v>344</v>
      </c>
      <c r="AG163">
        <v>372</v>
      </c>
      <c r="AH163">
        <v>401</v>
      </c>
      <c r="AI163">
        <v>432</v>
      </c>
      <c r="AJ163">
        <v>462</v>
      </c>
      <c r="AK163">
        <v>494</v>
      </c>
      <c r="AL163">
        <v>504</v>
      </c>
      <c r="AM163">
        <v>514</v>
      </c>
      <c r="AN163">
        <v>525</v>
      </c>
      <c r="AO163">
        <v>536</v>
      </c>
      <c r="AP163">
        <v>548</v>
      </c>
      <c r="AQ163">
        <v>559</v>
      </c>
      <c r="AR163">
        <v>571</v>
      </c>
      <c r="AS163">
        <v>583</v>
      </c>
      <c r="AT163">
        <v>596</v>
      </c>
      <c r="AU163">
        <v>610</v>
      </c>
      <c r="AV163">
        <v>624</v>
      </c>
      <c r="AW163">
        <v>638</v>
      </c>
      <c r="AX163">
        <v>653</v>
      </c>
      <c r="AY163">
        <v>669</v>
      </c>
      <c r="AZ163">
        <v>685</v>
      </c>
      <c r="BA163">
        <v>703</v>
      </c>
      <c r="BB163">
        <v>721</v>
      </c>
      <c r="BC163">
        <v>740</v>
      </c>
      <c r="BD163">
        <v>760</v>
      </c>
      <c r="BE163">
        <v>782</v>
      </c>
      <c r="BF163">
        <v>805</v>
      </c>
      <c r="BG163">
        <v>829</v>
      </c>
      <c r="BH163">
        <v>855</v>
      </c>
      <c r="BI163">
        <v>882</v>
      </c>
      <c r="BJ163">
        <v>912</v>
      </c>
      <c r="BK163">
        <v>943</v>
      </c>
      <c r="BL163">
        <v>977</v>
      </c>
      <c r="BM163">
        <v>1012</v>
      </c>
      <c r="BN163">
        <v>1048</v>
      </c>
      <c r="BO163">
        <v>1088</v>
      </c>
      <c r="BP163">
        <v>1130</v>
      </c>
      <c r="BQ163">
        <v>1174</v>
      </c>
      <c r="BR163">
        <v>1219</v>
      </c>
      <c r="BS163">
        <v>1268</v>
      </c>
      <c r="BT163">
        <v>1320</v>
      </c>
      <c r="BU163">
        <v>1374</v>
      </c>
      <c r="BV163">
        <v>1431</v>
      </c>
      <c r="BW163">
        <v>1491</v>
      </c>
      <c r="BX163">
        <v>1555</v>
      </c>
      <c r="BY163">
        <v>1625</v>
      </c>
      <c r="BZ163">
        <v>1699</v>
      </c>
      <c r="CA163">
        <v>1777</v>
      </c>
      <c r="CB163">
        <v>1861</v>
      </c>
      <c r="CC163">
        <v>1953</v>
      </c>
      <c r="CD163">
        <v>2056</v>
      </c>
      <c r="CE163">
        <v>2167</v>
      </c>
      <c r="CF163">
        <v>2286</v>
      </c>
      <c r="CG163">
        <v>2416</v>
      </c>
      <c r="CH163">
        <v>2556</v>
      </c>
      <c r="CI163">
        <v>2721</v>
      </c>
      <c r="CJ163">
        <v>2901</v>
      </c>
      <c r="CK163">
        <v>3096</v>
      </c>
      <c r="CL163">
        <v>3315</v>
      </c>
      <c r="CM163">
        <v>3559</v>
      </c>
      <c r="CN163">
        <v>3856</v>
      </c>
      <c r="CO163">
        <v>4190</v>
      </c>
      <c r="CP163">
        <v>4571</v>
      </c>
      <c r="CQ163">
        <v>5017</v>
      </c>
      <c r="CR163">
        <v>5527</v>
      </c>
      <c r="CS163">
        <v>6140</v>
      </c>
      <c r="CT163">
        <v>6855</v>
      </c>
      <c r="CU163">
        <v>7722</v>
      </c>
      <c r="CV163">
        <v>8760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Z163" s="343" t="s">
        <v>633</v>
      </c>
      <c r="EA163" t="s">
        <v>1010</v>
      </c>
      <c r="EB163">
        <v>2</v>
      </c>
      <c r="EC163">
        <v>1</v>
      </c>
      <c r="ED163" s="184" t="str">
        <f t="shared" si="7"/>
        <v>SDJ200201</v>
      </c>
      <c r="EE163">
        <v>0</v>
      </c>
      <c r="EF163">
        <v>62</v>
      </c>
      <c r="EG163">
        <v>118</v>
      </c>
      <c r="EH163">
        <v>174</v>
      </c>
      <c r="EI163">
        <v>239</v>
      </c>
      <c r="EJ163">
        <v>293</v>
      </c>
      <c r="EK163">
        <v>389</v>
      </c>
      <c r="EL163">
        <v>444</v>
      </c>
      <c r="EM163">
        <v>501</v>
      </c>
      <c r="EN163">
        <v>613</v>
      </c>
      <c r="EO163">
        <v>670</v>
      </c>
      <c r="EP163">
        <v>723</v>
      </c>
      <c r="EQ163">
        <v>776</v>
      </c>
      <c r="ER163">
        <v>828</v>
      </c>
      <c r="ES163">
        <v>877</v>
      </c>
      <c r="ET163">
        <v>924</v>
      </c>
      <c r="EU163">
        <v>970</v>
      </c>
      <c r="EV163">
        <v>1017</v>
      </c>
      <c r="EW163">
        <v>1060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row>
    <row r="164" spans="13:245" hidden="1">
      <c r="M164" s="343" t="s">
        <v>633</v>
      </c>
      <c r="N164" t="s">
        <v>1010</v>
      </c>
      <c r="O164">
        <v>2</v>
      </c>
      <c r="P164">
        <v>2</v>
      </c>
      <c r="Q164" s="184" t="str">
        <f t="shared" si="6"/>
        <v>SDJ200202</v>
      </c>
      <c r="R164">
        <v>0</v>
      </c>
      <c r="S164">
        <v>17</v>
      </c>
      <c r="T164">
        <v>33</v>
      </c>
      <c r="U164">
        <v>50</v>
      </c>
      <c r="V164">
        <v>72</v>
      </c>
      <c r="W164">
        <v>91</v>
      </c>
      <c r="X164">
        <v>124</v>
      </c>
      <c r="Y164">
        <v>147</v>
      </c>
      <c r="Z164">
        <v>169</v>
      </c>
      <c r="AA164">
        <v>214</v>
      </c>
      <c r="AB164">
        <v>240</v>
      </c>
      <c r="AC164">
        <v>267</v>
      </c>
      <c r="AD164">
        <v>294</v>
      </c>
      <c r="AE164">
        <v>322</v>
      </c>
      <c r="AF164">
        <v>351</v>
      </c>
      <c r="AG164">
        <v>380</v>
      </c>
      <c r="AH164">
        <v>410</v>
      </c>
      <c r="AI164">
        <v>441</v>
      </c>
      <c r="AJ164">
        <v>472</v>
      </c>
      <c r="AK164">
        <v>504</v>
      </c>
      <c r="AL164">
        <v>514</v>
      </c>
      <c r="AM164">
        <v>525</v>
      </c>
      <c r="AN164">
        <v>536</v>
      </c>
      <c r="AO164">
        <v>548</v>
      </c>
      <c r="AP164">
        <v>559</v>
      </c>
      <c r="AQ164">
        <v>571</v>
      </c>
      <c r="AR164">
        <v>583</v>
      </c>
      <c r="AS164">
        <v>596</v>
      </c>
      <c r="AT164">
        <v>610</v>
      </c>
      <c r="AU164">
        <v>624</v>
      </c>
      <c r="AV164">
        <v>638</v>
      </c>
      <c r="AW164">
        <v>653</v>
      </c>
      <c r="AX164">
        <v>669</v>
      </c>
      <c r="AY164">
        <v>685</v>
      </c>
      <c r="AZ164">
        <v>703</v>
      </c>
      <c r="BA164">
        <v>721</v>
      </c>
      <c r="BB164">
        <v>740</v>
      </c>
      <c r="BC164">
        <v>760</v>
      </c>
      <c r="BD164">
        <v>782</v>
      </c>
      <c r="BE164">
        <v>805</v>
      </c>
      <c r="BF164">
        <v>829</v>
      </c>
      <c r="BG164">
        <v>855</v>
      </c>
      <c r="BH164">
        <v>882</v>
      </c>
      <c r="BI164">
        <v>912</v>
      </c>
      <c r="BJ164">
        <v>943</v>
      </c>
      <c r="BK164">
        <v>977</v>
      </c>
      <c r="BL164">
        <v>1012</v>
      </c>
      <c r="BM164">
        <v>1048</v>
      </c>
      <c r="BN164">
        <v>1088</v>
      </c>
      <c r="BO164">
        <v>1130</v>
      </c>
      <c r="BP164">
        <v>1174</v>
      </c>
      <c r="BQ164">
        <v>1219</v>
      </c>
      <c r="BR164">
        <v>1268</v>
      </c>
      <c r="BS164">
        <v>1320</v>
      </c>
      <c r="BT164">
        <v>1374</v>
      </c>
      <c r="BU164">
        <v>1431</v>
      </c>
      <c r="BV164">
        <v>1491</v>
      </c>
      <c r="BW164">
        <v>1555</v>
      </c>
      <c r="BX164">
        <v>1625</v>
      </c>
      <c r="BY164">
        <v>1699</v>
      </c>
      <c r="BZ164">
        <v>1777</v>
      </c>
      <c r="CA164">
        <v>1861</v>
      </c>
      <c r="CB164">
        <v>1953</v>
      </c>
      <c r="CC164">
        <v>2056</v>
      </c>
      <c r="CD164">
        <v>2167</v>
      </c>
      <c r="CE164">
        <v>2286</v>
      </c>
      <c r="CF164">
        <v>2416</v>
      </c>
      <c r="CG164">
        <v>2556</v>
      </c>
      <c r="CH164">
        <v>2721</v>
      </c>
      <c r="CI164">
        <v>2901</v>
      </c>
      <c r="CJ164">
        <v>3096</v>
      </c>
      <c r="CK164">
        <v>3315</v>
      </c>
      <c r="CL164">
        <v>3559</v>
      </c>
      <c r="CM164">
        <v>3856</v>
      </c>
      <c r="CN164">
        <v>4190</v>
      </c>
      <c r="CO164">
        <v>4571</v>
      </c>
      <c r="CP164">
        <v>5017</v>
      </c>
      <c r="CQ164">
        <v>5527</v>
      </c>
      <c r="CR164">
        <v>6140</v>
      </c>
      <c r="CS164">
        <v>6855</v>
      </c>
      <c r="CT164">
        <v>7722</v>
      </c>
      <c r="CU164">
        <v>8760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Z164" s="343" t="s">
        <v>633</v>
      </c>
      <c r="EA164" t="s">
        <v>1010</v>
      </c>
      <c r="EB164">
        <v>2</v>
      </c>
      <c r="EC164">
        <v>2</v>
      </c>
      <c r="ED164" s="184" t="str">
        <f t="shared" si="7"/>
        <v>SDJ200202</v>
      </c>
      <c r="EE164">
        <v>0</v>
      </c>
      <c r="EF164">
        <v>65</v>
      </c>
      <c r="EG164">
        <v>120</v>
      </c>
      <c r="EH164">
        <v>174</v>
      </c>
      <c r="EI164">
        <v>242</v>
      </c>
      <c r="EJ164">
        <v>294</v>
      </c>
      <c r="EK164">
        <v>388</v>
      </c>
      <c r="EL164">
        <v>447</v>
      </c>
      <c r="EM164">
        <v>500</v>
      </c>
      <c r="EN164">
        <v>615</v>
      </c>
      <c r="EO164">
        <v>670</v>
      </c>
      <c r="EP164">
        <v>725</v>
      </c>
      <c r="EQ164">
        <v>777</v>
      </c>
      <c r="ER164">
        <v>828</v>
      </c>
      <c r="ES164">
        <v>879</v>
      </c>
      <c r="ET164">
        <v>926</v>
      </c>
      <c r="EU164">
        <v>974</v>
      </c>
      <c r="EV164">
        <v>1021</v>
      </c>
      <c r="EW164">
        <v>1064</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0</v>
      </c>
      <c r="IG164">
        <v>0</v>
      </c>
      <c r="IH164">
        <v>0</v>
      </c>
      <c r="II164">
        <v>0</v>
      </c>
      <c r="IJ164">
        <v>0</v>
      </c>
      <c r="IK164">
        <v>0</v>
      </c>
    </row>
    <row r="165" spans="13:245" hidden="1">
      <c r="M165" s="343" t="s">
        <v>633</v>
      </c>
      <c r="N165" t="s">
        <v>1010</v>
      </c>
      <c r="O165">
        <v>2</v>
      </c>
      <c r="P165">
        <v>3</v>
      </c>
      <c r="Q165" s="184" t="str">
        <f t="shared" si="6"/>
        <v>SDJ200203</v>
      </c>
      <c r="R165">
        <v>0</v>
      </c>
      <c r="S165">
        <v>17</v>
      </c>
      <c r="T165">
        <v>34</v>
      </c>
      <c r="U165">
        <v>51</v>
      </c>
      <c r="V165">
        <v>74</v>
      </c>
      <c r="W165">
        <v>93</v>
      </c>
      <c r="X165">
        <v>127</v>
      </c>
      <c r="Y165">
        <v>149</v>
      </c>
      <c r="Z165">
        <v>173</v>
      </c>
      <c r="AA165">
        <v>218</v>
      </c>
      <c r="AB165">
        <v>245</v>
      </c>
      <c r="AC165">
        <v>272</v>
      </c>
      <c r="AD165">
        <v>300</v>
      </c>
      <c r="AE165">
        <v>329</v>
      </c>
      <c r="AF165">
        <v>358</v>
      </c>
      <c r="AG165">
        <v>388</v>
      </c>
      <c r="AH165">
        <v>418</v>
      </c>
      <c r="AI165">
        <v>450</v>
      </c>
      <c r="AJ165">
        <v>482</v>
      </c>
      <c r="AK165">
        <v>514</v>
      </c>
      <c r="AL165">
        <v>525</v>
      </c>
      <c r="AM165">
        <v>536</v>
      </c>
      <c r="AN165">
        <v>548</v>
      </c>
      <c r="AO165">
        <v>559</v>
      </c>
      <c r="AP165">
        <v>571</v>
      </c>
      <c r="AQ165">
        <v>583</v>
      </c>
      <c r="AR165">
        <v>596</v>
      </c>
      <c r="AS165">
        <v>610</v>
      </c>
      <c r="AT165">
        <v>624</v>
      </c>
      <c r="AU165">
        <v>638</v>
      </c>
      <c r="AV165">
        <v>653</v>
      </c>
      <c r="AW165">
        <v>669</v>
      </c>
      <c r="AX165">
        <v>685</v>
      </c>
      <c r="AY165">
        <v>703</v>
      </c>
      <c r="AZ165">
        <v>721</v>
      </c>
      <c r="BA165">
        <v>740</v>
      </c>
      <c r="BB165">
        <v>760</v>
      </c>
      <c r="BC165">
        <v>782</v>
      </c>
      <c r="BD165">
        <v>805</v>
      </c>
      <c r="BE165">
        <v>829</v>
      </c>
      <c r="BF165">
        <v>855</v>
      </c>
      <c r="BG165">
        <v>882</v>
      </c>
      <c r="BH165">
        <v>912</v>
      </c>
      <c r="BI165">
        <v>943</v>
      </c>
      <c r="BJ165">
        <v>977</v>
      </c>
      <c r="BK165">
        <v>1012</v>
      </c>
      <c r="BL165">
        <v>1048</v>
      </c>
      <c r="BM165">
        <v>1088</v>
      </c>
      <c r="BN165">
        <v>1130</v>
      </c>
      <c r="BO165">
        <v>1174</v>
      </c>
      <c r="BP165">
        <v>1219</v>
      </c>
      <c r="BQ165">
        <v>1268</v>
      </c>
      <c r="BR165">
        <v>1320</v>
      </c>
      <c r="BS165">
        <v>1374</v>
      </c>
      <c r="BT165">
        <v>1431</v>
      </c>
      <c r="BU165">
        <v>1491</v>
      </c>
      <c r="BV165">
        <v>1555</v>
      </c>
      <c r="BW165">
        <v>1625</v>
      </c>
      <c r="BX165">
        <v>1699</v>
      </c>
      <c r="BY165">
        <v>1777</v>
      </c>
      <c r="BZ165">
        <v>1861</v>
      </c>
      <c r="CA165">
        <v>1953</v>
      </c>
      <c r="CB165">
        <v>2056</v>
      </c>
      <c r="CC165">
        <v>2167</v>
      </c>
      <c r="CD165">
        <v>2286</v>
      </c>
      <c r="CE165">
        <v>2416</v>
      </c>
      <c r="CF165">
        <v>2556</v>
      </c>
      <c r="CG165">
        <v>2721</v>
      </c>
      <c r="CH165">
        <v>2901</v>
      </c>
      <c r="CI165">
        <v>3096</v>
      </c>
      <c r="CJ165">
        <v>3315</v>
      </c>
      <c r="CK165">
        <v>3559</v>
      </c>
      <c r="CL165">
        <v>3856</v>
      </c>
      <c r="CM165">
        <v>4190</v>
      </c>
      <c r="CN165">
        <v>4571</v>
      </c>
      <c r="CO165">
        <v>5017</v>
      </c>
      <c r="CP165">
        <v>5527</v>
      </c>
      <c r="CQ165">
        <v>6140</v>
      </c>
      <c r="CR165">
        <v>6855</v>
      </c>
      <c r="CS165">
        <v>7722</v>
      </c>
      <c r="CT165">
        <v>8760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Z165" s="343" t="s">
        <v>633</v>
      </c>
      <c r="EA165" t="s">
        <v>1010</v>
      </c>
      <c r="EB165">
        <v>2</v>
      </c>
      <c r="EC165">
        <v>3</v>
      </c>
      <c r="ED165" s="184" t="str">
        <f t="shared" si="7"/>
        <v>SDJ200203</v>
      </c>
      <c r="EE165">
        <v>0</v>
      </c>
      <c r="EF165">
        <v>63</v>
      </c>
      <c r="EG165">
        <v>121</v>
      </c>
      <c r="EH165">
        <v>174</v>
      </c>
      <c r="EI165">
        <v>243</v>
      </c>
      <c r="EJ165">
        <v>295</v>
      </c>
      <c r="EK165">
        <v>389</v>
      </c>
      <c r="EL165">
        <v>444</v>
      </c>
      <c r="EM165">
        <v>501</v>
      </c>
      <c r="EN165">
        <v>614</v>
      </c>
      <c r="EO165">
        <v>671</v>
      </c>
      <c r="EP165">
        <v>725</v>
      </c>
      <c r="EQ165">
        <v>778</v>
      </c>
      <c r="ER165">
        <v>831</v>
      </c>
      <c r="ES165">
        <v>880</v>
      </c>
      <c r="ET165">
        <v>929</v>
      </c>
      <c r="EU165">
        <v>975</v>
      </c>
      <c r="EV165">
        <v>1023</v>
      </c>
      <c r="EW165">
        <v>1068</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c r="IK165">
        <v>0</v>
      </c>
    </row>
    <row r="166" spans="13:245" hidden="1">
      <c r="M166" s="343" t="s">
        <v>633</v>
      </c>
      <c r="N166" t="s">
        <v>1010</v>
      </c>
      <c r="O166">
        <v>2</v>
      </c>
      <c r="P166">
        <v>4</v>
      </c>
      <c r="Q166" s="184" t="str">
        <f t="shared" si="6"/>
        <v>SDJ200204</v>
      </c>
      <c r="R166">
        <v>0</v>
      </c>
      <c r="S166">
        <v>17</v>
      </c>
      <c r="T166">
        <v>35</v>
      </c>
      <c r="U166">
        <v>52</v>
      </c>
      <c r="V166">
        <v>75</v>
      </c>
      <c r="W166">
        <v>94</v>
      </c>
      <c r="X166">
        <v>129</v>
      </c>
      <c r="Y166">
        <v>152</v>
      </c>
      <c r="Z166">
        <v>176</v>
      </c>
      <c r="AA166">
        <v>222</v>
      </c>
      <c r="AB166">
        <v>250</v>
      </c>
      <c r="AC166">
        <v>278</v>
      </c>
      <c r="AD166">
        <v>306</v>
      </c>
      <c r="AE166">
        <v>335</v>
      </c>
      <c r="AF166">
        <v>365</v>
      </c>
      <c r="AG166">
        <v>396</v>
      </c>
      <c r="AH166">
        <v>427</v>
      </c>
      <c r="AI166">
        <v>459</v>
      </c>
      <c r="AJ166">
        <v>492</v>
      </c>
      <c r="AK166">
        <v>525</v>
      </c>
      <c r="AL166">
        <v>536</v>
      </c>
      <c r="AM166">
        <v>548</v>
      </c>
      <c r="AN166">
        <v>559</v>
      </c>
      <c r="AO166">
        <v>571</v>
      </c>
      <c r="AP166">
        <v>583</v>
      </c>
      <c r="AQ166">
        <v>596</v>
      </c>
      <c r="AR166">
        <v>610</v>
      </c>
      <c r="AS166">
        <v>624</v>
      </c>
      <c r="AT166">
        <v>638</v>
      </c>
      <c r="AU166">
        <v>653</v>
      </c>
      <c r="AV166">
        <v>669</v>
      </c>
      <c r="AW166">
        <v>685</v>
      </c>
      <c r="AX166">
        <v>703</v>
      </c>
      <c r="AY166">
        <v>721</v>
      </c>
      <c r="AZ166">
        <v>740</v>
      </c>
      <c r="BA166">
        <v>760</v>
      </c>
      <c r="BB166">
        <v>782</v>
      </c>
      <c r="BC166">
        <v>805</v>
      </c>
      <c r="BD166">
        <v>829</v>
      </c>
      <c r="BE166">
        <v>855</v>
      </c>
      <c r="BF166">
        <v>882</v>
      </c>
      <c r="BG166">
        <v>912</v>
      </c>
      <c r="BH166">
        <v>943</v>
      </c>
      <c r="BI166">
        <v>977</v>
      </c>
      <c r="BJ166">
        <v>1012</v>
      </c>
      <c r="BK166">
        <v>1048</v>
      </c>
      <c r="BL166">
        <v>1088</v>
      </c>
      <c r="BM166">
        <v>1130</v>
      </c>
      <c r="BN166">
        <v>1174</v>
      </c>
      <c r="BO166">
        <v>1219</v>
      </c>
      <c r="BP166">
        <v>1268</v>
      </c>
      <c r="BQ166">
        <v>1320</v>
      </c>
      <c r="BR166">
        <v>1374</v>
      </c>
      <c r="BS166">
        <v>1431</v>
      </c>
      <c r="BT166">
        <v>1491</v>
      </c>
      <c r="BU166">
        <v>1555</v>
      </c>
      <c r="BV166">
        <v>1625</v>
      </c>
      <c r="BW166">
        <v>1699</v>
      </c>
      <c r="BX166">
        <v>1777</v>
      </c>
      <c r="BY166">
        <v>1861</v>
      </c>
      <c r="BZ166">
        <v>1953</v>
      </c>
      <c r="CA166">
        <v>2056</v>
      </c>
      <c r="CB166">
        <v>2167</v>
      </c>
      <c r="CC166">
        <v>2286</v>
      </c>
      <c r="CD166">
        <v>2416</v>
      </c>
      <c r="CE166">
        <v>2556</v>
      </c>
      <c r="CF166">
        <v>2721</v>
      </c>
      <c r="CG166">
        <v>2901</v>
      </c>
      <c r="CH166">
        <v>3096</v>
      </c>
      <c r="CI166">
        <v>3315</v>
      </c>
      <c r="CJ166">
        <v>3559</v>
      </c>
      <c r="CK166">
        <v>3856</v>
      </c>
      <c r="CL166">
        <v>4190</v>
      </c>
      <c r="CM166">
        <v>4571</v>
      </c>
      <c r="CN166">
        <v>5017</v>
      </c>
      <c r="CO166">
        <v>5527</v>
      </c>
      <c r="CP166">
        <v>6140</v>
      </c>
      <c r="CQ166">
        <v>6855</v>
      </c>
      <c r="CR166">
        <v>7722</v>
      </c>
      <c r="CS166">
        <v>8760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Z166" s="343" t="s">
        <v>633</v>
      </c>
      <c r="EA166" t="s">
        <v>1010</v>
      </c>
      <c r="EB166">
        <v>2</v>
      </c>
      <c r="EC166">
        <v>4</v>
      </c>
      <c r="ED166" s="184" t="str">
        <f t="shared" si="7"/>
        <v>SDJ200204</v>
      </c>
      <c r="EE166">
        <v>0</v>
      </c>
      <c r="EF166">
        <v>62</v>
      </c>
      <c r="EG166">
        <v>123</v>
      </c>
      <c r="EH166">
        <v>174</v>
      </c>
      <c r="EI166">
        <v>242</v>
      </c>
      <c r="EJ166">
        <v>292</v>
      </c>
      <c r="EK166">
        <v>388</v>
      </c>
      <c r="EL166">
        <v>444</v>
      </c>
      <c r="EM166">
        <v>500</v>
      </c>
      <c r="EN166">
        <v>613</v>
      </c>
      <c r="EO166">
        <v>672</v>
      </c>
      <c r="EP166">
        <v>727</v>
      </c>
      <c r="EQ166">
        <v>779</v>
      </c>
      <c r="ER166">
        <v>830</v>
      </c>
      <c r="ES166">
        <v>881</v>
      </c>
      <c r="ET166">
        <v>932</v>
      </c>
      <c r="EU166">
        <v>979</v>
      </c>
      <c r="EV166">
        <v>1025</v>
      </c>
      <c r="EW166">
        <v>1071</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row>
    <row r="167" spans="13:245" hidden="1">
      <c r="M167" s="343" t="s">
        <v>633</v>
      </c>
      <c r="N167" t="s">
        <v>1010</v>
      </c>
      <c r="O167">
        <v>2</v>
      </c>
      <c r="P167">
        <v>5</v>
      </c>
      <c r="Q167" s="184" t="str">
        <f t="shared" si="6"/>
        <v>SDJ200205</v>
      </c>
      <c r="R167">
        <v>0</v>
      </c>
      <c r="S167">
        <v>17</v>
      </c>
      <c r="T167">
        <v>35</v>
      </c>
      <c r="U167">
        <v>53</v>
      </c>
      <c r="V167">
        <v>77</v>
      </c>
      <c r="W167">
        <v>97</v>
      </c>
      <c r="X167">
        <v>132</v>
      </c>
      <c r="Y167">
        <v>156</v>
      </c>
      <c r="Z167">
        <v>180</v>
      </c>
      <c r="AA167">
        <v>227</v>
      </c>
      <c r="AB167">
        <v>255</v>
      </c>
      <c r="AC167">
        <v>283</v>
      </c>
      <c r="AD167">
        <v>312</v>
      </c>
      <c r="AE167">
        <v>342</v>
      </c>
      <c r="AF167">
        <v>373</v>
      </c>
      <c r="AG167">
        <v>404</v>
      </c>
      <c r="AH167">
        <v>436</v>
      </c>
      <c r="AI167">
        <v>469</v>
      </c>
      <c r="AJ167">
        <v>502</v>
      </c>
      <c r="AK167">
        <v>536</v>
      </c>
      <c r="AL167">
        <v>548</v>
      </c>
      <c r="AM167">
        <v>559</v>
      </c>
      <c r="AN167">
        <v>571</v>
      </c>
      <c r="AO167">
        <v>583</v>
      </c>
      <c r="AP167">
        <v>596</v>
      </c>
      <c r="AQ167">
        <v>610</v>
      </c>
      <c r="AR167">
        <v>624</v>
      </c>
      <c r="AS167">
        <v>638</v>
      </c>
      <c r="AT167">
        <v>653</v>
      </c>
      <c r="AU167">
        <v>669</v>
      </c>
      <c r="AV167">
        <v>685</v>
      </c>
      <c r="AW167">
        <v>703</v>
      </c>
      <c r="AX167">
        <v>721</v>
      </c>
      <c r="AY167">
        <v>740</v>
      </c>
      <c r="AZ167">
        <v>760</v>
      </c>
      <c r="BA167">
        <v>782</v>
      </c>
      <c r="BB167">
        <v>805</v>
      </c>
      <c r="BC167">
        <v>829</v>
      </c>
      <c r="BD167">
        <v>855</v>
      </c>
      <c r="BE167">
        <v>882</v>
      </c>
      <c r="BF167">
        <v>912</v>
      </c>
      <c r="BG167">
        <v>943</v>
      </c>
      <c r="BH167">
        <v>977</v>
      </c>
      <c r="BI167">
        <v>1012</v>
      </c>
      <c r="BJ167">
        <v>1048</v>
      </c>
      <c r="BK167">
        <v>1088</v>
      </c>
      <c r="BL167">
        <v>1130</v>
      </c>
      <c r="BM167">
        <v>1174</v>
      </c>
      <c r="BN167">
        <v>1219</v>
      </c>
      <c r="BO167">
        <v>1268</v>
      </c>
      <c r="BP167">
        <v>1320</v>
      </c>
      <c r="BQ167">
        <v>1374</v>
      </c>
      <c r="BR167">
        <v>1431</v>
      </c>
      <c r="BS167">
        <v>1491</v>
      </c>
      <c r="BT167">
        <v>1555</v>
      </c>
      <c r="BU167">
        <v>1625</v>
      </c>
      <c r="BV167">
        <v>1699</v>
      </c>
      <c r="BW167">
        <v>1777</v>
      </c>
      <c r="BX167">
        <v>1861</v>
      </c>
      <c r="BY167">
        <v>1953</v>
      </c>
      <c r="BZ167">
        <v>2056</v>
      </c>
      <c r="CA167">
        <v>2167</v>
      </c>
      <c r="CB167">
        <v>2286</v>
      </c>
      <c r="CC167">
        <v>2416</v>
      </c>
      <c r="CD167">
        <v>2556</v>
      </c>
      <c r="CE167">
        <v>2721</v>
      </c>
      <c r="CF167">
        <v>2901</v>
      </c>
      <c r="CG167">
        <v>3096</v>
      </c>
      <c r="CH167">
        <v>3315</v>
      </c>
      <c r="CI167">
        <v>3559</v>
      </c>
      <c r="CJ167">
        <v>3856</v>
      </c>
      <c r="CK167">
        <v>4190</v>
      </c>
      <c r="CL167">
        <v>4571</v>
      </c>
      <c r="CM167">
        <v>5017</v>
      </c>
      <c r="CN167">
        <v>5527</v>
      </c>
      <c r="CO167">
        <v>6140</v>
      </c>
      <c r="CP167">
        <v>6855</v>
      </c>
      <c r="CQ167">
        <v>7722</v>
      </c>
      <c r="CR167">
        <v>8760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Z167" s="343" t="s">
        <v>633</v>
      </c>
      <c r="EA167" t="s">
        <v>1010</v>
      </c>
      <c r="EB167">
        <v>2</v>
      </c>
      <c r="EC167">
        <v>5</v>
      </c>
      <c r="ED167" s="184" t="str">
        <f t="shared" si="7"/>
        <v>SDJ200205</v>
      </c>
      <c r="EE167">
        <v>0</v>
      </c>
      <c r="EF167">
        <v>61</v>
      </c>
      <c r="EG167">
        <v>120</v>
      </c>
      <c r="EH167">
        <v>174</v>
      </c>
      <c r="EI167">
        <v>243</v>
      </c>
      <c r="EJ167">
        <v>295</v>
      </c>
      <c r="EK167">
        <v>389</v>
      </c>
      <c r="EL167">
        <v>447</v>
      </c>
      <c r="EM167">
        <v>501</v>
      </c>
      <c r="EN167">
        <v>615</v>
      </c>
      <c r="EO167">
        <v>672</v>
      </c>
      <c r="EP167">
        <v>726</v>
      </c>
      <c r="EQ167">
        <v>780</v>
      </c>
      <c r="ER167">
        <v>833</v>
      </c>
      <c r="ES167">
        <v>885</v>
      </c>
      <c r="ET167">
        <v>934</v>
      </c>
      <c r="EU167">
        <v>982</v>
      </c>
      <c r="EV167">
        <v>1029</v>
      </c>
      <c r="EW167">
        <v>1073</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row>
    <row r="168" spans="13:245" hidden="1">
      <c r="M168" s="343" t="s">
        <v>633</v>
      </c>
      <c r="N168" t="s">
        <v>1010</v>
      </c>
      <c r="O168">
        <v>2</v>
      </c>
      <c r="P168">
        <v>6</v>
      </c>
      <c r="Q168" s="184" t="str">
        <f t="shared" si="6"/>
        <v>SDJ200206</v>
      </c>
      <c r="R168">
        <v>0</v>
      </c>
      <c r="S168">
        <v>18</v>
      </c>
      <c r="T168">
        <v>36</v>
      </c>
      <c r="U168">
        <v>54</v>
      </c>
      <c r="V168">
        <v>78</v>
      </c>
      <c r="W168">
        <v>98</v>
      </c>
      <c r="X168">
        <v>135</v>
      </c>
      <c r="Y168">
        <v>158</v>
      </c>
      <c r="Z168">
        <v>184</v>
      </c>
      <c r="AA168">
        <v>232</v>
      </c>
      <c r="AB168">
        <v>260</v>
      </c>
      <c r="AC168">
        <v>289</v>
      </c>
      <c r="AD168">
        <v>319</v>
      </c>
      <c r="AE168">
        <v>349</v>
      </c>
      <c r="AF168">
        <v>381</v>
      </c>
      <c r="AG168">
        <v>412</v>
      </c>
      <c r="AH168">
        <v>445</v>
      </c>
      <c r="AI168">
        <v>478</v>
      </c>
      <c r="AJ168">
        <v>513</v>
      </c>
      <c r="AK168">
        <v>548</v>
      </c>
      <c r="AL168">
        <v>559</v>
      </c>
      <c r="AM168">
        <v>571</v>
      </c>
      <c r="AN168">
        <v>583</v>
      </c>
      <c r="AO168">
        <v>596</v>
      </c>
      <c r="AP168">
        <v>610</v>
      </c>
      <c r="AQ168">
        <v>624</v>
      </c>
      <c r="AR168">
        <v>638</v>
      </c>
      <c r="AS168">
        <v>653</v>
      </c>
      <c r="AT168">
        <v>669</v>
      </c>
      <c r="AU168">
        <v>685</v>
      </c>
      <c r="AV168">
        <v>703</v>
      </c>
      <c r="AW168">
        <v>721</v>
      </c>
      <c r="AX168">
        <v>740</v>
      </c>
      <c r="AY168">
        <v>760</v>
      </c>
      <c r="AZ168">
        <v>782</v>
      </c>
      <c r="BA168">
        <v>805</v>
      </c>
      <c r="BB168">
        <v>829</v>
      </c>
      <c r="BC168">
        <v>855</v>
      </c>
      <c r="BD168">
        <v>882</v>
      </c>
      <c r="BE168">
        <v>912</v>
      </c>
      <c r="BF168">
        <v>943</v>
      </c>
      <c r="BG168">
        <v>977</v>
      </c>
      <c r="BH168">
        <v>1012</v>
      </c>
      <c r="BI168">
        <v>1048</v>
      </c>
      <c r="BJ168">
        <v>1088</v>
      </c>
      <c r="BK168">
        <v>1130</v>
      </c>
      <c r="BL168">
        <v>1174</v>
      </c>
      <c r="BM168">
        <v>1219</v>
      </c>
      <c r="BN168">
        <v>1268</v>
      </c>
      <c r="BO168">
        <v>1320</v>
      </c>
      <c r="BP168">
        <v>1374</v>
      </c>
      <c r="BQ168">
        <v>1431</v>
      </c>
      <c r="BR168">
        <v>1491</v>
      </c>
      <c r="BS168">
        <v>1555</v>
      </c>
      <c r="BT168">
        <v>1625</v>
      </c>
      <c r="BU168">
        <v>1699</v>
      </c>
      <c r="BV168">
        <v>1777</v>
      </c>
      <c r="BW168">
        <v>1861</v>
      </c>
      <c r="BX168">
        <v>1953</v>
      </c>
      <c r="BY168">
        <v>2056</v>
      </c>
      <c r="BZ168">
        <v>2167</v>
      </c>
      <c r="CA168">
        <v>2286</v>
      </c>
      <c r="CB168">
        <v>2416</v>
      </c>
      <c r="CC168">
        <v>2556</v>
      </c>
      <c r="CD168">
        <v>2721</v>
      </c>
      <c r="CE168">
        <v>2901</v>
      </c>
      <c r="CF168">
        <v>3096</v>
      </c>
      <c r="CG168">
        <v>3315</v>
      </c>
      <c r="CH168">
        <v>3559</v>
      </c>
      <c r="CI168">
        <v>3856</v>
      </c>
      <c r="CJ168">
        <v>4190</v>
      </c>
      <c r="CK168">
        <v>4571</v>
      </c>
      <c r="CL168">
        <v>5017</v>
      </c>
      <c r="CM168">
        <v>5527</v>
      </c>
      <c r="CN168">
        <v>6140</v>
      </c>
      <c r="CO168">
        <v>6855</v>
      </c>
      <c r="CP168">
        <v>7722</v>
      </c>
      <c r="CQ168">
        <v>8760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Z168" s="343" t="s">
        <v>633</v>
      </c>
      <c r="EA168" t="s">
        <v>1010</v>
      </c>
      <c r="EB168">
        <v>2</v>
      </c>
      <c r="EC168">
        <v>6</v>
      </c>
      <c r="ED168" s="184" t="str">
        <f t="shared" si="7"/>
        <v>SDJ200206</v>
      </c>
      <c r="EE168">
        <v>0</v>
      </c>
      <c r="EF168">
        <v>63</v>
      </c>
      <c r="EG168">
        <v>121</v>
      </c>
      <c r="EH168">
        <v>174</v>
      </c>
      <c r="EI168">
        <v>241</v>
      </c>
      <c r="EJ168">
        <v>292</v>
      </c>
      <c r="EK168">
        <v>390</v>
      </c>
      <c r="EL168">
        <v>444</v>
      </c>
      <c r="EM168">
        <v>502</v>
      </c>
      <c r="EN168">
        <v>617</v>
      </c>
      <c r="EO168">
        <v>673</v>
      </c>
      <c r="EP168">
        <v>728</v>
      </c>
      <c r="EQ168">
        <v>783</v>
      </c>
      <c r="ER168">
        <v>835</v>
      </c>
      <c r="ES168">
        <v>888</v>
      </c>
      <c r="ET168">
        <v>936</v>
      </c>
      <c r="EU168">
        <v>985</v>
      </c>
      <c r="EV168">
        <v>1031</v>
      </c>
      <c r="EW168">
        <v>1078</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row>
    <row r="169" spans="13:245" hidden="1">
      <c r="M169" s="343" t="s">
        <v>633</v>
      </c>
      <c r="N169" t="s">
        <v>1010</v>
      </c>
      <c r="O169">
        <v>2</v>
      </c>
      <c r="P169">
        <v>7</v>
      </c>
      <c r="Q169" s="184" t="str">
        <f t="shared" si="6"/>
        <v>SDJ200207</v>
      </c>
      <c r="R169">
        <v>0</v>
      </c>
      <c r="S169">
        <v>18</v>
      </c>
      <c r="T169">
        <v>37</v>
      </c>
      <c r="U169">
        <v>56</v>
      </c>
      <c r="V169">
        <v>80</v>
      </c>
      <c r="W169">
        <v>101</v>
      </c>
      <c r="X169">
        <v>138</v>
      </c>
      <c r="Y169">
        <v>162</v>
      </c>
      <c r="Z169">
        <v>187</v>
      </c>
      <c r="AA169">
        <v>236</v>
      </c>
      <c r="AB169">
        <v>265</v>
      </c>
      <c r="AC169">
        <v>295</v>
      </c>
      <c r="AD169">
        <v>326</v>
      </c>
      <c r="AE169">
        <v>357</v>
      </c>
      <c r="AF169">
        <v>388</v>
      </c>
      <c r="AG169">
        <v>421</v>
      </c>
      <c r="AH169">
        <v>454</v>
      </c>
      <c r="AI169">
        <v>489</v>
      </c>
      <c r="AJ169">
        <v>523</v>
      </c>
      <c r="AK169">
        <v>559</v>
      </c>
      <c r="AL169">
        <v>571</v>
      </c>
      <c r="AM169">
        <v>583</v>
      </c>
      <c r="AN169">
        <v>596</v>
      </c>
      <c r="AO169">
        <v>610</v>
      </c>
      <c r="AP169">
        <v>624</v>
      </c>
      <c r="AQ169">
        <v>638</v>
      </c>
      <c r="AR169">
        <v>653</v>
      </c>
      <c r="AS169">
        <v>669</v>
      </c>
      <c r="AT169">
        <v>685</v>
      </c>
      <c r="AU169">
        <v>703</v>
      </c>
      <c r="AV169">
        <v>721</v>
      </c>
      <c r="AW169">
        <v>740</v>
      </c>
      <c r="AX169">
        <v>760</v>
      </c>
      <c r="AY169">
        <v>782</v>
      </c>
      <c r="AZ169">
        <v>805</v>
      </c>
      <c r="BA169">
        <v>829</v>
      </c>
      <c r="BB169">
        <v>855</v>
      </c>
      <c r="BC169">
        <v>882</v>
      </c>
      <c r="BD169">
        <v>912</v>
      </c>
      <c r="BE169">
        <v>943</v>
      </c>
      <c r="BF169">
        <v>977</v>
      </c>
      <c r="BG169">
        <v>1012</v>
      </c>
      <c r="BH169">
        <v>1048</v>
      </c>
      <c r="BI169">
        <v>1088</v>
      </c>
      <c r="BJ169">
        <v>1130</v>
      </c>
      <c r="BK169">
        <v>1174</v>
      </c>
      <c r="BL169">
        <v>1219</v>
      </c>
      <c r="BM169">
        <v>1268</v>
      </c>
      <c r="BN169">
        <v>1320</v>
      </c>
      <c r="BO169">
        <v>1374</v>
      </c>
      <c r="BP169">
        <v>1431</v>
      </c>
      <c r="BQ169">
        <v>1491</v>
      </c>
      <c r="BR169">
        <v>1555</v>
      </c>
      <c r="BS169">
        <v>1625</v>
      </c>
      <c r="BT169">
        <v>1699</v>
      </c>
      <c r="BU169">
        <v>1777</v>
      </c>
      <c r="BV169">
        <v>1861</v>
      </c>
      <c r="BW169">
        <v>1953</v>
      </c>
      <c r="BX169">
        <v>2056</v>
      </c>
      <c r="BY169">
        <v>2167</v>
      </c>
      <c r="BZ169">
        <v>2286</v>
      </c>
      <c r="CA169">
        <v>2416</v>
      </c>
      <c r="CB169">
        <v>2556</v>
      </c>
      <c r="CC169">
        <v>2721</v>
      </c>
      <c r="CD169">
        <v>2901</v>
      </c>
      <c r="CE169">
        <v>3096</v>
      </c>
      <c r="CF169">
        <v>3315</v>
      </c>
      <c r="CG169">
        <v>3559</v>
      </c>
      <c r="CH169">
        <v>3856</v>
      </c>
      <c r="CI169">
        <v>4190</v>
      </c>
      <c r="CJ169">
        <v>4571</v>
      </c>
      <c r="CK169">
        <v>5017</v>
      </c>
      <c r="CL169">
        <v>5527</v>
      </c>
      <c r="CM169">
        <v>6140</v>
      </c>
      <c r="CN169">
        <v>6855</v>
      </c>
      <c r="CO169">
        <v>7722</v>
      </c>
      <c r="CP169">
        <v>8760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Z169" s="343" t="s">
        <v>633</v>
      </c>
      <c r="EA169" t="s">
        <v>1010</v>
      </c>
      <c r="EB169">
        <v>2</v>
      </c>
      <c r="EC169">
        <v>7</v>
      </c>
      <c r="ED169" s="184" t="str">
        <f t="shared" si="7"/>
        <v>SDJ200207</v>
      </c>
      <c r="EE169">
        <v>0</v>
      </c>
      <c r="EF169">
        <v>62</v>
      </c>
      <c r="EG169">
        <v>122</v>
      </c>
      <c r="EH169">
        <v>176</v>
      </c>
      <c r="EI169">
        <v>243</v>
      </c>
      <c r="EJ169">
        <v>295</v>
      </c>
      <c r="EK169">
        <v>391</v>
      </c>
      <c r="EL169">
        <v>446</v>
      </c>
      <c r="EM169">
        <v>501</v>
      </c>
      <c r="EN169">
        <v>616</v>
      </c>
      <c r="EO169">
        <v>673</v>
      </c>
      <c r="EP169">
        <v>730</v>
      </c>
      <c r="EQ169">
        <v>786</v>
      </c>
      <c r="ER169">
        <v>839</v>
      </c>
      <c r="ES169">
        <v>889</v>
      </c>
      <c r="ET169">
        <v>940</v>
      </c>
      <c r="EU169">
        <v>987</v>
      </c>
      <c r="EV169">
        <v>1036</v>
      </c>
      <c r="EW169">
        <v>1079</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0</v>
      </c>
      <c r="ID169">
        <v>0</v>
      </c>
      <c r="IE169">
        <v>0</v>
      </c>
      <c r="IF169">
        <v>0</v>
      </c>
      <c r="IG169">
        <v>0</v>
      </c>
      <c r="IH169">
        <v>0</v>
      </c>
      <c r="II169">
        <v>0</v>
      </c>
      <c r="IJ169">
        <v>0</v>
      </c>
      <c r="IK169">
        <v>0</v>
      </c>
    </row>
    <row r="170" spans="13:245" hidden="1">
      <c r="M170" s="343" t="s">
        <v>633</v>
      </c>
      <c r="N170" t="s">
        <v>1010</v>
      </c>
      <c r="O170">
        <v>2</v>
      </c>
      <c r="P170">
        <v>8</v>
      </c>
      <c r="Q170" s="184" t="str">
        <f t="shared" si="6"/>
        <v>SDJ200208</v>
      </c>
      <c r="R170">
        <v>0</v>
      </c>
      <c r="S170">
        <v>19</v>
      </c>
      <c r="T170">
        <v>38</v>
      </c>
      <c r="U170">
        <v>57</v>
      </c>
      <c r="V170">
        <v>82</v>
      </c>
      <c r="W170">
        <v>103</v>
      </c>
      <c r="X170">
        <v>140</v>
      </c>
      <c r="Y170">
        <v>166</v>
      </c>
      <c r="Z170">
        <v>191</v>
      </c>
      <c r="AA170">
        <v>241</v>
      </c>
      <c r="AB170">
        <v>271</v>
      </c>
      <c r="AC170">
        <v>301</v>
      </c>
      <c r="AD170">
        <v>332</v>
      </c>
      <c r="AE170">
        <v>364</v>
      </c>
      <c r="AF170">
        <v>397</v>
      </c>
      <c r="AG170">
        <v>430</v>
      </c>
      <c r="AH170">
        <v>464</v>
      </c>
      <c r="AI170">
        <v>499</v>
      </c>
      <c r="AJ170">
        <v>534</v>
      </c>
      <c r="AK170">
        <v>571</v>
      </c>
      <c r="AL170">
        <v>583</v>
      </c>
      <c r="AM170">
        <v>596</v>
      </c>
      <c r="AN170">
        <v>610</v>
      </c>
      <c r="AO170">
        <v>624</v>
      </c>
      <c r="AP170">
        <v>638</v>
      </c>
      <c r="AQ170">
        <v>653</v>
      </c>
      <c r="AR170">
        <v>669</v>
      </c>
      <c r="AS170">
        <v>685</v>
      </c>
      <c r="AT170">
        <v>703</v>
      </c>
      <c r="AU170">
        <v>721</v>
      </c>
      <c r="AV170">
        <v>740</v>
      </c>
      <c r="AW170">
        <v>760</v>
      </c>
      <c r="AX170">
        <v>782</v>
      </c>
      <c r="AY170">
        <v>805</v>
      </c>
      <c r="AZ170">
        <v>829</v>
      </c>
      <c r="BA170">
        <v>855</v>
      </c>
      <c r="BB170">
        <v>882</v>
      </c>
      <c r="BC170">
        <v>912</v>
      </c>
      <c r="BD170">
        <v>943</v>
      </c>
      <c r="BE170">
        <v>977</v>
      </c>
      <c r="BF170">
        <v>1012</v>
      </c>
      <c r="BG170">
        <v>1048</v>
      </c>
      <c r="BH170">
        <v>1088</v>
      </c>
      <c r="BI170">
        <v>1130</v>
      </c>
      <c r="BJ170">
        <v>1174</v>
      </c>
      <c r="BK170">
        <v>1219</v>
      </c>
      <c r="BL170">
        <v>1268</v>
      </c>
      <c r="BM170">
        <v>1320</v>
      </c>
      <c r="BN170">
        <v>1374</v>
      </c>
      <c r="BO170">
        <v>1431</v>
      </c>
      <c r="BP170">
        <v>1491</v>
      </c>
      <c r="BQ170">
        <v>1555</v>
      </c>
      <c r="BR170">
        <v>1625</v>
      </c>
      <c r="BS170">
        <v>1699</v>
      </c>
      <c r="BT170">
        <v>1777</v>
      </c>
      <c r="BU170">
        <v>1861</v>
      </c>
      <c r="BV170">
        <v>1953</v>
      </c>
      <c r="BW170">
        <v>2056</v>
      </c>
      <c r="BX170">
        <v>2167</v>
      </c>
      <c r="BY170">
        <v>2286</v>
      </c>
      <c r="BZ170">
        <v>2416</v>
      </c>
      <c r="CA170">
        <v>2556</v>
      </c>
      <c r="CB170">
        <v>2721</v>
      </c>
      <c r="CC170">
        <v>2901</v>
      </c>
      <c r="CD170">
        <v>3096</v>
      </c>
      <c r="CE170">
        <v>3315</v>
      </c>
      <c r="CF170">
        <v>3559</v>
      </c>
      <c r="CG170">
        <v>3856</v>
      </c>
      <c r="CH170">
        <v>4190</v>
      </c>
      <c r="CI170">
        <v>4571</v>
      </c>
      <c r="CJ170">
        <v>5017</v>
      </c>
      <c r="CK170">
        <v>5527</v>
      </c>
      <c r="CL170">
        <v>6140</v>
      </c>
      <c r="CM170">
        <v>6855</v>
      </c>
      <c r="CN170">
        <v>7722</v>
      </c>
      <c r="CO170">
        <v>8760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Z170" s="343" t="s">
        <v>633</v>
      </c>
      <c r="EA170" t="s">
        <v>1010</v>
      </c>
      <c r="EB170">
        <v>2</v>
      </c>
      <c r="EC170">
        <v>8</v>
      </c>
      <c r="ED170" s="184" t="str">
        <f t="shared" si="7"/>
        <v>SDJ200208</v>
      </c>
      <c r="EE170">
        <v>0</v>
      </c>
      <c r="EF170">
        <v>64</v>
      </c>
      <c r="EG170">
        <v>123</v>
      </c>
      <c r="EH170">
        <v>176</v>
      </c>
      <c r="EI170">
        <v>244</v>
      </c>
      <c r="EJ170">
        <v>295</v>
      </c>
      <c r="EK170">
        <v>389</v>
      </c>
      <c r="EL170">
        <v>449</v>
      </c>
      <c r="EM170">
        <v>502</v>
      </c>
      <c r="EN170">
        <v>617</v>
      </c>
      <c r="EO170">
        <v>676</v>
      </c>
      <c r="EP170">
        <v>732</v>
      </c>
      <c r="EQ170">
        <v>787</v>
      </c>
      <c r="ER170">
        <v>841</v>
      </c>
      <c r="ES170">
        <v>894</v>
      </c>
      <c r="ET170">
        <v>943</v>
      </c>
      <c r="EU170">
        <v>991</v>
      </c>
      <c r="EV170">
        <v>1039</v>
      </c>
      <c r="EW170">
        <v>1083</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0</v>
      </c>
      <c r="IB170">
        <v>0</v>
      </c>
      <c r="IC170">
        <v>0</v>
      </c>
      <c r="ID170">
        <v>0</v>
      </c>
      <c r="IE170">
        <v>0</v>
      </c>
      <c r="IF170">
        <v>0</v>
      </c>
      <c r="IG170">
        <v>0</v>
      </c>
      <c r="IH170">
        <v>0</v>
      </c>
      <c r="II170">
        <v>0</v>
      </c>
      <c r="IJ170">
        <v>0</v>
      </c>
      <c r="IK170">
        <v>0</v>
      </c>
    </row>
    <row r="171" spans="13:245" hidden="1">
      <c r="M171" s="343" t="s">
        <v>633</v>
      </c>
      <c r="N171" t="s">
        <v>1010</v>
      </c>
      <c r="O171">
        <v>2</v>
      </c>
      <c r="P171">
        <v>9</v>
      </c>
      <c r="Q171" s="184" t="str">
        <f t="shared" si="6"/>
        <v>SDJ200209</v>
      </c>
      <c r="R171">
        <v>0</v>
      </c>
      <c r="S171">
        <v>19</v>
      </c>
      <c r="T171">
        <v>38</v>
      </c>
      <c r="U171">
        <v>58</v>
      </c>
      <c r="V171">
        <v>83</v>
      </c>
      <c r="W171">
        <v>105</v>
      </c>
      <c r="X171">
        <v>143</v>
      </c>
      <c r="Y171">
        <v>169</v>
      </c>
      <c r="Z171">
        <v>194</v>
      </c>
      <c r="AA171">
        <v>246</v>
      </c>
      <c r="AB171">
        <v>277</v>
      </c>
      <c r="AC171">
        <v>308</v>
      </c>
      <c r="AD171">
        <v>339</v>
      </c>
      <c r="AE171">
        <v>372</v>
      </c>
      <c r="AF171">
        <v>405</v>
      </c>
      <c r="AG171">
        <v>439</v>
      </c>
      <c r="AH171">
        <v>474</v>
      </c>
      <c r="AI171">
        <v>509</v>
      </c>
      <c r="AJ171">
        <v>546</v>
      </c>
      <c r="AK171">
        <v>583</v>
      </c>
      <c r="AL171">
        <v>596</v>
      </c>
      <c r="AM171">
        <v>610</v>
      </c>
      <c r="AN171">
        <v>624</v>
      </c>
      <c r="AO171">
        <v>638</v>
      </c>
      <c r="AP171">
        <v>653</v>
      </c>
      <c r="AQ171">
        <v>669</v>
      </c>
      <c r="AR171">
        <v>685</v>
      </c>
      <c r="AS171">
        <v>703</v>
      </c>
      <c r="AT171">
        <v>721</v>
      </c>
      <c r="AU171">
        <v>740</v>
      </c>
      <c r="AV171">
        <v>760</v>
      </c>
      <c r="AW171">
        <v>782</v>
      </c>
      <c r="AX171">
        <v>805</v>
      </c>
      <c r="AY171">
        <v>829</v>
      </c>
      <c r="AZ171">
        <v>855</v>
      </c>
      <c r="BA171">
        <v>882</v>
      </c>
      <c r="BB171">
        <v>912</v>
      </c>
      <c r="BC171">
        <v>943</v>
      </c>
      <c r="BD171">
        <v>977</v>
      </c>
      <c r="BE171">
        <v>1012</v>
      </c>
      <c r="BF171">
        <v>1048</v>
      </c>
      <c r="BG171">
        <v>1088</v>
      </c>
      <c r="BH171">
        <v>1130</v>
      </c>
      <c r="BI171">
        <v>1174</v>
      </c>
      <c r="BJ171">
        <v>1219</v>
      </c>
      <c r="BK171">
        <v>1268</v>
      </c>
      <c r="BL171">
        <v>1320</v>
      </c>
      <c r="BM171">
        <v>1374</v>
      </c>
      <c r="BN171">
        <v>1431</v>
      </c>
      <c r="BO171">
        <v>1491</v>
      </c>
      <c r="BP171">
        <v>1555</v>
      </c>
      <c r="BQ171">
        <v>1625</v>
      </c>
      <c r="BR171">
        <v>1699</v>
      </c>
      <c r="BS171">
        <v>1777</v>
      </c>
      <c r="BT171">
        <v>1861</v>
      </c>
      <c r="BU171">
        <v>1953</v>
      </c>
      <c r="BV171">
        <v>2056</v>
      </c>
      <c r="BW171">
        <v>2167</v>
      </c>
      <c r="BX171">
        <v>2286</v>
      </c>
      <c r="BY171">
        <v>2416</v>
      </c>
      <c r="BZ171">
        <v>2556</v>
      </c>
      <c r="CA171">
        <v>2721</v>
      </c>
      <c r="CB171">
        <v>2901</v>
      </c>
      <c r="CC171">
        <v>3096</v>
      </c>
      <c r="CD171">
        <v>3315</v>
      </c>
      <c r="CE171">
        <v>3559</v>
      </c>
      <c r="CF171">
        <v>3856</v>
      </c>
      <c r="CG171">
        <v>4190</v>
      </c>
      <c r="CH171">
        <v>4571</v>
      </c>
      <c r="CI171">
        <v>5017</v>
      </c>
      <c r="CJ171">
        <v>5527</v>
      </c>
      <c r="CK171">
        <v>6140</v>
      </c>
      <c r="CL171">
        <v>6855</v>
      </c>
      <c r="CM171">
        <v>7722</v>
      </c>
      <c r="CN171">
        <v>8760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Z171" s="343" t="s">
        <v>633</v>
      </c>
      <c r="EA171" t="s">
        <v>1010</v>
      </c>
      <c r="EB171">
        <v>2</v>
      </c>
      <c r="EC171">
        <v>9</v>
      </c>
      <c r="ED171" s="184" t="str">
        <f t="shared" si="7"/>
        <v>SDJ200209</v>
      </c>
      <c r="EE171">
        <v>0</v>
      </c>
      <c r="EF171">
        <v>63</v>
      </c>
      <c r="EG171">
        <v>120</v>
      </c>
      <c r="EH171">
        <v>175</v>
      </c>
      <c r="EI171">
        <v>242</v>
      </c>
      <c r="EJ171">
        <v>295</v>
      </c>
      <c r="EK171">
        <v>390</v>
      </c>
      <c r="EL171">
        <v>448</v>
      </c>
      <c r="EM171">
        <v>501</v>
      </c>
      <c r="EN171">
        <v>619</v>
      </c>
      <c r="EO171">
        <v>679</v>
      </c>
      <c r="EP171">
        <v>736</v>
      </c>
      <c r="EQ171">
        <v>789</v>
      </c>
      <c r="ER171">
        <v>844</v>
      </c>
      <c r="ES171">
        <v>895</v>
      </c>
      <c r="ET171">
        <v>946</v>
      </c>
      <c r="EU171">
        <v>995</v>
      </c>
      <c r="EV171">
        <v>1041</v>
      </c>
      <c r="EW171">
        <v>1088</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0</v>
      </c>
      <c r="IH171">
        <v>0</v>
      </c>
      <c r="II171">
        <v>0</v>
      </c>
      <c r="IJ171">
        <v>0</v>
      </c>
      <c r="IK171">
        <v>0</v>
      </c>
    </row>
    <row r="172" spans="13:245" hidden="1">
      <c r="M172" s="343" t="s">
        <v>633</v>
      </c>
      <c r="N172" t="s">
        <v>1010</v>
      </c>
      <c r="O172">
        <v>2</v>
      </c>
      <c r="P172">
        <v>10</v>
      </c>
      <c r="Q172" s="184" t="str">
        <f t="shared" si="6"/>
        <v>SDJ200210</v>
      </c>
      <c r="R172">
        <v>0</v>
      </c>
      <c r="S172">
        <v>20</v>
      </c>
      <c r="T172">
        <v>39</v>
      </c>
      <c r="U172">
        <v>59</v>
      </c>
      <c r="V172">
        <v>85</v>
      </c>
      <c r="W172">
        <v>107</v>
      </c>
      <c r="X172">
        <v>146</v>
      </c>
      <c r="Y172">
        <v>172</v>
      </c>
      <c r="Z172">
        <v>199</v>
      </c>
      <c r="AA172">
        <v>251</v>
      </c>
      <c r="AB172">
        <v>282</v>
      </c>
      <c r="AC172">
        <v>314</v>
      </c>
      <c r="AD172">
        <v>346</v>
      </c>
      <c r="AE172">
        <v>379</v>
      </c>
      <c r="AF172">
        <v>413</v>
      </c>
      <c r="AG172">
        <v>448</v>
      </c>
      <c r="AH172">
        <v>484</v>
      </c>
      <c r="AI172">
        <v>520</v>
      </c>
      <c r="AJ172">
        <v>558</v>
      </c>
      <c r="AK172">
        <v>596</v>
      </c>
      <c r="AL172">
        <v>610</v>
      </c>
      <c r="AM172">
        <v>624</v>
      </c>
      <c r="AN172">
        <v>638</v>
      </c>
      <c r="AO172">
        <v>653</v>
      </c>
      <c r="AP172">
        <v>669</v>
      </c>
      <c r="AQ172">
        <v>685</v>
      </c>
      <c r="AR172">
        <v>703</v>
      </c>
      <c r="AS172">
        <v>721</v>
      </c>
      <c r="AT172">
        <v>740</v>
      </c>
      <c r="AU172">
        <v>760</v>
      </c>
      <c r="AV172">
        <v>782</v>
      </c>
      <c r="AW172">
        <v>805</v>
      </c>
      <c r="AX172">
        <v>829</v>
      </c>
      <c r="AY172">
        <v>855</v>
      </c>
      <c r="AZ172">
        <v>882</v>
      </c>
      <c r="BA172">
        <v>912</v>
      </c>
      <c r="BB172">
        <v>943</v>
      </c>
      <c r="BC172">
        <v>977</v>
      </c>
      <c r="BD172">
        <v>1012</v>
      </c>
      <c r="BE172">
        <v>1048</v>
      </c>
      <c r="BF172">
        <v>1088</v>
      </c>
      <c r="BG172">
        <v>1130</v>
      </c>
      <c r="BH172">
        <v>1174</v>
      </c>
      <c r="BI172">
        <v>1219</v>
      </c>
      <c r="BJ172">
        <v>1268</v>
      </c>
      <c r="BK172">
        <v>1320</v>
      </c>
      <c r="BL172">
        <v>1374</v>
      </c>
      <c r="BM172">
        <v>1431</v>
      </c>
      <c r="BN172">
        <v>1491</v>
      </c>
      <c r="BO172">
        <v>1555</v>
      </c>
      <c r="BP172">
        <v>1625</v>
      </c>
      <c r="BQ172">
        <v>1699</v>
      </c>
      <c r="BR172">
        <v>1777</v>
      </c>
      <c r="BS172">
        <v>1861</v>
      </c>
      <c r="BT172">
        <v>1953</v>
      </c>
      <c r="BU172">
        <v>2056</v>
      </c>
      <c r="BV172">
        <v>2167</v>
      </c>
      <c r="BW172">
        <v>2286</v>
      </c>
      <c r="BX172">
        <v>2416</v>
      </c>
      <c r="BY172">
        <v>2556</v>
      </c>
      <c r="BZ172">
        <v>2721</v>
      </c>
      <c r="CA172">
        <v>2901</v>
      </c>
      <c r="CB172">
        <v>3096</v>
      </c>
      <c r="CC172">
        <v>3315</v>
      </c>
      <c r="CD172">
        <v>3559</v>
      </c>
      <c r="CE172">
        <v>3856</v>
      </c>
      <c r="CF172">
        <v>4190</v>
      </c>
      <c r="CG172">
        <v>4571</v>
      </c>
      <c r="CH172">
        <v>5017</v>
      </c>
      <c r="CI172">
        <v>5527</v>
      </c>
      <c r="CJ172">
        <v>6140</v>
      </c>
      <c r="CK172">
        <v>6855</v>
      </c>
      <c r="CL172">
        <v>7722</v>
      </c>
      <c r="CM172">
        <v>8760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Z172" s="343" t="s">
        <v>633</v>
      </c>
      <c r="EA172" t="s">
        <v>1010</v>
      </c>
      <c r="EB172">
        <v>2</v>
      </c>
      <c r="EC172">
        <v>10</v>
      </c>
      <c r="ED172" s="184" t="str">
        <f t="shared" si="7"/>
        <v>SDJ200210</v>
      </c>
      <c r="EE172">
        <v>0</v>
      </c>
      <c r="EF172">
        <v>65</v>
      </c>
      <c r="EG172">
        <v>121</v>
      </c>
      <c r="EH172">
        <v>175</v>
      </c>
      <c r="EI172">
        <v>243</v>
      </c>
      <c r="EJ172">
        <v>295</v>
      </c>
      <c r="EK172">
        <v>390</v>
      </c>
      <c r="EL172">
        <v>448</v>
      </c>
      <c r="EM172">
        <v>505</v>
      </c>
      <c r="EN172">
        <v>621</v>
      </c>
      <c r="EO172">
        <v>680</v>
      </c>
      <c r="EP172">
        <v>737</v>
      </c>
      <c r="EQ172">
        <v>792</v>
      </c>
      <c r="ER172">
        <v>845</v>
      </c>
      <c r="ES172">
        <v>897</v>
      </c>
      <c r="ET172">
        <v>948</v>
      </c>
      <c r="EU172">
        <v>998</v>
      </c>
      <c r="EV172">
        <v>1045</v>
      </c>
      <c r="EW172">
        <v>1093</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row>
    <row r="173" spans="13:245" hidden="1">
      <c r="M173" s="343" t="s">
        <v>633</v>
      </c>
      <c r="N173" t="s">
        <v>1010</v>
      </c>
      <c r="O173">
        <v>2</v>
      </c>
      <c r="P173">
        <v>11</v>
      </c>
      <c r="Q173" s="184" t="str">
        <f t="shared" ref="Q173:Q212" si="8">N173&amp;TEXT(O173,"00")&amp;TEXT(P173,"00")</f>
        <v>SDJ200211</v>
      </c>
      <c r="R173">
        <v>0</v>
      </c>
      <c r="S173">
        <v>20</v>
      </c>
      <c r="T173">
        <v>40</v>
      </c>
      <c r="U173">
        <v>60</v>
      </c>
      <c r="V173">
        <v>86</v>
      </c>
      <c r="W173">
        <v>110</v>
      </c>
      <c r="X173">
        <v>149</v>
      </c>
      <c r="Y173">
        <v>176</v>
      </c>
      <c r="Z173">
        <v>203</v>
      </c>
      <c r="AA173">
        <v>256</v>
      </c>
      <c r="AB173">
        <v>288</v>
      </c>
      <c r="AC173">
        <v>320</v>
      </c>
      <c r="AD173">
        <v>353</v>
      </c>
      <c r="AE173">
        <v>387</v>
      </c>
      <c r="AF173">
        <v>422</v>
      </c>
      <c r="AG173">
        <v>458</v>
      </c>
      <c r="AH173">
        <v>494</v>
      </c>
      <c r="AI173">
        <v>531</v>
      </c>
      <c r="AJ173">
        <v>570</v>
      </c>
      <c r="AK173">
        <v>610</v>
      </c>
      <c r="AL173">
        <v>624</v>
      </c>
      <c r="AM173">
        <v>638</v>
      </c>
      <c r="AN173">
        <v>653</v>
      </c>
      <c r="AO173">
        <v>669</v>
      </c>
      <c r="AP173">
        <v>685</v>
      </c>
      <c r="AQ173">
        <v>703</v>
      </c>
      <c r="AR173">
        <v>721</v>
      </c>
      <c r="AS173">
        <v>740</v>
      </c>
      <c r="AT173">
        <v>760</v>
      </c>
      <c r="AU173">
        <v>782</v>
      </c>
      <c r="AV173">
        <v>805</v>
      </c>
      <c r="AW173">
        <v>829</v>
      </c>
      <c r="AX173">
        <v>855</v>
      </c>
      <c r="AY173">
        <v>882</v>
      </c>
      <c r="AZ173">
        <v>912</v>
      </c>
      <c r="BA173">
        <v>943</v>
      </c>
      <c r="BB173">
        <v>977</v>
      </c>
      <c r="BC173">
        <v>1012</v>
      </c>
      <c r="BD173">
        <v>1048</v>
      </c>
      <c r="BE173">
        <v>1088</v>
      </c>
      <c r="BF173">
        <v>1130</v>
      </c>
      <c r="BG173">
        <v>1174</v>
      </c>
      <c r="BH173">
        <v>1219</v>
      </c>
      <c r="BI173">
        <v>1268</v>
      </c>
      <c r="BJ173">
        <v>1320</v>
      </c>
      <c r="BK173">
        <v>1374</v>
      </c>
      <c r="BL173">
        <v>1431</v>
      </c>
      <c r="BM173">
        <v>1491</v>
      </c>
      <c r="BN173">
        <v>1555</v>
      </c>
      <c r="BO173">
        <v>1625</v>
      </c>
      <c r="BP173">
        <v>1699</v>
      </c>
      <c r="BQ173">
        <v>1777</v>
      </c>
      <c r="BR173">
        <v>1861</v>
      </c>
      <c r="BS173">
        <v>1953</v>
      </c>
      <c r="BT173">
        <v>2056</v>
      </c>
      <c r="BU173">
        <v>2167</v>
      </c>
      <c r="BV173">
        <v>2286</v>
      </c>
      <c r="BW173">
        <v>2416</v>
      </c>
      <c r="BX173">
        <v>2556</v>
      </c>
      <c r="BY173">
        <v>2721</v>
      </c>
      <c r="BZ173">
        <v>2901</v>
      </c>
      <c r="CA173">
        <v>3096</v>
      </c>
      <c r="CB173">
        <v>3315</v>
      </c>
      <c r="CC173">
        <v>3559</v>
      </c>
      <c r="CD173">
        <v>3856</v>
      </c>
      <c r="CE173">
        <v>4190</v>
      </c>
      <c r="CF173">
        <v>4571</v>
      </c>
      <c r="CG173">
        <v>5017</v>
      </c>
      <c r="CH173">
        <v>5527</v>
      </c>
      <c r="CI173">
        <v>6140</v>
      </c>
      <c r="CJ173">
        <v>6855</v>
      </c>
      <c r="CK173">
        <v>7722</v>
      </c>
      <c r="CL173">
        <v>8760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Z173" s="343" t="s">
        <v>633</v>
      </c>
      <c r="EA173" t="s">
        <v>1010</v>
      </c>
      <c r="EB173">
        <v>2</v>
      </c>
      <c r="EC173">
        <v>11</v>
      </c>
      <c r="ED173" s="184" t="str">
        <f t="shared" ref="ED173:ED212" si="9">EA173&amp;TEXT(EB173,"00")&amp;TEXT(EC173,"00")</f>
        <v>SDJ200211</v>
      </c>
      <c r="EE173">
        <v>0</v>
      </c>
      <c r="EF173">
        <v>64</v>
      </c>
      <c r="EG173">
        <v>122</v>
      </c>
      <c r="EH173">
        <v>174</v>
      </c>
      <c r="EI173">
        <v>241</v>
      </c>
      <c r="EJ173">
        <v>298</v>
      </c>
      <c r="EK173">
        <v>391</v>
      </c>
      <c r="EL173">
        <v>450</v>
      </c>
      <c r="EM173">
        <v>506</v>
      </c>
      <c r="EN173">
        <v>622</v>
      </c>
      <c r="EO173">
        <v>682</v>
      </c>
      <c r="EP173">
        <v>738</v>
      </c>
      <c r="EQ173">
        <v>793</v>
      </c>
      <c r="ER173">
        <v>847</v>
      </c>
      <c r="ES173">
        <v>900</v>
      </c>
      <c r="ET173">
        <v>952</v>
      </c>
      <c r="EU173">
        <v>1001</v>
      </c>
      <c r="EV173">
        <v>1049</v>
      </c>
      <c r="EW173">
        <v>1098</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c r="IK173">
        <v>0</v>
      </c>
    </row>
    <row r="174" spans="13:245" hidden="1">
      <c r="M174" s="343" t="s">
        <v>633</v>
      </c>
      <c r="N174" t="s">
        <v>1010</v>
      </c>
      <c r="O174">
        <v>2</v>
      </c>
      <c r="P174">
        <v>12</v>
      </c>
      <c r="Q174" s="184" t="str">
        <f t="shared" si="8"/>
        <v>SDJ200212</v>
      </c>
      <c r="R174">
        <v>0</v>
      </c>
      <c r="S174">
        <v>20</v>
      </c>
      <c r="T174">
        <v>41</v>
      </c>
      <c r="U174">
        <v>62</v>
      </c>
      <c r="V174">
        <v>88</v>
      </c>
      <c r="W174">
        <v>111</v>
      </c>
      <c r="X174">
        <v>152</v>
      </c>
      <c r="Y174">
        <v>179</v>
      </c>
      <c r="Z174">
        <v>207</v>
      </c>
      <c r="AA174">
        <v>262</v>
      </c>
      <c r="AB174">
        <v>294</v>
      </c>
      <c r="AC174">
        <v>327</v>
      </c>
      <c r="AD174">
        <v>361</v>
      </c>
      <c r="AE174">
        <v>395</v>
      </c>
      <c r="AF174">
        <v>431</v>
      </c>
      <c r="AG174">
        <v>467</v>
      </c>
      <c r="AH174">
        <v>505</v>
      </c>
      <c r="AI174">
        <v>543</v>
      </c>
      <c r="AJ174">
        <v>583</v>
      </c>
      <c r="AK174">
        <v>624</v>
      </c>
      <c r="AL174">
        <v>638</v>
      </c>
      <c r="AM174">
        <v>653</v>
      </c>
      <c r="AN174">
        <v>669</v>
      </c>
      <c r="AO174">
        <v>685</v>
      </c>
      <c r="AP174">
        <v>703</v>
      </c>
      <c r="AQ174">
        <v>721</v>
      </c>
      <c r="AR174">
        <v>740</v>
      </c>
      <c r="AS174">
        <v>760</v>
      </c>
      <c r="AT174">
        <v>782</v>
      </c>
      <c r="AU174">
        <v>805</v>
      </c>
      <c r="AV174">
        <v>829</v>
      </c>
      <c r="AW174">
        <v>855</v>
      </c>
      <c r="AX174">
        <v>882</v>
      </c>
      <c r="AY174">
        <v>912</v>
      </c>
      <c r="AZ174">
        <v>943</v>
      </c>
      <c r="BA174">
        <v>977</v>
      </c>
      <c r="BB174">
        <v>1012</v>
      </c>
      <c r="BC174">
        <v>1048</v>
      </c>
      <c r="BD174">
        <v>1088</v>
      </c>
      <c r="BE174">
        <v>1130</v>
      </c>
      <c r="BF174">
        <v>1174</v>
      </c>
      <c r="BG174">
        <v>1219</v>
      </c>
      <c r="BH174">
        <v>1268</v>
      </c>
      <c r="BI174">
        <v>1320</v>
      </c>
      <c r="BJ174">
        <v>1374</v>
      </c>
      <c r="BK174">
        <v>1431</v>
      </c>
      <c r="BL174">
        <v>1491</v>
      </c>
      <c r="BM174">
        <v>1555</v>
      </c>
      <c r="BN174">
        <v>1625</v>
      </c>
      <c r="BO174">
        <v>1699</v>
      </c>
      <c r="BP174">
        <v>1777</v>
      </c>
      <c r="BQ174">
        <v>1861</v>
      </c>
      <c r="BR174">
        <v>1953</v>
      </c>
      <c r="BS174">
        <v>2056</v>
      </c>
      <c r="BT174">
        <v>2167</v>
      </c>
      <c r="BU174">
        <v>2286</v>
      </c>
      <c r="BV174">
        <v>2416</v>
      </c>
      <c r="BW174">
        <v>2556</v>
      </c>
      <c r="BX174">
        <v>2721</v>
      </c>
      <c r="BY174">
        <v>2901</v>
      </c>
      <c r="BZ174">
        <v>3096</v>
      </c>
      <c r="CA174">
        <v>3315</v>
      </c>
      <c r="CB174">
        <v>3559</v>
      </c>
      <c r="CC174">
        <v>3856</v>
      </c>
      <c r="CD174">
        <v>4190</v>
      </c>
      <c r="CE174">
        <v>4571</v>
      </c>
      <c r="CF174">
        <v>5017</v>
      </c>
      <c r="CG174">
        <v>5527</v>
      </c>
      <c r="CH174">
        <v>6140</v>
      </c>
      <c r="CI174">
        <v>6855</v>
      </c>
      <c r="CJ174">
        <v>7722</v>
      </c>
      <c r="CK174">
        <v>8760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Z174" s="343" t="s">
        <v>633</v>
      </c>
      <c r="EA174" t="s">
        <v>1010</v>
      </c>
      <c r="EB174">
        <v>2</v>
      </c>
      <c r="EC174">
        <v>12</v>
      </c>
      <c r="ED174" s="184" t="str">
        <f t="shared" si="9"/>
        <v>SDJ200212</v>
      </c>
      <c r="EE174">
        <v>0</v>
      </c>
      <c r="EF174">
        <v>62</v>
      </c>
      <c r="EG174">
        <v>122</v>
      </c>
      <c r="EH174">
        <v>177</v>
      </c>
      <c r="EI174">
        <v>242</v>
      </c>
      <c r="EJ174">
        <v>295</v>
      </c>
      <c r="EK174">
        <v>392</v>
      </c>
      <c r="EL174">
        <v>450</v>
      </c>
      <c r="EM174">
        <v>507</v>
      </c>
      <c r="EN174">
        <v>625</v>
      </c>
      <c r="EO174">
        <v>683</v>
      </c>
      <c r="EP174">
        <v>740</v>
      </c>
      <c r="EQ174">
        <v>797</v>
      </c>
      <c r="ER174">
        <v>849</v>
      </c>
      <c r="ES174">
        <v>903</v>
      </c>
      <c r="ET174">
        <v>954</v>
      </c>
      <c r="EU174">
        <v>1006</v>
      </c>
      <c r="EV174">
        <v>1055</v>
      </c>
      <c r="EW174">
        <v>1104</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c r="IK174">
        <v>0</v>
      </c>
    </row>
    <row r="175" spans="13:245" hidden="1">
      <c r="M175" s="343" t="s">
        <v>633</v>
      </c>
      <c r="N175" t="s">
        <v>1010</v>
      </c>
      <c r="O175">
        <v>2</v>
      </c>
      <c r="P175">
        <v>13</v>
      </c>
      <c r="Q175" s="184" t="str">
        <f t="shared" si="8"/>
        <v>SDJ200213</v>
      </c>
      <c r="R175">
        <v>0</v>
      </c>
      <c r="S175">
        <v>20</v>
      </c>
      <c r="T175">
        <v>41</v>
      </c>
      <c r="U175">
        <v>63</v>
      </c>
      <c r="V175">
        <v>90</v>
      </c>
      <c r="W175">
        <v>114</v>
      </c>
      <c r="X175">
        <v>155</v>
      </c>
      <c r="Y175">
        <v>183</v>
      </c>
      <c r="Z175">
        <v>212</v>
      </c>
      <c r="AA175">
        <v>267</v>
      </c>
      <c r="AB175">
        <v>300</v>
      </c>
      <c r="AC175">
        <v>334</v>
      </c>
      <c r="AD175">
        <v>368</v>
      </c>
      <c r="AE175">
        <v>404</v>
      </c>
      <c r="AF175">
        <v>440</v>
      </c>
      <c r="AG175">
        <v>477</v>
      </c>
      <c r="AH175">
        <v>516</v>
      </c>
      <c r="AI175">
        <v>555</v>
      </c>
      <c r="AJ175">
        <v>596</v>
      </c>
      <c r="AK175">
        <v>638</v>
      </c>
      <c r="AL175">
        <v>653</v>
      </c>
      <c r="AM175">
        <v>669</v>
      </c>
      <c r="AN175">
        <v>685</v>
      </c>
      <c r="AO175">
        <v>703</v>
      </c>
      <c r="AP175">
        <v>721</v>
      </c>
      <c r="AQ175">
        <v>740</v>
      </c>
      <c r="AR175">
        <v>760</v>
      </c>
      <c r="AS175">
        <v>782</v>
      </c>
      <c r="AT175">
        <v>805</v>
      </c>
      <c r="AU175">
        <v>829</v>
      </c>
      <c r="AV175">
        <v>855</v>
      </c>
      <c r="AW175">
        <v>882</v>
      </c>
      <c r="AX175">
        <v>912</v>
      </c>
      <c r="AY175">
        <v>943</v>
      </c>
      <c r="AZ175">
        <v>977</v>
      </c>
      <c r="BA175">
        <v>1012</v>
      </c>
      <c r="BB175">
        <v>1048</v>
      </c>
      <c r="BC175">
        <v>1088</v>
      </c>
      <c r="BD175">
        <v>1130</v>
      </c>
      <c r="BE175">
        <v>1174</v>
      </c>
      <c r="BF175">
        <v>1219</v>
      </c>
      <c r="BG175">
        <v>1268</v>
      </c>
      <c r="BH175">
        <v>1320</v>
      </c>
      <c r="BI175">
        <v>1374</v>
      </c>
      <c r="BJ175">
        <v>1431</v>
      </c>
      <c r="BK175">
        <v>1491</v>
      </c>
      <c r="BL175">
        <v>1555</v>
      </c>
      <c r="BM175">
        <v>1625</v>
      </c>
      <c r="BN175">
        <v>1699</v>
      </c>
      <c r="BO175">
        <v>1777</v>
      </c>
      <c r="BP175">
        <v>1861</v>
      </c>
      <c r="BQ175">
        <v>1953</v>
      </c>
      <c r="BR175">
        <v>2056</v>
      </c>
      <c r="BS175">
        <v>2167</v>
      </c>
      <c r="BT175">
        <v>2286</v>
      </c>
      <c r="BU175">
        <v>2416</v>
      </c>
      <c r="BV175">
        <v>2556</v>
      </c>
      <c r="BW175">
        <v>2721</v>
      </c>
      <c r="BX175">
        <v>2901</v>
      </c>
      <c r="BY175">
        <v>3096</v>
      </c>
      <c r="BZ175">
        <v>3315</v>
      </c>
      <c r="CA175">
        <v>3559</v>
      </c>
      <c r="CB175">
        <v>3856</v>
      </c>
      <c r="CC175">
        <v>4190</v>
      </c>
      <c r="CD175">
        <v>4571</v>
      </c>
      <c r="CE175">
        <v>5017</v>
      </c>
      <c r="CF175">
        <v>5527</v>
      </c>
      <c r="CG175">
        <v>6140</v>
      </c>
      <c r="CH175">
        <v>6855</v>
      </c>
      <c r="CI175">
        <v>7722</v>
      </c>
      <c r="CJ175">
        <v>8760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Z175" s="343" t="s">
        <v>633</v>
      </c>
      <c r="EA175" t="s">
        <v>1010</v>
      </c>
      <c r="EB175">
        <v>2</v>
      </c>
      <c r="EC175">
        <v>13</v>
      </c>
      <c r="ED175" s="184" t="str">
        <f t="shared" si="9"/>
        <v>SDJ200213</v>
      </c>
      <c r="EE175">
        <v>0</v>
      </c>
      <c r="EF175">
        <v>61</v>
      </c>
      <c r="EG175">
        <v>120</v>
      </c>
      <c r="EH175">
        <v>176</v>
      </c>
      <c r="EI175">
        <v>243</v>
      </c>
      <c r="EJ175">
        <v>297</v>
      </c>
      <c r="EK175">
        <v>393</v>
      </c>
      <c r="EL175">
        <v>452</v>
      </c>
      <c r="EM175">
        <v>510</v>
      </c>
      <c r="EN175">
        <v>625</v>
      </c>
      <c r="EO175">
        <v>685</v>
      </c>
      <c r="EP175">
        <v>743</v>
      </c>
      <c r="EQ175">
        <v>798</v>
      </c>
      <c r="ER175">
        <v>854</v>
      </c>
      <c r="ES175">
        <v>906</v>
      </c>
      <c r="ET175">
        <v>958</v>
      </c>
      <c r="EU175">
        <v>1010</v>
      </c>
      <c r="EV175">
        <v>1060</v>
      </c>
      <c r="EW175">
        <v>1110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row>
    <row r="176" spans="13:245" hidden="1">
      <c r="M176" s="343" t="s">
        <v>633</v>
      </c>
      <c r="N176" t="s">
        <v>1010</v>
      </c>
      <c r="O176">
        <v>2</v>
      </c>
      <c r="P176">
        <v>14</v>
      </c>
      <c r="Q176" s="184" t="str">
        <f t="shared" si="8"/>
        <v>SDJ200214</v>
      </c>
      <c r="R176">
        <v>0</v>
      </c>
      <c r="S176">
        <v>21</v>
      </c>
      <c r="T176">
        <v>42</v>
      </c>
      <c r="U176">
        <v>64</v>
      </c>
      <c r="V176">
        <v>92</v>
      </c>
      <c r="W176">
        <v>116</v>
      </c>
      <c r="X176">
        <v>158</v>
      </c>
      <c r="Y176">
        <v>186</v>
      </c>
      <c r="Z176">
        <v>216</v>
      </c>
      <c r="AA176">
        <v>272</v>
      </c>
      <c r="AB176">
        <v>306</v>
      </c>
      <c r="AC176">
        <v>341</v>
      </c>
      <c r="AD176">
        <v>376</v>
      </c>
      <c r="AE176">
        <v>412</v>
      </c>
      <c r="AF176">
        <v>450</v>
      </c>
      <c r="AG176">
        <v>488</v>
      </c>
      <c r="AH176">
        <v>527</v>
      </c>
      <c r="AI176">
        <v>568</v>
      </c>
      <c r="AJ176">
        <v>610</v>
      </c>
      <c r="AK176">
        <v>653</v>
      </c>
      <c r="AL176">
        <v>669</v>
      </c>
      <c r="AM176">
        <v>685</v>
      </c>
      <c r="AN176">
        <v>703</v>
      </c>
      <c r="AO176">
        <v>721</v>
      </c>
      <c r="AP176">
        <v>740</v>
      </c>
      <c r="AQ176">
        <v>760</v>
      </c>
      <c r="AR176">
        <v>782</v>
      </c>
      <c r="AS176">
        <v>805</v>
      </c>
      <c r="AT176">
        <v>829</v>
      </c>
      <c r="AU176">
        <v>855</v>
      </c>
      <c r="AV176">
        <v>882</v>
      </c>
      <c r="AW176">
        <v>912</v>
      </c>
      <c r="AX176">
        <v>943</v>
      </c>
      <c r="AY176">
        <v>977</v>
      </c>
      <c r="AZ176">
        <v>1012</v>
      </c>
      <c r="BA176">
        <v>1048</v>
      </c>
      <c r="BB176">
        <v>1088</v>
      </c>
      <c r="BC176">
        <v>1130</v>
      </c>
      <c r="BD176">
        <v>1174</v>
      </c>
      <c r="BE176">
        <v>1219</v>
      </c>
      <c r="BF176">
        <v>1268</v>
      </c>
      <c r="BG176">
        <v>1320</v>
      </c>
      <c r="BH176">
        <v>1374</v>
      </c>
      <c r="BI176">
        <v>1431</v>
      </c>
      <c r="BJ176">
        <v>1491</v>
      </c>
      <c r="BK176">
        <v>1555</v>
      </c>
      <c r="BL176">
        <v>1625</v>
      </c>
      <c r="BM176">
        <v>1699</v>
      </c>
      <c r="BN176">
        <v>1777</v>
      </c>
      <c r="BO176">
        <v>1861</v>
      </c>
      <c r="BP176">
        <v>1953</v>
      </c>
      <c r="BQ176">
        <v>2056</v>
      </c>
      <c r="BR176">
        <v>2167</v>
      </c>
      <c r="BS176">
        <v>2286</v>
      </c>
      <c r="BT176">
        <v>2416</v>
      </c>
      <c r="BU176">
        <v>2556</v>
      </c>
      <c r="BV176">
        <v>2721</v>
      </c>
      <c r="BW176">
        <v>2901</v>
      </c>
      <c r="BX176">
        <v>3096</v>
      </c>
      <c r="BY176">
        <v>3315</v>
      </c>
      <c r="BZ176">
        <v>3559</v>
      </c>
      <c r="CA176">
        <v>3856</v>
      </c>
      <c r="CB176">
        <v>4190</v>
      </c>
      <c r="CC176">
        <v>4571</v>
      </c>
      <c r="CD176">
        <v>5017</v>
      </c>
      <c r="CE176">
        <v>5527</v>
      </c>
      <c r="CF176">
        <v>6140</v>
      </c>
      <c r="CG176">
        <v>6855</v>
      </c>
      <c r="CH176">
        <v>7722</v>
      </c>
      <c r="CI176">
        <v>8760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Z176" s="343" t="s">
        <v>633</v>
      </c>
      <c r="EA176" t="s">
        <v>1010</v>
      </c>
      <c r="EB176">
        <v>2</v>
      </c>
      <c r="EC176">
        <v>14</v>
      </c>
      <c r="ED176" s="184" t="str">
        <f t="shared" si="9"/>
        <v>SDJ200214</v>
      </c>
      <c r="EE176">
        <v>0</v>
      </c>
      <c r="EF176">
        <v>63</v>
      </c>
      <c r="EG176">
        <v>121</v>
      </c>
      <c r="EH176">
        <v>176</v>
      </c>
      <c r="EI176">
        <v>244</v>
      </c>
      <c r="EJ176">
        <v>297</v>
      </c>
      <c r="EK176">
        <v>393</v>
      </c>
      <c r="EL176">
        <v>451</v>
      </c>
      <c r="EM176">
        <v>510</v>
      </c>
      <c r="EN176">
        <v>626</v>
      </c>
      <c r="EO176">
        <v>686</v>
      </c>
      <c r="EP176">
        <v>745</v>
      </c>
      <c r="EQ176">
        <v>801</v>
      </c>
      <c r="ER176">
        <v>855</v>
      </c>
      <c r="ES176">
        <v>911</v>
      </c>
      <c r="ET176">
        <v>963</v>
      </c>
      <c r="EU176">
        <v>1014</v>
      </c>
      <c r="EV176">
        <v>1066</v>
      </c>
      <c r="EW176">
        <v>1118</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c r="IK176">
        <v>0</v>
      </c>
    </row>
    <row r="177" spans="13:245" hidden="1">
      <c r="M177" s="343" t="s">
        <v>633</v>
      </c>
      <c r="N177" t="s">
        <v>1010</v>
      </c>
      <c r="O177">
        <v>2</v>
      </c>
      <c r="P177">
        <v>15</v>
      </c>
      <c r="Q177" s="184" t="str">
        <f t="shared" si="8"/>
        <v>SDJ200215</v>
      </c>
      <c r="R177">
        <v>0</v>
      </c>
      <c r="S177">
        <v>21</v>
      </c>
      <c r="T177">
        <v>43</v>
      </c>
      <c r="U177">
        <v>65</v>
      </c>
      <c r="V177">
        <v>94</v>
      </c>
      <c r="W177">
        <v>118</v>
      </c>
      <c r="X177">
        <v>161</v>
      </c>
      <c r="Y177">
        <v>191</v>
      </c>
      <c r="Z177">
        <v>221</v>
      </c>
      <c r="AA177">
        <v>278</v>
      </c>
      <c r="AB177">
        <v>313</v>
      </c>
      <c r="AC177">
        <v>348</v>
      </c>
      <c r="AD177">
        <v>384</v>
      </c>
      <c r="AE177">
        <v>421</v>
      </c>
      <c r="AF177">
        <v>460</v>
      </c>
      <c r="AG177">
        <v>499</v>
      </c>
      <c r="AH177">
        <v>539</v>
      </c>
      <c r="AI177">
        <v>581</v>
      </c>
      <c r="AJ177">
        <v>624</v>
      </c>
      <c r="AK177">
        <v>669</v>
      </c>
      <c r="AL177">
        <v>685</v>
      </c>
      <c r="AM177">
        <v>703</v>
      </c>
      <c r="AN177">
        <v>721</v>
      </c>
      <c r="AO177">
        <v>740</v>
      </c>
      <c r="AP177">
        <v>760</v>
      </c>
      <c r="AQ177">
        <v>782</v>
      </c>
      <c r="AR177">
        <v>805</v>
      </c>
      <c r="AS177">
        <v>829</v>
      </c>
      <c r="AT177">
        <v>855</v>
      </c>
      <c r="AU177">
        <v>882</v>
      </c>
      <c r="AV177">
        <v>912</v>
      </c>
      <c r="AW177">
        <v>943</v>
      </c>
      <c r="AX177">
        <v>977</v>
      </c>
      <c r="AY177">
        <v>1012</v>
      </c>
      <c r="AZ177">
        <v>1048</v>
      </c>
      <c r="BA177">
        <v>1088</v>
      </c>
      <c r="BB177">
        <v>1130</v>
      </c>
      <c r="BC177">
        <v>1174</v>
      </c>
      <c r="BD177">
        <v>1219</v>
      </c>
      <c r="BE177">
        <v>1268</v>
      </c>
      <c r="BF177">
        <v>1320</v>
      </c>
      <c r="BG177">
        <v>1374</v>
      </c>
      <c r="BH177">
        <v>1431</v>
      </c>
      <c r="BI177">
        <v>1491</v>
      </c>
      <c r="BJ177">
        <v>1555</v>
      </c>
      <c r="BK177">
        <v>1625</v>
      </c>
      <c r="BL177">
        <v>1699</v>
      </c>
      <c r="BM177">
        <v>1777</v>
      </c>
      <c r="BN177">
        <v>1861</v>
      </c>
      <c r="BO177">
        <v>1953</v>
      </c>
      <c r="BP177">
        <v>2056</v>
      </c>
      <c r="BQ177">
        <v>2167</v>
      </c>
      <c r="BR177">
        <v>2286</v>
      </c>
      <c r="BS177">
        <v>2416</v>
      </c>
      <c r="BT177">
        <v>2556</v>
      </c>
      <c r="BU177">
        <v>2721</v>
      </c>
      <c r="BV177">
        <v>2901</v>
      </c>
      <c r="BW177">
        <v>3096</v>
      </c>
      <c r="BX177">
        <v>3315</v>
      </c>
      <c r="BY177">
        <v>3559</v>
      </c>
      <c r="BZ177">
        <v>3856</v>
      </c>
      <c r="CA177">
        <v>4190</v>
      </c>
      <c r="CB177">
        <v>4571</v>
      </c>
      <c r="CC177">
        <v>5017</v>
      </c>
      <c r="CD177">
        <v>5527</v>
      </c>
      <c r="CE177">
        <v>6140</v>
      </c>
      <c r="CF177">
        <v>6855</v>
      </c>
      <c r="CG177">
        <v>7722</v>
      </c>
      <c r="CH177">
        <v>8760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Z177" s="343" t="s">
        <v>633</v>
      </c>
      <c r="EA177" t="s">
        <v>1010</v>
      </c>
      <c r="EB177">
        <v>2</v>
      </c>
      <c r="EC177">
        <v>15</v>
      </c>
      <c r="ED177" s="184" t="str">
        <f t="shared" si="9"/>
        <v>SDJ200215</v>
      </c>
      <c r="EE177">
        <v>0</v>
      </c>
      <c r="EF177">
        <v>62</v>
      </c>
      <c r="EG177">
        <v>121</v>
      </c>
      <c r="EH177">
        <v>175</v>
      </c>
      <c r="EI177">
        <v>245</v>
      </c>
      <c r="EJ177">
        <v>297</v>
      </c>
      <c r="EK177">
        <v>393</v>
      </c>
      <c r="EL177">
        <v>454</v>
      </c>
      <c r="EM177">
        <v>512</v>
      </c>
      <c r="EN177">
        <v>628</v>
      </c>
      <c r="EO177">
        <v>689</v>
      </c>
      <c r="EP177">
        <v>747</v>
      </c>
      <c r="EQ177">
        <v>803</v>
      </c>
      <c r="ER177">
        <v>859</v>
      </c>
      <c r="ES177">
        <v>915</v>
      </c>
      <c r="ET177">
        <v>968</v>
      </c>
      <c r="EU177">
        <v>1020</v>
      </c>
      <c r="EV177">
        <v>1073</v>
      </c>
      <c r="EW177">
        <v>1125</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c r="IK177">
        <v>0</v>
      </c>
    </row>
    <row r="178" spans="13:245" hidden="1">
      <c r="M178" s="343" t="s">
        <v>633</v>
      </c>
      <c r="N178" t="s">
        <v>1010</v>
      </c>
      <c r="O178">
        <v>2</v>
      </c>
      <c r="P178">
        <v>16</v>
      </c>
      <c r="Q178" s="184" t="str">
        <f t="shared" si="8"/>
        <v>SDJ200216</v>
      </c>
      <c r="R178">
        <v>0</v>
      </c>
      <c r="S178">
        <v>22</v>
      </c>
      <c r="T178">
        <v>44</v>
      </c>
      <c r="U178">
        <v>67</v>
      </c>
      <c r="V178">
        <v>96</v>
      </c>
      <c r="W178">
        <v>121</v>
      </c>
      <c r="X178">
        <v>165</v>
      </c>
      <c r="Y178">
        <v>194</v>
      </c>
      <c r="Z178">
        <v>225</v>
      </c>
      <c r="AA178">
        <v>284</v>
      </c>
      <c r="AB178">
        <v>319</v>
      </c>
      <c r="AC178">
        <v>356</v>
      </c>
      <c r="AD178">
        <v>393</v>
      </c>
      <c r="AE178">
        <v>431</v>
      </c>
      <c r="AF178">
        <v>470</v>
      </c>
      <c r="AG178">
        <v>510</v>
      </c>
      <c r="AH178">
        <v>552</v>
      </c>
      <c r="AI178">
        <v>595</v>
      </c>
      <c r="AJ178">
        <v>639</v>
      </c>
      <c r="AK178">
        <v>685</v>
      </c>
      <c r="AL178">
        <v>703</v>
      </c>
      <c r="AM178">
        <v>721</v>
      </c>
      <c r="AN178">
        <v>740</v>
      </c>
      <c r="AO178">
        <v>760</v>
      </c>
      <c r="AP178">
        <v>782</v>
      </c>
      <c r="AQ178">
        <v>805</v>
      </c>
      <c r="AR178">
        <v>829</v>
      </c>
      <c r="AS178">
        <v>855</v>
      </c>
      <c r="AT178">
        <v>882</v>
      </c>
      <c r="AU178">
        <v>912</v>
      </c>
      <c r="AV178">
        <v>943</v>
      </c>
      <c r="AW178">
        <v>977</v>
      </c>
      <c r="AX178">
        <v>1012</v>
      </c>
      <c r="AY178">
        <v>1048</v>
      </c>
      <c r="AZ178">
        <v>1088</v>
      </c>
      <c r="BA178">
        <v>1130</v>
      </c>
      <c r="BB178">
        <v>1174</v>
      </c>
      <c r="BC178">
        <v>1219</v>
      </c>
      <c r="BD178">
        <v>1268</v>
      </c>
      <c r="BE178">
        <v>1320</v>
      </c>
      <c r="BF178">
        <v>1374</v>
      </c>
      <c r="BG178">
        <v>1431</v>
      </c>
      <c r="BH178">
        <v>1491</v>
      </c>
      <c r="BI178">
        <v>1555</v>
      </c>
      <c r="BJ178">
        <v>1625</v>
      </c>
      <c r="BK178">
        <v>1699</v>
      </c>
      <c r="BL178">
        <v>1777</v>
      </c>
      <c r="BM178">
        <v>1861</v>
      </c>
      <c r="BN178">
        <v>1953</v>
      </c>
      <c r="BO178">
        <v>2056</v>
      </c>
      <c r="BP178">
        <v>2167</v>
      </c>
      <c r="BQ178">
        <v>2286</v>
      </c>
      <c r="BR178">
        <v>2416</v>
      </c>
      <c r="BS178">
        <v>2556</v>
      </c>
      <c r="BT178">
        <v>2721</v>
      </c>
      <c r="BU178">
        <v>2901</v>
      </c>
      <c r="BV178">
        <v>3096</v>
      </c>
      <c r="BW178">
        <v>3315</v>
      </c>
      <c r="BX178">
        <v>3559</v>
      </c>
      <c r="BY178">
        <v>3856</v>
      </c>
      <c r="BZ178">
        <v>4190</v>
      </c>
      <c r="CA178">
        <v>4571</v>
      </c>
      <c r="CB178">
        <v>5017</v>
      </c>
      <c r="CC178">
        <v>5527</v>
      </c>
      <c r="CD178">
        <v>6140</v>
      </c>
      <c r="CE178">
        <v>6855</v>
      </c>
      <c r="CF178">
        <v>7722</v>
      </c>
      <c r="CG178">
        <v>8760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Z178" s="343" t="s">
        <v>633</v>
      </c>
      <c r="EA178" t="s">
        <v>1010</v>
      </c>
      <c r="EB178">
        <v>2</v>
      </c>
      <c r="EC178">
        <v>16</v>
      </c>
      <c r="ED178" s="184" t="str">
        <f t="shared" si="9"/>
        <v>SDJ200216</v>
      </c>
      <c r="EE178">
        <v>0</v>
      </c>
      <c r="EF178">
        <v>64</v>
      </c>
      <c r="EG178">
        <v>122</v>
      </c>
      <c r="EH178">
        <v>178</v>
      </c>
      <c r="EI178">
        <v>246</v>
      </c>
      <c r="EJ178">
        <v>299</v>
      </c>
      <c r="EK178">
        <v>396</v>
      </c>
      <c r="EL178">
        <v>453</v>
      </c>
      <c r="EM178">
        <v>512</v>
      </c>
      <c r="EN178">
        <v>630</v>
      </c>
      <c r="EO178">
        <v>690</v>
      </c>
      <c r="EP178">
        <v>750</v>
      </c>
      <c r="EQ178">
        <v>808</v>
      </c>
      <c r="ER178">
        <v>864</v>
      </c>
      <c r="ES178">
        <v>919</v>
      </c>
      <c r="ET178">
        <v>973</v>
      </c>
      <c r="EU178">
        <v>1028</v>
      </c>
      <c r="EV178">
        <v>1082</v>
      </c>
      <c r="EW178">
        <v>1134</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0</v>
      </c>
      <c r="IA178">
        <v>0</v>
      </c>
      <c r="IB178">
        <v>0</v>
      </c>
      <c r="IC178">
        <v>0</v>
      </c>
      <c r="ID178">
        <v>0</v>
      </c>
      <c r="IE178">
        <v>0</v>
      </c>
      <c r="IF178">
        <v>0</v>
      </c>
      <c r="IG178">
        <v>0</v>
      </c>
      <c r="IH178">
        <v>0</v>
      </c>
      <c r="II178">
        <v>0</v>
      </c>
      <c r="IJ178">
        <v>0</v>
      </c>
      <c r="IK178">
        <v>0</v>
      </c>
    </row>
    <row r="179" spans="13:245" hidden="1">
      <c r="M179" s="343" t="s">
        <v>633</v>
      </c>
      <c r="N179" t="s">
        <v>1010</v>
      </c>
      <c r="O179">
        <v>2</v>
      </c>
      <c r="P179">
        <v>17</v>
      </c>
      <c r="Q179" s="184" t="str">
        <f t="shared" si="8"/>
        <v>SDJ200217</v>
      </c>
      <c r="R179">
        <v>0</v>
      </c>
      <c r="S179">
        <v>23</v>
      </c>
      <c r="T179">
        <v>45</v>
      </c>
      <c r="U179">
        <v>68</v>
      </c>
      <c r="V179">
        <v>98</v>
      </c>
      <c r="W179">
        <v>123</v>
      </c>
      <c r="X179">
        <v>168</v>
      </c>
      <c r="Y179">
        <v>199</v>
      </c>
      <c r="Z179">
        <v>230</v>
      </c>
      <c r="AA179">
        <v>290</v>
      </c>
      <c r="AB179">
        <v>326</v>
      </c>
      <c r="AC179">
        <v>363</v>
      </c>
      <c r="AD179">
        <v>401</v>
      </c>
      <c r="AE179">
        <v>441</v>
      </c>
      <c r="AF179">
        <v>481</v>
      </c>
      <c r="AG179">
        <v>522</v>
      </c>
      <c r="AH179">
        <v>565</v>
      </c>
      <c r="AI179">
        <v>609</v>
      </c>
      <c r="AJ179">
        <v>655</v>
      </c>
      <c r="AK179">
        <v>703</v>
      </c>
      <c r="AL179">
        <v>721</v>
      </c>
      <c r="AM179">
        <v>740</v>
      </c>
      <c r="AN179">
        <v>760</v>
      </c>
      <c r="AO179">
        <v>782</v>
      </c>
      <c r="AP179">
        <v>805</v>
      </c>
      <c r="AQ179">
        <v>829</v>
      </c>
      <c r="AR179">
        <v>855</v>
      </c>
      <c r="AS179">
        <v>882</v>
      </c>
      <c r="AT179">
        <v>912</v>
      </c>
      <c r="AU179">
        <v>943</v>
      </c>
      <c r="AV179">
        <v>977</v>
      </c>
      <c r="AW179">
        <v>1012</v>
      </c>
      <c r="AX179">
        <v>1048</v>
      </c>
      <c r="AY179">
        <v>1088</v>
      </c>
      <c r="AZ179">
        <v>1130</v>
      </c>
      <c r="BA179">
        <v>1174</v>
      </c>
      <c r="BB179">
        <v>1219</v>
      </c>
      <c r="BC179">
        <v>1268</v>
      </c>
      <c r="BD179">
        <v>1320</v>
      </c>
      <c r="BE179">
        <v>1374</v>
      </c>
      <c r="BF179">
        <v>1431</v>
      </c>
      <c r="BG179">
        <v>1491</v>
      </c>
      <c r="BH179">
        <v>1555</v>
      </c>
      <c r="BI179">
        <v>1625</v>
      </c>
      <c r="BJ179">
        <v>1699</v>
      </c>
      <c r="BK179">
        <v>1777</v>
      </c>
      <c r="BL179">
        <v>1861</v>
      </c>
      <c r="BM179">
        <v>1953</v>
      </c>
      <c r="BN179">
        <v>2056</v>
      </c>
      <c r="BO179">
        <v>2167</v>
      </c>
      <c r="BP179">
        <v>2286</v>
      </c>
      <c r="BQ179">
        <v>2416</v>
      </c>
      <c r="BR179">
        <v>2556</v>
      </c>
      <c r="BS179">
        <v>2721</v>
      </c>
      <c r="BT179">
        <v>2901</v>
      </c>
      <c r="BU179">
        <v>3096</v>
      </c>
      <c r="BV179">
        <v>3315</v>
      </c>
      <c r="BW179">
        <v>3559</v>
      </c>
      <c r="BX179">
        <v>3856</v>
      </c>
      <c r="BY179">
        <v>4190</v>
      </c>
      <c r="BZ179">
        <v>4571</v>
      </c>
      <c r="CA179">
        <v>5017</v>
      </c>
      <c r="CB179">
        <v>5527</v>
      </c>
      <c r="CC179">
        <v>6140</v>
      </c>
      <c r="CD179">
        <v>6855</v>
      </c>
      <c r="CE179">
        <v>7722</v>
      </c>
      <c r="CF179">
        <v>8760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Z179" s="343" t="s">
        <v>633</v>
      </c>
      <c r="EA179" t="s">
        <v>1010</v>
      </c>
      <c r="EB179">
        <v>2</v>
      </c>
      <c r="EC179">
        <v>17</v>
      </c>
      <c r="ED179" s="184" t="str">
        <f t="shared" si="9"/>
        <v>SDJ200217</v>
      </c>
      <c r="EE179">
        <v>0</v>
      </c>
      <c r="EF179">
        <v>65</v>
      </c>
      <c r="EG179">
        <v>122</v>
      </c>
      <c r="EH179">
        <v>177</v>
      </c>
      <c r="EI179">
        <v>246</v>
      </c>
      <c r="EJ179">
        <v>299</v>
      </c>
      <c r="EK179">
        <v>396</v>
      </c>
      <c r="EL179">
        <v>457</v>
      </c>
      <c r="EM179">
        <v>514</v>
      </c>
      <c r="EN179">
        <v>632</v>
      </c>
      <c r="EO179">
        <v>692</v>
      </c>
      <c r="EP179">
        <v>752</v>
      </c>
      <c r="EQ179">
        <v>810</v>
      </c>
      <c r="ER179">
        <v>869</v>
      </c>
      <c r="ES179">
        <v>925</v>
      </c>
      <c r="ET179">
        <v>980</v>
      </c>
      <c r="EU179">
        <v>1035</v>
      </c>
      <c r="EV179">
        <v>1090</v>
      </c>
      <c r="EW179">
        <v>1145</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row>
    <row r="180" spans="13:245" hidden="1">
      <c r="M180" s="343" t="s">
        <v>633</v>
      </c>
      <c r="N180" t="s">
        <v>1010</v>
      </c>
      <c r="O180">
        <v>2</v>
      </c>
      <c r="P180">
        <v>18</v>
      </c>
      <c r="Q180" s="184" t="str">
        <f t="shared" si="8"/>
        <v>SDJ200218</v>
      </c>
      <c r="R180">
        <v>0</v>
      </c>
      <c r="S180">
        <v>23</v>
      </c>
      <c r="T180">
        <v>46</v>
      </c>
      <c r="U180">
        <v>70</v>
      </c>
      <c r="V180">
        <v>100</v>
      </c>
      <c r="W180">
        <v>126</v>
      </c>
      <c r="X180">
        <v>172</v>
      </c>
      <c r="Y180">
        <v>203</v>
      </c>
      <c r="Z180">
        <v>235</v>
      </c>
      <c r="AA180">
        <v>297</v>
      </c>
      <c r="AB180">
        <v>334</v>
      </c>
      <c r="AC180">
        <v>372</v>
      </c>
      <c r="AD180">
        <v>411</v>
      </c>
      <c r="AE180">
        <v>451</v>
      </c>
      <c r="AF180">
        <v>492</v>
      </c>
      <c r="AG180">
        <v>535</v>
      </c>
      <c r="AH180">
        <v>579</v>
      </c>
      <c r="AI180">
        <v>625</v>
      </c>
      <c r="AJ180">
        <v>672</v>
      </c>
      <c r="AK180">
        <v>721</v>
      </c>
      <c r="AL180">
        <v>740</v>
      </c>
      <c r="AM180">
        <v>760</v>
      </c>
      <c r="AN180">
        <v>782</v>
      </c>
      <c r="AO180">
        <v>805</v>
      </c>
      <c r="AP180">
        <v>829</v>
      </c>
      <c r="AQ180">
        <v>855</v>
      </c>
      <c r="AR180">
        <v>882</v>
      </c>
      <c r="AS180">
        <v>912</v>
      </c>
      <c r="AT180">
        <v>943</v>
      </c>
      <c r="AU180">
        <v>977</v>
      </c>
      <c r="AV180">
        <v>1012</v>
      </c>
      <c r="AW180">
        <v>1048</v>
      </c>
      <c r="AX180">
        <v>1088</v>
      </c>
      <c r="AY180">
        <v>1130</v>
      </c>
      <c r="AZ180">
        <v>1174</v>
      </c>
      <c r="BA180">
        <v>1219</v>
      </c>
      <c r="BB180">
        <v>1268</v>
      </c>
      <c r="BC180">
        <v>1320</v>
      </c>
      <c r="BD180">
        <v>1374</v>
      </c>
      <c r="BE180">
        <v>1431</v>
      </c>
      <c r="BF180">
        <v>1491</v>
      </c>
      <c r="BG180">
        <v>1555</v>
      </c>
      <c r="BH180">
        <v>1625</v>
      </c>
      <c r="BI180">
        <v>1699</v>
      </c>
      <c r="BJ180">
        <v>1777</v>
      </c>
      <c r="BK180">
        <v>1861</v>
      </c>
      <c r="BL180">
        <v>1953</v>
      </c>
      <c r="BM180">
        <v>2056</v>
      </c>
      <c r="BN180">
        <v>2167</v>
      </c>
      <c r="BO180">
        <v>2286</v>
      </c>
      <c r="BP180">
        <v>2416</v>
      </c>
      <c r="BQ180">
        <v>2556</v>
      </c>
      <c r="BR180">
        <v>2721</v>
      </c>
      <c r="BS180">
        <v>2901</v>
      </c>
      <c r="BT180">
        <v>3096</v>
      </c>
      <c r="BU180">
        <v>3315</v>
      </c>
      <c r="BV180">
        <v>3559</v>
      </c>
      <c r="BW180">
        <v>3856</v>
      </c>
      <c r="BX180">
        <v>4190</v>
      </c>
      <c r="BY180">
        <v>4571</v>
      </c>
      <c r="BZ180">
        <v>5017</v>
      </c>
      <c r="CA180">
        <v>5527</v>
      </c>
      <c r="CB180">
        <v>6140</v>
      </c>
      <c r="CC180">
        <v>6855</v>
      </c>
      <c r="CD180">
        <v>7722</v>
      </c>
      <c r="CE180">
        <v>8760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Z180" s="343" t="s">
        <v>633</v>
      </c>
      <c r="EA180" t="s">
        <v>1010</v>
      </c>
      <c r="EB180">
        <v>2</v>
      </c>
      <c r="EC180">
        <v>18</v>
      </c>
      <c r="ED180" s="184" t="str">
        <f t="shared" si="9"/>
        <v>SDJ200218</v>
      </c>
      <c r="EE180">
        <v>0</v>
      </c>
      <c r="EF180">
        <v>64</v>
      </c>
      <c r="EG180">
        <v>123</v>
      </c>
      <c r="EH180">
        <v>179</v>
      </c>
      <c r="EI180">
        <v>247</v>
      </c>
      <c r="EJ180">
        <v>300</v>
      </c>
      <c r="EK180">
        <v>398</v>
      </c>
      <c r="EL180">
        <v>458</v>
      </c>
      <c r="EM180">
        <v>516</v>
      </c>
      <c r="EN180">
        <v>636</v>
      </c>
      <c r="EO180">
        <v>697</v>
      </c>
      <c r="EP180">
        <v>757</v>
      </c>
      <c r="EQ180">
        <v>816</v>
      </c>
      <c r="ER180">
        <v>874</v>
      </c>
      <c r="ES180">
        <v>931</v>
      </c>
      <c r="ET180">
        <v>988</v>
      </c>
      <c r="EU180">
        <v>1044</v>
      </c>
      <c r="EV180">
        <v>1101</v>
      </c>
      <c r="EW180">
        <v>1157</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row>
    <row r="181" spans="13:245" hidden="1">
      <c r="M181" s="343" t="s">
        <v>633</v>
      </c>
      <c r="N181" t="s">
        <v>1010</v>
      </c>
      <c r="O181">
        <v>2</v>
      </c>
      <c r="P181">
        <v>19</v>
      </c>
      <c r="Q181" s="184" t="str">
        <f t="shared" si="8"/>
        <v>SDJ200219</v>
      </c>
      <c r="R181">
        <v>0</v>
      </c>
      <c r="S181">
        <v>23</v>
      </c>
      <c r="T181">
        <v>47</v>
      </c>
      <c r="U181">
        <v>71</v>
      </c>
      <c r="V181">
        <v>102</v>
      </c>
      <c r="W181">
        <v>129</v>
      </c>
      <c r="X181">
        <v>176</v>
      </c>
      <c r="Y181">
        <v>208</v>
      </c>
      <c r="Z181">
        <v>240</v>
      </c>
      <c r="AA181">
        <v>303</v>
      </c>
      <c r="AB181">
        <v>341</v>
      </c>
      <c r="AC181">
        <v>380</v>
      </c>
      <c r="AD181">
        <v>420</v>
      </c>
      <c r="AE181">
        <v>462</v>
      </c>
      <c r="AF181">
        <v>504</v>
      </c>
      <c r="AG181">
        <v>548</v>
      </c>
      <c r="AH181">
        <v>594</v>
      </c>
      <c r="AI181">
        <v>641</v>
      </c>
      <c r="AJ181">
        <v>689</v>
      </c>
      <c r="AK181">
        <v>740</v>
      </c>
      <c r="AL181">
        <v>760</v>
      </c>
      <c r="AM181">
        <v>782</v>
      </c>
      <c r="AN181">
        <v>805</v>
      </c>
      <c r="AO181">
        <v>829</v>
      </c>
      <c r="AP181">
        <v>855</v>
      </c>
      <c r="AQ181">
        <v>882</v>
      </c>
      <c r="AR181">
        <v>912</v>
      </c>
      <c r="AS181">
        <v>943</v>
      </c>
      <c r="AT181">
        <v>977</v>
      </c>
      <c r="AU181">
        <v>1012</v>
      </c>
      <c r="AV181">
        <v>1048</v>
      </c>
      <c r="AW181">
        <v>1088</v>
      </c>
      <c r="AX181">
        <v>1130</v>
      </c>
      <c r="AY181">
        <v>1174</v>
      </c>
      <c r="AZ181">
        <v>1219</v>
      </c>
      <c r="BA181">
        <v>1268</v>
      </c>
      <c r="BB181">
        <v>1320</v>
      </c>
      <c r="BC181">
        <v>1374</v>
      </c>
      <c r="BD181">
        <v>1431</v>
      </c>
      <c r="BE181">
        <v>1491</v>
      </c>
      <c r="BF181">
        <v>1555</v>
      </c>
      <c r="BG181">
        <v>1625</v>
      </c>
      <c r="BH181">
        <v>1699</v>
      </c>
      <c r="BI181">
        <v>1777</v>
      </c>
      <c r="BJ181">
        <v>1861</v>
      </c>
      <c r="BK181">
        <v>1953</v>
      </c>
      <c r="BL181">
        <v>2056</v>
      </c>
      <c r="BM181">
        <v>2167</v>
      </c>
      <c r="BN181">
        <v>2286</v>
      </c>
      <c r="BO181">
        <v>2416</v>
      </c>
      <c r="BP181">
        <v>2556</v>
      </c>
      <c r="BQ181">
        <v>2721</v>
      </c>
      <c r="BR181">
        <v>2901</v>
      </c>
      <c r="BS181">
        <v>3096</v>
      </c>
      <c r="BT181">
        <v>3315</v>
      </c>
      <c r="BU181">
        <v>3559</v>
      </c>
      <c r="BV181">
        <v>3856</v>
      </c>
      <c r="BW181">
        <v>4190</v>
      </c>
      <c r="BX181">
        <v>4571</v>
      </c>
      <c r="BY181">
        <v>5017</v>
      </c>
      <c r="BZ181">
        <v>5527</v>
      </c>
      <c r="CA181">
        <v>6140</v>
      </c>
      <c r="CB181">
        <v>6855</v>
      </c>
      <c r="CC181">
        <v>7722</v>
      </c>
      <c r="CD181">
        <v>8760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Z181" s="343" t="s">
        <v>633</v>
      </c>
      <c r="EA181" t="s">
        <v>1010</v>
      </c>
      <c r="EB181">
        <v>2</v>
      </c>
      <c r="EC181">
        <v>19</v>
      </c>
      <c r="ED181" s="184" t="str">
        <f t="shared" si="9"/>
        <v>SDJ200219</v>
      </c>
      <c r="EE181">
        <v>0</v>
      </c>
      <c r="EF181">
        <v>63</v>
      </c>
      <c r="EG181">
        <v>123</v>
      </c>
      <c r="EH181">
        <v>178</v>
      </c>
      <c r="EI181">
        <v>247</v>
      </c>
      <c r="EJ181">
        <v>302</v>
      </c>
      <c r="EK181">
        <v>400</v>
      </c>
      <c r="EL181">
        <v>460</v>
      </c>
      <c r="EM181">
        <v>518</v>
      </c>
      <c r="EN181">
        <v>637</v>
      </c>
      <c r="EO181">
        <v>699</v>
      </c>
      <c r="EP181">
        <v>760</v>
      </c>
      <c r="EQ181">
        <v>820</v>
      </c>
      <c r="ER181">
        <v>881</v>
      </c>
      <c r="ES181">
        <v>938</v>
      </c>
      <c r="ET181">
        <v>996</v>
      </c>
      <c r="EU181">
        <v>1055</v>
      </c>
      <c r="EV181">
        <v>1112</v>
      </c>
      <c r="EW181">
        <v>1168</v>
      </c>
      <c r="EX181">
        <v>0</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row>
    <row r="182" spans="13:245" hidden="1">
      <c r="M182" s="343" t="s">
        <v>633</v>
      </c>
      <c r="N182" t="s">
        <v>1010</v>
      </c>
      <c r="O182">
        <v>2</v>
      </c>
      <c r="P182">
        <v>20</v>
      </c>
      <c r="Q182" s="184" t="str">
        <f t="shared" si="8"/>
        <v>SDJ200220</v>
      </c>
      <c r="R182">
        <v>0</v>
      </c>
      <c r="S182">
        <v>24</v>
      </c>
      <c r="T182">
        <v>48</v>
      </c>
      <c r="U182">
        <v>73</v>
      </c>
      <c r="V182">
        <v>104</v>
      </c>
      <c r="W182">
        <v>132</v>
      </c>
      <c r="X182">
        <v>180</v>
      </c>
      <c r="Y182">
        <v>212</v>
      </c>
      <c r="Z182">
        <v>246</v>
      </c>
      <c r="AA182">
        <v>310</v>
      </c>
      <c r="AB182">
        <v>349</v>
      </c>
      <c r="AC182">
        <v>389</v>
      </c>
      <c r="AD182">
        <v>430</v>
      </c>
      <c r="AE182">
        <v>473</v>
      </c>
      <c r="AF182">
        <v>517</v>
      </c>
      <c r="AG182">
        <v>562</v>
      </c>
      <c r="AH182">
        <v>609</v>
      </c>
      <c r="AI182">
        <v>657</v>
      </c>
      <c r="AJ182">
        <v>708</v>
      </c>
      <c r="AK182">
        <v>760</v>
      </c>
      <c r="AL182">
        <v>782</v>
      </c>
      <c r="AM182">
        <v>805</v>
      </c>
      <c r="AN182">
        <v>829</v>
      </c>
      <c r="AO182">
        <v>855</v>
      </c>
      <c r="AP182">
        <v>882</v>
      </c>
      <c r="AQ182">
        <v>912</v>
      </c>
      <c r="AR182">
        <v>943</v>
      </c>
      <c r="AS182">
        <v>977</v>
      </c>
      <c r="AT182">
        <v>1012</v>
      </c>
      <c r="AU182">
        <v>1048</v>
      </c>
      <c r="AV182">
        <v>1088</v>
      </c>
      <c r="AW182">
        <v>1130</v>
      </c>
      <c r="AX182">
        <v>1174</v>
      </c>
      <c r="AY182">
        <v>1219</v>
      </c>
      <c r="AZ182">
        <v>1268</v>
      </c>
      <c r="BA182">
        <v>1320</v>
      </c>
      <c r="BB182">
        <v>1374</v>
      </c>
      <c r="BC182">
        <v>1431</v>
      </c>
      <c r="BD182">
        <v>1491</v>
      </c>
      <c r="BE182">
        <v>1555</v>
      </c>
      <c r="BF182">
        <v>1625</v>
      </c>
      <c r="BG182">
        <v>1699</v>
      </c>
      <c r="BH182">
        <v>1777</v>
      </c>
      <c r="BI182">
        <v>1861</v>
      </c>
      <c r="BJ182">
        <v>1953</v>
      </c>
      <c r="BK182">
        <v>2056</v>
      </c>
      <c r="BL182">
        <v>2167</v>
      </c>
      <c r="BM182">
        <v>2286</v>
      </c>
      <c r="BN182">
        <v>2416</v>
      </c>
      <c r="BO182">
        <v>2556</v>
      </c>
      <c r="BP182">
        <v>2721</v>
      </c>
      <c r="BQ182">
        <v>2901</v>
      </c>
      <c r="BR182">
        <v>3096</v>
      </c>
      <c r="BS182">
        <v>3315</v>
      </c>
      <c r="BT182">
        <v>3559</v>
      </c>
      <c r="BU182">
        <v>3856</v>
      </c>
      <c r="BV182">
        <v>4190</v>
      </c>
      <c r="BW182">
        <v>4571</v>
      </c>
      <c r="BX182">
        <v>5017</v>
      </c>
      <c r="BY182">
        <v>5527</v>
      </c>
      <c r="BZ182">
        <v>6140</v>
      </c>
      <c r="CA182">
        <v>6855</v>
      </c>
      <c r="CB182">
        <v>7722</v>
      </c>
      <c r="CC182">
        <v>8760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Z182" s="343" t="s">
        <v>633</v>
      </c>
      <c r="EA182" t="s">
        <v>1010</v>
      </c>
      <c r="EB182">
        <v>2</v>
      </c>
      <c r="EC182">
        <v>20</v>
      </c>
      <c r="ED182" s="184" t="str">
        <f t="shared" si="9"/>
        <v>SDJ200220</v>
      </c>
      <c r="EE182">
        <v>0</v>
      </c>
      <c r="EF182">
        <v>65</v>
      </c>
      <c r="EG182">
        <v>124</v>
      </c>
      <c r="EH182">
        <v>180</v>
      </c>
      <c r="EI182">
        <v>248</v>
      </c>
      <c r="EJ182">
        <v>304</v>
      </c>
      <c r="EK182">
        <v>402</v>
      </c>
      <c r="EL182">
        <v>461</v>
      </c>
      <c r="EM182">
        <v>521</v>
      </c>
      <c r="EN182">
        <v>641</v>
      </c>
      <c r="EO182">
        <v>704</v>
      </c>
      <c r="EP182">
        <v>765</v>
      </c>
      <c r="EQ182">
        <v>826</v>
      </c>
      <c r="ER182">
        <v>887</v>
      </c>
      <c r="ES182">
        <v>947</v>
      </c>
      <c r="ET182">
        <v>1006</v>
      </c>
      <c r="EU182">
        <v>1065</v>
      </c>
      <c r="EV182">
        <v>1123</v>
      </c>
      <c r="EW182">
        <v>1184</v>
      </c>
      <c r="EX182">
        <v>0</v>
      </c>
      <c r="EY182">
        <v>0</v>
      </c>
      <c r="EZ182">
        <v>0</v>
      </c>
      <c r="FA182">
        <v>0</v>
      </c>
      <c r="FB182">
        <v>0</v>
      </c>
      <c r="FC182">
        <v>0</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row>
    <row r="183" spans="13:245" hidden="1">
      <c r="M183" s="343" t="s">
        <v>633</v>
      </c>
      <c r="N183" t="s">
        <v>1010</v>
      </c>
      <c r="O183">
        <v>2</v>
      </c>
      <c r="P183">
        <v>21</v>
      </c>
      <c r="Q183" s="184" t="str">
        <f t="shared" si="8"/>
        <v>SDJ200221</v>
      </c>
      <c r="R183">
        <v>0</v>
      </c>
      <c r="S183">
        <v>24</v>
      </c>
      <c r="T183">
        <v>49</v>
      </c>
      <c r="U183">
        <v>74</v>
      </c>
      <c r="V183">
        <v>106</v>
      </c>
      <c r="W183">
        <v>134</v>
      </c>
      <c r="X183">
        <v>184</v>
      </c>
      <c r="Y183">
        <v>217</v>
      </c>
      <c r="Z183">
        <v>251</v>
      </c>
      <c r="AA183">
        <v>318</v>
      </c>
      <c r="AB183">
        <v>358</v>
      </c>
      <c r="AC183">
        <v>399</v>
      </c>
      <c r="AD183">
        <v>441</v>
      </c>
      <c r="AE183">
        <v>485</v>
      </c>
      <c r="AF183">
        <v>530</v>
      </c>
      <c r="AG183">
        <v>576</v>
      </c>
      <c r="AH183">
        <v>625</v>
      </c>
      <c r="AI183">
        <v>675</v>
      </c>
      <c r="AJ183">
        <v>727</v>
      </c>
      <c r="AK183">
        <v>782</v>
      </c>
      <c r="AL183">
        <v>805</v>
      </c>
      <c r="AM183">
        <v>829</v>
      </c>
      <c r="AN183">
        <v>855</v>
      </c>
      <c r="AO183">
        <v>882</v>
      </c>
      <c r="AP183">
        <v>912</v>
      </c>
      <c r="AQ183">
        <v>943</v>
      </c>
      <c r="AR183">
        <v>977</v>
      </c>
      <c r="AS183">
        <v>1012</v>
      </c>
      <c r="AT183">
        <v>1048</v>
      </c>
      <c r="AU183">
        <v>1088</v>
      </c>
      <c r="AV183">
        <v>1130</v>
      </c>
      <c r="AW183">
        <v>1174</v>
      </c>
      <c r="AX183">
        <v>1219</v>
      </c>
      <c r="AY183">
        <v>1268</v>
      </c>
      <c r="AZ183">
        <v>1320</v>
      </c>
      <c r="BA183">
        <v>1374</v>
      </c>
      <c r="BB183">
        <v>1431</v>
      </c>
      <c r="BC183">
        <v>1491</v>
      </c>
      <c r="BD183">
        <v>1555</v>
      </c>
      <c r="BE183">
        <v>1625</v>
      </c>
      <c r="BF183">
        <v>1699</v>
      </c>
      <c r="BG183">
        <v>1777</v>
      </c>
      <c r="BH183">
        <v>1861</v>
      </c>
      <c r="BI183">
        <v>1953</v>
      </c>
      <c r="BJ183">
        <v>2056</v>
      </c>
      <c r="BK183">
        <v>2167</v>
      </c>
      <c r="BL183">
        <v>2286</v>
      </c>
      <c r="BM183">
        <v>2416</v>
      </c>
      <c r="BN183">
        <v>2556</v>
      </c>
      <c r="BO183">
        <v>2721</v>
      </c>
      <c r="BP183">
        <v>2901</v>
      </c>
      <c r="BQ183">
        <v>3096</v>
      </c>
      <c r="BR183">
        <v>3315</v>
      </c>
      <c r="BS183">
        <v>3559</v>
      </c>
      <c r="BT183">
        <v>3856</v>
      </c>
      <c r="BU183">
        <v>4190</v>
      </c>
      <c r="BV183">
        <v>4571</v>
      </c>
      <c r="BW183">
        <v>5017</v>
      </c>
      <c r="BX183">
        <v>5527</v>
      </c>
      <c r="BY183">
        <v>6140</v>
      </c>
      <c r="BZ183">
        <v>6855</v>
      </c>
      <c r="CA183">
        <v>7722</v>
      </c>
      <c r="CB183">
        <v>8760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Z183" s="343" t="s">
        <v>633</v>
      </c>
      <c r="EA183" t="s">
        <v>1010</v>
      </c>
      <c r="EB183">
        <v>2</v>
      </c>
      <c r="EC183">
        <v>21</v>
      </c>
      <c r="ED183" s="184" t="str">
        <f t="shared" si="9"/>
        <v>SDJ200221</v>
      </c>
      <c r="EE183">
        <v>0</v>
      </c>
      <c r="EF183">
        <v>63</v>
      </c>
      <c r="EG183">
        <v>124</v>
      </c>
      <c r="EH183">
        <v>179</v>
      </c>
      <c r="EI183">
        <v>248</v>
      </c>
      <c r="EJ183">
        <v>303</v>
      </c>
      <c r="EK183">
        <v>403</v>
      </c>
      <c r="EL183">
        <v>464</v>
      </c>
      <c r="EM183">
        <v>523</v>
      </c>
      <c r="EN183">
        <v>646</v>
      </c>
      <c r="EO183">
        <v>710</v>
      </c>
      <c r="EP183">
        <v>772</v>
      </c>
      <c r="EQ183">
        <v>833</v>
      </c>
      <c r="ER183">
        <v>895</v>
      </c>
      <c r="ES183">
        <v>956</v>
      </c>
      <c r="ET183">
        <v>1016</v>
      </c>
      <c r="EU183">
        <v>1077</v>
      </c>
      <c r="EV183">
        <v>1138</v>
      </c>
      <c r="EW183">
        <v>1199</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row>
    <row r="184" spans="13:245" hidden="1">
      <c r="M184" s="343" t="s">
        <v>633</v>
      </c>
      <c r="N184" t="s">
        <v>1010</v>
      </c>
      <c r="O184">
        <v>2</v>
      </c>
      <c r="P184">
        <v>22</v>
      </c>
      <c r="Q184" s="184" t="str">
        <f t="shared" si="8"/>
        <v>SDJ200222</v>
      </c>
      <c r="R184">
        <v>0</v>
      </c>
      <c r="S184">
        <v>25</v>
      </c>
      <c r="T184">
        <v>50</v>
      </c>
      <c r="U184">
        <v>76</v>
      </c>
      <c r="V184">
        <v>109</v>
      </c>
      <c r="W184">
        <v>138</v>
      </c>
      <c r="X184">
        <v>188</v>
      </c>
      <c r="Y184">
        <v>222</v>
      </c>
      <c r="Z184">
        <v>257</v>
      </c>
      <c r="AA184">
        <v>325</v>
      </c>
      <c r="AB184">
        <v>366</v>
      </c>
      <c r="AC184">
        <v>409</v>
      </c>
      <c r="AD184">
        <v>452</v>
      </c>
      <c r="AE184">
        <v>497</v>
      </c>
      <c r="AF184">
        <v>544</v>
      </c>
      <c r="AG184">
        <v>592</v>
      </c>
      <c r="AH184">
        <v>642</v>
      </c>
      <c r="AI184">
        <v>694</v>
      </c>
      <c r="AJ184">
        <v>748</v>
      </c>
      <c r="AK184">
        <v>805</v>
      </c>
      <c r="AL184">
        <v>829</v>
      </c>
      <c r="AM184">
        <v>855</v>
      </c>
      <c r="AN184">
        <v>882</v>
      </c>
      <c r="AO184">
        <v>912</v>
      </c>
      <c r="AP184">
        <v>943</v>
      </c>
      <c r="AQ184">
        <v>977</v>
      </c>
      <c r="AR184">
        <v>1012</v>
      </c>
      <c r="AS184">
        <v>1048</v>
      </c>
      <c r="AT184">
        <v>1088</v>
      </c>
      <c r="AU184">
        <v>1130</v>
      </c>
      <c r="AV184">
        <v>1174</v>
      </c>
      <c r="AW184">
        <v>1219</v>
      </c>
      <c r="AX184">
        <v>1268</v>
      </c>
      <c r="AY184">
        <v>1320</v>
      </c>
      <c r="AZ184">
        <v>1374</v>
      </c>
      <c r="BA184">
        <v>1431</v>
      </c>
      <c r="BB184">
        <v>1491</v>
      </c>
      <c r="BC184">
        <v>1555</v>
      </c>
      <c r="BD184">
        <v>1625</v>
      </c>
      <c r="BE184">
        <v>1699</v>
      </c>
      <c r="BF184">
        <v>1777</v>
      </c>
      <c r="BG184">
        <v>1861</v>
      </c>
      <c r="BH184">
        <v>1953</v>
      </c>
      <c r="BI184">
        <v>2056</v>
      </c>
      <c r="BJ184">
        <v>2167</v>
      </c>
      <c r="BK184">
        <v>2286</v>
      </c>
      <c r="BL184">
        <v>2416</v>
      </c>
      <c r="BM184">
        <v>2556</v>
      </c>
      <c r="BN184">
        <v>2721</v>
      </c>
      <c r="BO184">
        <v>2901</v>
      </c>
      <c r="BP184">
        <v>3096</v>
      </c>
      <c r="BQ184">
        <v>3315</v>
      </c>
      <c r="BR184">
        <v>3559</v>
      </c>
      <c r="BS184">
        <v>3856</v>
      </c>
      <c r="BT184">
        <v>4190</v>
      </c>
      <c r="BU184">
        <v>4571</v>
      </c>
      <c r="BV184">
        <v>5017</v>
      </c>
      <c r="BW184">
        <v>5527</v>
      </c>
      <c r="BX184">
        <v>6140</v>
      </c>
      <c r="BY184">
        <v>6855</v>
      </c>
      <c r="BZ184">
        <v>7722</v>
      </c>
      <c r="CA184">
        <v>8760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Z184" s="343" t="s">
        <v>633</v>
      </c>
      <c r="EA184" t="s">
        <v>1010</v>
      </c>
      <c r="EB184">
        <v>2</v>
      </c>
      <c r="EC184">
        <v>22</v>
      </c>
      <c r="ED184" s="184" t="str">
        <f t="shared" si="9"/>
        <v>SDJ200222</v>
      </c>
      <c r="EE184">
        <v>0</v>
      </c>
      <c r="EF184">
        <v>65</v>
      </c>
      <c r="EG184">
        <v>124</v>
      </c>
      <c r="EH184">
        <v>181</v>
      </c>
      <c r="EI184">
        <v>250</v>
      </c>
      <c r="EJ184">
        <v>306</v>
      </c>
      <c r="EK184">
        <v>405</v>
      </c>
      <c r="EL184">
        <v>466</v>
      </c>
      <c r="EM184">
        <v>526</v>
      </c>
      <c r="EN184">
        <v>649</v>
      </c>
      <c r="EO184">
        <v>714</v>
      </c>
      <c r="EP184">
        <v>779</v>
      </c>
      <c r="EQ184">
        <v>841</v>
      </c>
      <c r="ER184">
        <v>903</v>
      </c>
      <c r="ES184">
        <v>966</v>
      </c>
      <c r="ET184">
        <v>1028</v>
      </c>
      <c r="EU184">
        <v>1091</v>
      </c>
      <c r="EV184">
        <v>1153</v>
      </c>
      <c r="EW184">
        <v>1217</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0</v>
      </c>
    </row>
    <row r="185" spans="13:245" hidden="1">
      <c r="M185" s="343" t="s">
        <v>633</v>
      </c>
      <c r="N185" t="s">
        <v>1010</v>
      </c>
      <c r="O185">
        <v>2</v>
      </c>
      <c r="P185">
        <v>23</v>
      </c>
      <c r="Q185" s="184" t="str">
        <f t="shared" si="8"/>
        <v>SDJ200223</v>
      </c>
      <c r="R185">
        <v>0</v>
      </c>
      <c r="S185">
        <v>26</v>
      </c>
      <c r="T185">
        <v>51</v>
      </c>
      <c r="U185">
        <v>77</v>
      </c>
      <c r="V185">
        <v>111</v>
      </c>
      <c r="W185">
        <v>141</v>
      </c>
      <c r="X185">
        <v>193</v>
      </c>
      <c r="Y185">
        <v>228</v>
      </c>
      <c r="Z185">
        <v>264</v>
      </c>
      <c r="AA185">
        <v>333</v>
      </c>
      <c r="AB185">
        <v>375</v>
      </c>
      <c r="AC185">
        <v>419</v>
      </c>
      <c r="AD185">
        <v>464</v>
      </c>
      <c r="AE185">
        <v>510</v>
      </c>
      <c r="AF185">
        <v>558</v>
      </c>
      <c r="AG185">
        <v>608</v>
      </c>
      <c r="AH185">
        <v>660</v>
      </c>
      <c r="AI185">
        <v>714</v>
      </c>
      <c r="AJ185">
        <v>770</v>
      </c>
      <c r="AK185">
        <v>829</v>
      </c>
      <c r="AL185">
        <v>855</v>
      </c>
      <c r="AM185">
        <v>882</v>
      </c>
      <c r="AN185">
        <v>912</v>
      </c>
      <c r="AO185">
        <v>943</v>
      </c>
      <c r="AP185">
        <v>977</v>
      </c>
      <c r="AQ185">
        <v>1012</v>
      </c>
      <c r="AR185">
        <v>1048</v>
      </c>
      <c r="AS185">
        <v>1088</v>
      </c>
      <c r="AT185">
        <v>1130</v>
      </c>
      <c r="AU185">
        <v>1174</v>
      </c>
      <c r="AV185">
        <v>1219</v>
      </c>
      <c r="AW185">
        <v>1268</v>
      </c>
      <c r="AX185">
        <v>1320</v>
      </c>
      <c r="AY185">
        <v>1374</v>
      </c>
      <c r="AZ185">
        <v>1431</v>
      </c>
      <c r="BA185">
        <v>1491</v>
      </c>
      <c r="BB185">
        <v>1555</v>
      </c>
      <c r="BC185">
        <v>1625</v>
      </c>
      <c r="BD185">
        <v>1699</v>
      </c>
      <c r="BE185">
        <v>1777</v>
      </c>
      <c r="BF185">
        <v>1861</v>
      </c>
      <c r="BG185">
        <v>1953</v>
      </c>
      <c r="BH185">
        <v>2056</v>
      </c>
      <c r="BI185">
        <v>2167</v>
      </c>
      <c r="BJ185">
        <v>2286</v>
      </c>
      <c r="BK185">
        <v>2416</v>
      </c>
      <c r="BL185">
        <v>2556</v>
      </c>
      <c r="BM185">
        <v>2721</v>
      </c>
      <c r="BN185">
        <v>2901</v>
      </c>
      <c r="BO185">
        <v>3096</v>
      </c>
      <c r="BP185">
        <v>3315</v>
      </c>
      <c r="BQ185">
        <v>3559</v>
      </c>
      <c r="BR185">
        <v>3856</v>
      </c>
      <c r="BS185">
        <v>4190</v>
      </c>
      <c r="BT185">
        <v>4571</v>
      </c>
      <c r="BU185">
        <v>5017</v>
      </c>
      <c r="BV185">
        <v>5527</v>
      </c>
      <c r="BW185">
        <v>6140</v>
      </c>
      <c r="BX185">
        <v>6855</v>
      </c>
      <c r="BY185">
        <v>7722</v>
      </c>
      <c r="BZ185">
        <v>8760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Z185" s="343" t="s">
        <v>633</v>
      </c>
      <c r="EA185" t="s">
        <v>1010</v>
      </c>
      <c r="EB185">
        <v>2</v>
      </c>
      <c r="EC185">
        <v>23</v>
      </c>
      <c r="ED185" s="184" t="str">
        <f t="shared" si="9"/>
        <v>SDJ200223</v>
      </c>
      <c r="EE185">
        <v>0</v>
      </c>
      <c r="EF185">
        <v>66</v>
      </c>
      <c r="EG185">
        <v>124</v>
      </c>
      <c r="EH185">
        <v>180</v>
      </c>
      <c r="EI185">
        <v>250</v>
      </c>
      <c r="EJ185">
        <v>307</v>
      </c>
      <c r="EK185">
        <v>408</v>
      </c>
      <c r="EL185">
        <v>470</v>
      </c>
      <c r="EM185">
        <v>531</v>
      </c>
      <c r="EN185">
        <v>654</v>
      </c>
      <c r="EO185">
        <v>719</v>
      </c>
      <c r="EP185">
        <v>785</v>
      </c>
      <c r="EQ185">
        <v>850</v>
      </c>
      <c r="ER185">
        <v>913</v>
      </c>
      <c r="ES185">
        <v>977</v>
      </c>
      <c r="ET185">
        <v>1041</v>
      </c>
      <c r="EU185">
        <v>1106</v>
      </c>
      <c r="EV185">
        <v>1171</v>
      </c>
      <c r="EW185">
        <v>1236</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row>
    <row r="186" spans="13:245" hidden="1">
      <c r="M186" s="343" t="s">
        <v>633</v>
      </c>
      <c r="N186" t="s">
        <v>1010</v>
      </c>
      <c r="O186">
        <v>2</v>
      </c>
      <c r="P186">
        <v>24</v>
      </c>
      <c r="Q186" s="184" t="str">
        <f t="shared" si="8"/>
        <v>SDJ200224</v>
      </c>
      <c r="R186">
        <v>0</v>
      </c>
      <c r="S186">
        <v>26</v>
      </c>
      <c r="T186">
        <v>53</v>
      </c>
      <c r="U186">
        <v>80</v>
      </c>
      <c r="V186">
        <v>114</v>
      </c>
      <c r="W186">
        <v>145</v>
      </c>
      <c r="X186">
        <v>197</v>
      </c>
      <c r="Y186">
        <v>233</v>
      </c>
      <c r="Z186">
        <v>270</v>
      </c>
      <c r="AA186">
        <v>342</v>
      </c>
      <c r="AB186">
        <v>385</v>
      </c>
      <c r="AC186">
        <v>430</v>
      </c>
      <c r="AD186">
        <v>476</v>
      </c>
      <c r="AE186">
        <v>524</v>
      </c>
      <c r="AF186">
        <v>573</v>
      </c>
      <c r="AG186">
        <v>625</v>
      </c>
      <c r="AH186">
        <v>679</v>
      </c>
      <c r="AI186">
        <v>735</v>
      </c>
      <c r="AJ186">
        <v>793</v>
      </c>
      <c r="AK186">
        <v>855</v>
      </c>
      <c r="AL186">
        <v>882</v>
      </c>
      <c r="AM186">
        <v>912</v>
      </c>
      <c r="AN186">
        <v>943</v>
      </c>
      <c r="AO186">
        <v>977</v>
      </c>
      <c r="AP186">
        <v>1012</v>
      </c>
      <c r="AQ186">
        <v>1048</v>
      </c>
      <c r="AR186">
        <v>1088</v>
      </c>
      <c r="AS186">
        <v>1130</v>
      </c>
      <c r="AT186">
        <v>1174</v>
      </c>
      <c r="AU186">
        <v>1219</v>
      </c>
      <c r="AV186">
        <v>1268</v>
      </c>
      <c r="AW186">
        <v>1320</v>
      </c>
      <c r="AX186">
        <v>1374</v>
      </c>
      <c r="AY186">
        <v>1431</v>
      </c>
      <c r="AZ186">
        <v>1491</v>
      </c>
      <c r="BA186">
        <v>1555</v>
      </c>
      <c r="BB186">
        <v>1625</v>
      </c>
      <c r="BC186">
        <v>1699</v>
      </c>
      <c r="BD186">
        <v>1777</v>
      </c>
      <c r="BE186">
        <v>1861</v>
      </c>
      <c r="BF186">
        <v>1953</v>
      </c>
      <c r="BG186">
        <v>2056</v>
      </c>
      <c r="BH186">
        <v>2167</v>
      </c>
      <c r="BI186">
        <v>2286</v>
      </c>
      <c r="BJ186">
        <v>2416</v>
      </c>
      <c r="BK186">
        <v>2556</v>
      </c>
      <c r="BL186">
        <v>2721</v>
      </c>
      <c r="BM186">
        <v>2901</v>
      </c>
      <c r="BN186">
        <v>3096</v>
      </c>
      <c r="BO186">
        <v>3315</v>
      </c>
      <c r="BP186">
        <v>3559</v>
      </c>
      <c r="BQ186">
        <v>3856</v>
      </c>
      <c r="BR186">
        <v>4190</v>
      </c>
      <c r="BS186">
        <v>4571</v>
      </c>
      <c r="BT186">
        <v>5017</v>
      </c>
      <c r="BU186">
        <v>5527</v>
      </c>
      <c r="BV186">
        <v>6140</v>
      </c>
      <c r="BW186">
        <v>6855</v>
      </c>
      <c r="BX186">
        <v>7722</v>
      </c>
      <c r="BY186">
        <v>8760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Z186" s="343" t="s">
        <v>633</v>
      </c>
      <c r="EA186" t="s">
        <v>1010</v>
      </c>
      <c r="EB186">
        <v>2</v>
      </c>
      <c r="EC186" s="431">
        <v>24</v>
      </c>
      <c r="ED186" s="184" t="str">
        <f t="shared" si="9"/>
        <v>SDJ200224</v>
      </c>
      <c r="EE186">
        <v>0</v>
      </c>
      <c r="EF186">
        <v>65</v>
      </c>
      <c r="EG186">
        <v>127</v>
      </c>
      <c r="EH186">
        <v>184</v>
      </c>
      <c r="EI186">
        <v>253</v>
      </c>
      <c r="EJ186">
        <v>311</v>
      </c>
      <c r="EK186">
        <v>410</v>
      </c>
      <c r="EL186">
        <v>473</v>
      </c>
      <c r="EM186">
        <v>534</v>
      </c>
      <c r="EN186">
        <v>661</v>
      </c>
      <c r="EO186">
        <v>727</v>
      </c>
      <c r="EP186">
        <v>793</v>
      </c>
      <c r="EQ186">
        <v>858</v>
      </c>
      <c r="ER186">
        <v>924</v>
      </c>
      <c r="ES186">
        <v>988</v>
      </c>
      <c r="ET186">
        <v>1055</v>
      </c>
      <c r="EU186">
        <v>1122</v>
      </c>
      <c r="EV186">
        <v>1189</v>
      </c>
      <c r="EW186">
        <v>1257</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E186">
        <v>0</v>
      </c>
      <c r="IF186">
        <v>0</v>
      </c>
      <c r="IG186">
        <v>0</v>
      </c>
      <c r="IH186">
        <v>0</v>
      </c>
      <c r="II186">
        <v>0</v>
      </c>
      <c r="IJ186">
        <v>0</v>
      </c>
      <c r="IK186">
        <v>0</v>
      </c>
    </row>
    <row r="187" spans="13:245" hidden="1">
      <c r="M187" s="343" t="s">
        <v>633</v>
      </c>
      <c r="N187" t="s">
        <v>1010</v>
      </c>
      <c r="O187">
        <v>2</v>
      </c>
      <c r="P187">
        <v>25</v>
      </c>
      <c r="Q187" s="184" t="str">
        <f t="shared" si="8"/>
        <v>SDJ200225</v>
      </c>
      <c r="R187">
        <v>0</v>
      </c>
      <c r="S187">
        <v>26</v>
      </c>
      <c r="T187">
        <v>54</v>
      </c>
      <c r="U187">
        <v>82</v>
      </c>
      <c r="V187">
        <v>117</v>
      </c>
      <c r="W187">
        <v>148</v>
      </c>
      <c r="X187">
        <v>203</v>
      </c>
      <c r="Y187">
        <v>239</v>
      </c>
      <c r="Z187">
        <v>277</v>
      </c>
      <c r="AA187">
        <v>351</v>
      </c>
      <c r="AB187">
        <v>395</v>
      </c>
      <c r="AC187">
        <v>441</v>
      </c>
      <c r="AD187">
        <v>489</v>
      </c>
      <c r="AE187">
        <v>538</v>
      </c>
      <c r="AF187">
        <v>590</v>
      </c>
      <c r="AG187">
        <v>643</v>
      </c>
      <c r="AH187">
        <v>699</v>
      </c>
      <c r="AI187">
        <v>757</v>
      </c>
      <c r="AJ187">
        <v>818</v>
      </c>
      <c r="AK187">
        <v>882</v>
      </c>
      <c r="AL187">
        <v>912</v>
      </c>
      <c r="AM187">
        <v>943</v>
      </c>
      <c r="AN187">
        <v>977</v>
      </c>
      <c r="AO187">
        <v>1012</v>
      </c>
      <c r="AP187">
        <v>1048</v>
      </c>
      <c r="AQ187">
        <v>1088</v>
      </c>
      <c r="AR187">
        <v>1130</v>
      </c>
      <c r="AS187">
        <v>1174</v>
      </c>
      <c r="AT187">
        <v>1219</v>
      </c>
      <c r="AU187">
        <v>1268</v>
      </c>
      <c r="AV187">
        <v>1320</v>
      </c>
      <c r="AW187">
        <v>1374</v>
      </c>
      <c r="AX187">
        <v>1431</v>
      </c>
      <c r="AY187">
        <v>1491</v>
      </c>
      <c r="AZ187">
        <v>1555</v>
      </c>
      <c r="BA187">
        <v>1625</v>
      </c>
      <c r="BB187">
        <v>1699</v>
      </c>
      <c r="BC187">
        <v>1777</v>
      </c>
      <c r="BD187">
        <v>1861</v>
      </c>
      <c r="BE187">
        <v>1953</v>
      </c>
      <c r="BF187">
        <v>2056</v>
      </c>
      <c r="BG187">
        <v>2167</v>
      </c>
      <c r="BH187">
        <v>2286</v>
      </c>
      <c r="BI187">
        <v>2416</v>
      </c>
      <c r="BJ187">
        <v>2556</v>
      </c>
      <c r="BK187">
        <v>2721</v>
      </c>
      <c r="BL187">
        <v>2901</v>
      </c>
      <c r="BM187">
        <v>3096</v>
      </c>
      <c r="BN187">
        <v>3315</v>
      </c>
      <c r="BO187">
        <v>3559</v>
      </c>
      <c r="BP187">
        <v>3856</v>
      </c>
      <c r="BQ187">
        <v>4190</v>
      </c>
      <c r="BR187">
        <v>4571</v>
      </c>
      <c r="BS187">
        <v>5017</v>
      </c>
      <c r="BT187">
        <v>5527</v>
      </c>
      <c r="BU187">
        <v>6140</v>
      </c>
      <c r="BV187">
        <v>6855</v>
      </c>
      <c r="BW187">
        <v>7722</v>
      </c>
      <c r="BX187">
        <v>8760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Z187" s="343" t="s">
        <v>633</v>
      </c>
      <c r="EA187" t="s">
        <v>1010</v>
      </c>
      <c r="EB187">
        <v>2</v>
      </c>
      <c r="EC187">
        <v>25</v>
      </c>
      <c r="ED187" s="184" t="str">
        <f t="shared" si="9"/>
        <v>SDJ200225</v>
      </c>
      <c r="EE187">
        <v>0</v>
      </c>
      <c r="EF187">
        <v>64</v>
      </c>
      <c r="EG187">
        <v>127</v>
      </c>
      <c r="EH187">
        <v>185</v>
      </c>
      <c r="EI187">
        <v>255</v>
      </c>
      <c r="EJ187">
        <v>312</v>
      </c>
      <c r="EK187">
        <v>415</v>
      </c>
      <c r="EL187">
        <v>477</v>
      </c>
      <c r="EM187">
        <v>539</v>
      </c>
      <c r="EN187">
        <v>667</v>
      </c>
      <c r="EO187">
        <v>734</v>
      </c>
      <c r="EP187">
        <v>801</v>
      </c>
      <c r="EQ187">
        <v>868</v>
      </c>
      <c r="ER187">
        <v>935</v>
      </c>
      <c r="ES187">
        <v>1003</v>
      </c>
      <c r="ET187">
        <v>1071</v>
      </c>
      <c r="EU187">
        <v>1140</v>
      </c>
      <c r="EV187">
        <v>1209</v>
      </c>
      <c r="EW187">
        <v>1281</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c r="IK187">
        <v>0</v>
      </c>
    </row>
    <row r="188" spans="13:245" hidden="1">
      <c r="M188" s="343" t="s">
        <v>633</v>
      </c>
      <c r="N188" t="s">
        <v>1010</v>
      </c>
      <c r="O188">
        <v>2</v>
      </c>
      <c r="P188">
        <v>26</v>
      </c>
      <c r="Q188" s="184" t="str">
        <f t="shared" si="8"/>
        <v>SDJ200226</v>
      </c>
      <c r="R188">
        <v>0</v>
      </c>
      <c r="S188">
        <v>27</v>
      </c>
      <c r="T188">
        <v>55</v>
      </c>
      <c r="U188">
        <v>83</v>
      </c>
      <c r="V188">
        <v>120</v>
      </c>
      <c r="W188">
        <v>152</v>
      </c>
      <c r="X188">
        <v>208</v>
      </c>
      <c r="Y188">
        <v>246</v>
      </c>
      <c r="Z188">
        <v>284</v>
      </c>
      <c r="AA188">
        <v>360</v>
      </c>
      <c r="AB188">
        <v>406</v>
      </c>
      <c r="AC188">
        <v>454</v>
      </c>
      <c r="AD188">
        <v>503</v>
      </c>
      <c r="AE188">
        <v>554</v>
      </c>
      <c r="AF188">
        <v>607</v>
      </c>
      <c r="AG188">
        <v>663</v>
      </c>
      <c r="AH188">
        <v>721</v>
      </c>
      <c r="AI188">
        <v>781</v>
      </c>
      <c r="AJ188">
        <v>845</v>
      </c>
      <c r="AK188">
        <v>912</v>
      </c>
      <c r="AL188">
        <v>943</v>
      </c>
      <c r="AM188">
        <v>977</v>
      </c>
      <c r="AN188">
        <v>1012</v>
      </c>
      <c r="AO188">
        <v>1048</v>
      </c>
      <c r="AP188">
        <v>1088</v>
      </c>
      <c r="AQ188">
        <v>1130</v>
      </c>
      <c r="AR188">
        <v>1174</v>
      </c>
      <c r="AS188">
        <v>1219</v>
      </c>
      <c r="AT188">
        <v>1268</v>
      </c>
      <c r="AU188">
        <v>1320</v>
      </c>
      <c r="AV188">
        <v>1374</v>
      </c>
      <c r="AW188">
        <v>1431</v>
      </c>
      <c r="AX188">
        <v>1491</v>
      </c>
      <c r="AY188">
        <v>1555</v>
      </c>
      <c r="AZ188">
        <v>1625</v>
      </c>
      <c r="BA188">
        <v>1699</v>
      </c>
      <c r="BB188">
        <v>1777</v>
      </c>
      <c r="BC188">
        <v>1861</v>
      </c>
      <c r="BD188">
        <v>1953</v>
      </c>
      <c r="BE188">
        <v>2056</v>
      </c>
      <c r="BF188">
        <v>2167</v>
      </c>
      <c r="BG188">
        <v>2286</v>
      </c>
      <c r="BH188">
        <v>2416</v>
      </c>
      <c r="BI188">
        <v>2556</v>
      </c>
      <c r="BJ188">
        <v>2721</v>
      </c>
      <c r="BK188">
        <v>2901</v>
      </c>
      <c r="BL188">
        <v>3096</v>
      </c>
      <c r="BM188">
        <v>3315</v>
      </c>
      <c r="BN188">
        <v>3559</v>
      </c>
      <c r="BO188">
        <v>3856</v>
      </c>
      <c r="BP188">
        <v>4190</v>
      </c>
      <c r="BQ188">
        <v>4571</v>
      </c>
      <c r="BR188">
        <v>5017</v>
      </c>
      <c r="BS188">
        <v>5527</v>
      </c>
      <c r="BT188">
        <v>6140</v>
      </c>
      <c r="BU188">
        <v>6855</v>
      </c>
      <c r="BV188">
        <v>7722</v>
      </c>
      <c r="BW188">
        <v>8760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Z188" s="343" t="s">
        <v>633</v>
      </c>
      <c r="EA188" t="s">
        <v>1010</v>
      </c>
      <c r="EB188">
        <v>2</v>
      </c>
      <c r="EC188">
        <v>26</v>
      </c>
      <c r="ED188" s="184" t="str">
        <f t="shared" si="9"/>
        <v>SDJ200226</v>
      </c>
      <c r="EE188">
        <v>0</v>
      </c>
      <c r="EF188">
        <v>65</v>
      </c>
      <c r="EG188">
        <v>127</v>
      </c>
      <c r="EH188">
        <v>184</v>
      </c>
      <c r="EI188">
        <v>257</v>
      </c>
      <c r="EJ188">
        <v>315</v>
      </c>
      <c r="EK188">
        <v>418</v>
      </c>
      <c r="EL188">
        <v>483</v>
      </c>
      <c r="EM188">
        <v>544</v>
      </c>
      <c r="EN188">
        <v>674</v>
      </c>
      <c r="EO188">
        <v>743</v>
      </c>
      <c r="EP188">
        <v>812</v>
      </c>
      <c r="EQ188">
        <v>880</v>
      </c>
      <c r="ER188">
        <v>949</v>
      </c>
      <c r="ES188">
        <v>1018</v>
      </c>
      <c r="ET188">
        <v>1089</v>
      </c>
      <c r="EU188">
        <v>1161</v>
      </c>
      <c r="EV188">
        <v>1232</v>
      </c>
      <c r="EW188">
        <v>1307</v>
      </c>
      <c r="EX188">
        <v>0</v>
      </c>
      <c r="EY188">
        <v>0</v>
      </c>
      <c r="EZ188">
        <v>0</v>
      </c>
      <c r="FA188">
        <v>0</v>
      </c>
      <c r="FB188">
        <v>0</v>
      </c>
      <c r="FC188">
        <v>0</v>
      </c>
      <c r="FD188">
        <v>0</v>
      </c>
      <c r="FE188">
        <v>0</v>
      </c>
      <c r="FF188">
        <v>0</v>
      </c>
      <c r="FG188">
        <v>0</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row>
    <row r="189" spans="13:245" hidden="1">
      <c r="M189" s="343" t="s">
        <v>633</v>
      </c>
      <c r="N189" t="s">
        <v>1010</v>
      </c>
      <c r="O189">
        <v>2</v>
      </c>
      <c r="P189">
        <v>27</v>
      </c>
      <c r="Q189" s="184" t="str">
        <f t="shared" si="8"/>
        <v>SDJ200227</v>
      </c>
      <c r="R189">
        <v>0</v>
      </c>
      <c r="S189">
        <v>28</v>
      </c>
      <c r="T189">
        <v>56</v>
      </c>
      <c r="U189">
        <v>86</v>
      </c>
      <c r="V189">
        <v>123</v>
      </c>
      <c r="W189">
        <v>156</v>
      </c>
      <c r="X189">
        <v>213</v>
      </c>
      <c r="Y189">
        <v>252</v>
      </c>
      <c r="Z189">
        <v>293</v>
      </c>
      <c r="AA189">
        <v>370</v>
      </c>
      <c r="AB189">
        <v>417</v>
      </c>
      <c r="AC189">
        <v>466</v>
      </c>
      <c r="AD189">
        <v>517</v>
      </c>
      <c r="AE189">
        <v>571</v>
      </c>
      <c r="AF189">
        <v>626</v>
      </c>
      <c r="AG189">
        <v>684</v>
      </c>
      <c r="AH189">
        <v>744</v>
      </c>
      <c r="AI189">
        <v>807</v>
      </c>
      <c r="AJ189">
        <v>873</v>
      </c>
      <c r="AK189">
        <v>943</v>
      </c>
      <c r="AL189">
        <v>977</v>
      </c>
      <c r="AM189">
        <v>1012</v>
      </c>
      <c r="AN189">
        <v>1048</v>
      </c>
      <c r="AO189">
        <v>1088</v>
      </c>
      <c r="AP189">
        <v>1130</v>
      </c>
      <c r="AQ189">
        <v>1174</v>
      </c>
      <c r="AR189">
        <v>1219</v>
      </c>
      <c r="AS189">
        <v>1268</v>
      </c>
      <c r="AT189">
        <v>1320</v>
      </c>
      <c r="AU189">
        <v>1374</v>
      </c>
      <c r="AV189">
        <v>1431</v>
      </c>
      <c r="AW189">
        <v>1491</v>
      </c>
      <c r="AX189">
        <v>1555</v>
      </c>
      <c r="AY189">
        <v>1625</v>
      </c>
      <c r="AZ189">
        <v>1699</v>
      </c>
      <c r="BA189">
        <v>1777</v>
      </c>
      <c r="BB189">
        <v>1861</v>
      </c>
      <c r="BC189">
        <v>1953</v>
      </c>
      <c r="BD189">
        <v>2056</v>
      </c>
      <c r="BE189">
        <v>2167</v>
      </c>
      <c r="BF189">
        <v>2286</v>
      </c>
      <c r="BG189">
        <v>2416</v>
      </c>
      <c r="BH189">
        <v>2556</v>
      </c>
      <c r="BI189">
        <v>2721</v>
      </c>
      <c r="BJ189">
        <v>2901</v>
      </c>
      <c r="BK189">
        <v>3096</v>
      </c>
      <c r="BL189">
        <v>3315</v>
      </c>
      <c r="BM189">
        <v>3559</v>
      </c>
      <c r="BN189">
        <v>3856</v>
      </c>
      <c r="BO189">
        <v>4190</v>
      </c>
      <c r="BP189">
        <v>4571</v>
      </c>
      <c r="BQ189">
        <v>5017</v>
      </c>
      <c r="BR189">
        <v>5527</v>
      </c>
      <c r="BS189">
        <v>6140</v>
      </c>
      <c r="BT189">
        <v>6855</v>
      </c>
      <c r="BU189">
        <v>7722</v>
      </c>
      <c r="BV189">
        <v>8760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Z189" s="343" t="s">
        <v>633</v>
      </c>
      <c r="EA189" t="s">
        <v>1010</v>
      </c>
      <c r="EB189">
        <v>2</v>
      </c>
      <c r="EC189">
        <v>27</v>
      </c>
      <c r="ED189" s="184" t="str">
        <f t="shared" si="9"/>
        <v>SDJ200227</v>
      </c>
      <c r="EE189">
        <v>0</v>
      </c>
      <c r="EF189">
        <v>66</v>
      </c>
      <c r="EG189">
        <v>127</v>
      </c>
      <c r="EH189">
        <v>187</v>
      </c>
      <c r="EI189">
        <v>259</v>
      </c>
      <c r="EJ189">
        <v>317</v>
      </c>
      <c r="EK189">
        <v>421</v>
      </c>
      <c r="EL189">
        <v>486</v>
      </c>
      <c r="EM189">
        <v>552</v>
      </c>
      <c r="EN189">
        <v>682</v>
      </c>
      <c r="EO189">
        <v>751</v>
      </c>
      <c r="EP189">
        <v>821</v>
      </c>
      <c r="EQ189">
        <v>892</v>
      </c>
      <c r="ER189">
        <v>965</v>
      </c>
      <c r="ES189">
        <v>1036</v>
      </c>
      <c r="ET189">
        <v>1110</v>
      </c>
      <c r="EU189">
        <v>1183</v>
      </c>
      <c r="EV189">
        <v>1258</v>
      </c>
      <c r="EW189">
        <v>1335</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row>
    <row r="190" spans="13:245" hidden="1">
      <c r="M190" s="343" t="s">
        <v>633</v>
      </c>
      <c r="N190" t="s">
        <v>1010</v>
      </c>
      <c r="O190">
        <v>2</v>
      </c>
      <c r="P190">
        <v>28</v>
      </c>
      <c r="Q190" s="184" t="str">
        <f t="shared" si="8"/>
        <v>SDJ200228</v>
      </c>
      <c r="R190">
        <v>0</v>
      </c>
      <c r="S190">
        <v>29</v>
      </c>
      <c r="T190">
        <v>58</v>
      </c>
      <c r="U190">
        <v>88</v>
      </c>
      <c r="V190">
        <v>126</v>
      </c>
      <c r="W190">
        <v>160</v>
      </c>
      <c r="X190">
        <v>220</v>
      </c>
      <c r="Y190">
        <v>259</v>
      </c>
      <c r="Z190">
        <v>301</v>
      </c>
      <c r="AA190">
        <v>381</v>
      </c>
      <c r="AB190">
        <v>429</v>
      </c>
      <c r="AC190">
        <v>480</v>
      </c>
      <c r="AD190">
        <v>533</v>
      </c>
      <c r="AE190">
        <v>588</v>
      </c>
      <c r="AF190">
        <v>646</v>
      </c>
      <c r="AG190">
        <v>706</v>
      </c>
      <c r="AH190">
        <v>768</v>
      </c>
      <c r="AI190">
        <v>834</v>
      </c>
      <c r="AJ190">
        <v>904</v>
      </c>
      <c r="AK190">
        <v>977</v>
      </c>
      <c r="AL190">
        <v>1012</v>
      </c>
      <c r="AM190">
        <v>1048</v>
      </c>
      <c r="AN190">
        <v>1088</v>
      </c>
      <c r="AO190">
        <v>1130</v>
      </c>
      <c r="AP190">
        <v>1174</v>
      </c>
      <c r="AQ190">
        <v>1219</v>
      </c>
      <c r="AR190">
        <v>1268</v>
      </c>
      <c r="AS190">
        <v>1320</v>
      </c>
      <c r="AT190">
        <v>1374</v>
      </c>
      <c r="AU190">
        <v>1431</v>
      </c>
      <c r="AV190">
        <v>1491</v>
      </c>
      <c r="AW190">
        <v>1555</v>
      </c>
      <c r="AX190">
        <v>1625</v>
      </c>
      <c r="AY190">
        <v>1699</v>
      </c>
      <c r="AZ190">
        <v>1777</v>
      </c>
      <c r="BA190">
        <v>1861</v>
      </c>
      <c r="BB190">
        <v>1953</v>
      </c>
      <c r="BC190">
        <v>2056</v>
      </c>
      <c r="BD190">
        <v>2167</v>
      </c>
      <c r="BE190">
        <v>2286</v>
      </c>
      <c r="BF190">
        <v>2416</v>
      </c>
      <c r="BG190">
        <v>2556</v>
      </c>
      <c r="BH190">
        <v>2721</v>
      </c>
      <c r="BI190">
        <v>2901</v>
      </c>
      <c r="BJ190">
        <v>3096</v>
      </c>
      <c r="BK190">
        <v>3315</v>
      </c>
      <c r="BL190">
        <v>3559</v>
      </c>
      <c r="BM190">
        <v>3856</v>
      </c>
      <c r="BN190">
        <v>4190</v>
      </c>
      <c r="BO190">
        <v>4571</v>
      </c>
      <c r="BP190">
        <v>5017</v>
      </c>
      <c r="BQ190">
        <v>5527</v>
      </c>
      <c r="BR190">
        <v>6140</v>
      </c>
      <c r="BS190">
        <v>6855</v>
      </c>
      <c r="BT190">
        <v>7722</v>
      </c>
      <c r="BU190">
        <v>8760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Z190" s="343" t="s">
        <v>633</v>
      </c>
      <c r="EA190" t="s">
        <v>1010</v>
      </c>
      <c r="EB190">
        <v>2</v>
      </c>
      <c r="EC190">
        <v>28</v>
      </c>
      <c r="ED190" s="184" t="str">
        <f t="shared" si="9"/>
        <v>SDJ200228</v>
      </c>
      <c r="EE190">
        <v>0</v>
      </c>
      <c r="EF190">
        <v>68</v>
      </c>
      <c r="EG190">
        <v>129</v>
      </c>
      <c r="EH190">
        <v>188</v>
      </c>
      <c r="EI190">
        <v>261</v>
      </c>
      <c r="EJ190">
        <v>320</v>
      </c>
      <c r="EK190">
        <v>428</v>
      </c>
      <c r="EL190">
        <v>492</v>
      </c>
      <c r="EM190">
        <v>559</v>
      </c>
      <c r="EN190">
        <v>691</v>
      </c>
      <c r="EO190">
        <v>761</v>
      </c>
      <c r="EP190">
        <v>834</v>
      </c>
      <c r="EQ190">
        <v>907</v>
      </c>
      <c r="ER190">
        <v>980</v>
      </c>
      <c r="ES190">
        <v>1056</v>
      </c>
      <c r="ET190">
        <v>1131</v>
      </c>
      <c r="EU190">
        <v>1207</v>
      </c>
      <c r="EV190">
        <v>1285</v>
      </c>
      <c r="EW190">
        <v>1366</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row>
    <row r="191" spans="13:245" hidden="1">
      <c r="M191" s="343" t="s">
        <v>633</v>
      </c>
      <c r="N191" t="s">
        <v>1010</v>
      </c>
      <c r="O191">
        <v>2</v>
      </c>
      <c r="P191">
        <v>29</v>
      </c>
      <c r="Q191" s="184" t="str">
        <f t="shared" si="8"/>
        <v>SDJ200229</v>
      </c>
      <c r="R191">
        <v>0</v>
      </c>
      <c r="S191">
        <v>29</v>
      </c>
      <c r="T191">
        <v>60</v>
      </c>
      <c r="U191">
        <v>91</v>
      </c>
      <c r="V191">
        <v>130</v>
      </c>
      <c r="W191">
        <v>165</v>
      </c>
      <c r="X191">
        <v>226</v>
      </c>
      <c r="Y191">
        <v>266</v>
      </c>
      <c r="Z191">
        <v>309</v>
      </c>
      <c r="AA191">
        <v>392</v>
      </c>
      <c r="AB191">
        <v>442</v>
      </c>
      <c r="AC191">
        <v>495</v>
      </c>
      <c r="AD191">
        <v>550</v>
      </c>
      <c r="AE191">
        <v>607</v>
      </c>
      <c r="AF191">
        <v>667</v>
      </c>
      <c r="AG191">
        <v>729</v>
      </c>
      <c r="AH191">
        <v>795</v>
      </c>
      <c r="AI191">
        <v>863</v>
      </c>
      <c r="AJ191">
        <v>936</v>
      </c>
      <c r="AK191">
        <v>1012</v>
      </c>
      <c r="AL191">
        <v>1048</v>
      </c>
      <c r="AM191">
        <v>1088</v>
      </c>
      <c r="AN191">
        <v>1130</v>
      </c>
      <c r="AO191">
        <v>1174</v>
      </c>
      <c r="AP191">
        <v>1219</v>
      </c>
      <c r="AQ191">
        <v>1268</v>
      </c>
      <c r="AR191">
        <v>1320</v>
      </c>
      <c r="AS191">
        <v>1374</v>
      </c>
      <c r="AT191">
        <v>1431</v>
      </c>
      <c r="AU191">
        <v>1491</v>
      </c>
      <c r="AV191">
        <v>1555</v>
      </c>
      <c r="AW191">
        <v>1625</v>
      </c>
      <c r="AX191">
        <v>1699</v>
      </c>
      <c r="AY191">
        <v>1777</v>
      </c>
      <c r="AZ191">
        <v>1861</v>
      </c>
      <c r="BA191">
        <v>1953</v>
      </c>
      <c r="BB191">
        <v>2056</v>
      </c>
      <c r="BC191">
        <v>2167</v>
      </c>
      <c r="BD191">
        <v>2286</v>
      </c>
      <c r="BE191">
        <v>2416</v>
      </c>
      <c r="BF191">
        <v>2556</v>
      </c>
      <c r="BG191">
        <v>2721</v>
      </c>
      <c r="BH191">
        <v>2901</v>
      </c>
      <c r="BI191">
        <v>3096</v>
      </c>
      <c r="BJ191">
        <v>3315</v>
      </c>
      <c r="BK191">
        <v>3559</v>
      </c>
      <c r="BL191">
        <v>3856</v>
      </c>
      <c r="BM191">
        <v>4190</v>
      </c>
      <c r="BN191">
        <v>4571</v>
      </c>
      <c r="BO191">
        <v>5017</v>
      </c>
      <c r="BP191">
        <v>5527</v>
      </c>
      <c r="BQ191">
        <v>6140</v>
      </c>
      <c r="BR191">
        <v>6855</v>
      </c>
      <c r="BS191">
        <v>7722</v>
      </c>
      <c r="BT191">
        <v>8760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Z191" s="343" t="s">
        <v>633</v>
      </c>
      <c r="EA191" t="s">
        <v>1010</v>
      </c>
      <c r="EB191">
        <v>2</v>
      </c>
      <c r="EC191">
        <v>29</v>
      </c>
      <c r="ED191" s="184" t="str">
        <f t="shared" si="9"/>
        <v>SDJ200229</v>
      </c>
      <c r="EE191">
        <v>0</v>
      </c>
      <c r="EF191">
        <v>66</v>
      </c>
      <c r="EG191">
        <v>132</v>
      </c>
      <c r="EH191">
        <v>191</v>
      </c>
      <c r="EI191">
        <v>265</v>
      </c>
      <c r="EJ191">
        <v>325</v>
      </c>
      <c r="EK191">
        <v>433</v>
      </c>
      <c r="EL191">
        <v>497</v>
      </c>
      <c r="EM191">
        <v>565</v>
      </c>
      <c r="EN191">
        <v>701</v>
      </c>
      <c r="EO191">
        <v>773</v>
      </c>
      <c r="EP191">
        <v>848</v>
      </c>
      <c r="EQ191">
        <v>923</v>
      </c>
      <c r="ER191">
        <v>999</v>
      </c>
      <c r="ES191">
        <v>1076</v>
      </c>
      <c r="ET191">
        <v>1154</v>
      </c>
      <c r="EU191">
        <v>1234</v>
      </c>
      <c r="EV191">
        <v>1315</v>
      </c>
      <c r="EW191">
        <v>1399</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0</v>
      </c>
      <c r="FT191">
        <v>0</v>
      </c>
      <c r="FU191">
        <v>0</v>
      </c>
      <c r="FV191">
        <v>0</v>
      </c>
      <c r="FW191">
        <v>0</v>
      </c>
      <c r="FX191">
        <v>0</v>
      </c>
      <c r="FY191">
        <v>0</v>
      </c>
      <c r="FZ191">
        <v>0</v>
      </c>
      <c r="GA191">
        <v>0</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row>
    <row r="192" spans="13:245" hidden="1">
      <c r="M192" s="343" t="s">
        <v>633</v>
      </c>
      <c r="N192" t="s">
        <v>1010</v>
      </c>
      <c r="O192">
        <v>2</v>
      </c>
      <c r="P192">
        <v>30</v>
      </c>
      <c r="Q192" s="184" t="str">
        <f t="shared" si="8"/>
        <v>SDJ200230</v>
      </c>
      <c r="R192">
        <v>0</v>
      </c>
      <c r="S192">
        <v>30</v>
      </c>
      <c r="T192">
        <v>62</v>
      </c>
      <c r="U192">
        <v>93</v>
      </c>
      <c r="V192">
        <v>134</v>
      </c>
      <c r="W192">
        <v>170</v>
      </c>
      <c r="X192">
        <v>232</v>
      </c>
      <c r="Y192">
        <v>275</v>
      </c>
      <c r="Z192">
        <v>318</v>
      </c>
      <c r="AA192">
        <v>404</v>
      </c>
      <c r="AB192">
        <v>456</v>
      </c>
      <c r="AC192">
        <v>511</v>
      </c>
      <c r="AD192">
        <v>568</v>
      </c>
      <c r="AE192">
        <v>627</v>
      </c>
      <c r="AF192">
        <v>689</v>
      </c>
      <c r="AG192">
        <v>754</v>
      </c>
      <c r="AH192">
        <v>823</v>
      </c>
      <c r="AI192">
        <v>895</v>
      </c>
      <c r="AJ192">
        <v>970</v>
      </c>
      <c r="AK192">
        <v>1048</v>
      </c>
      <c r="AL192">
        <v>1088</v>
      </c>
      <c r="AM192">
        <v>1130</v>
      </c>
      <c r="AN192">
        <v>1174</v>
      </c>
      <c r="AO192">
        <v>1219</v>
      </c>
      <c r="AP192">
        <v>1268</v>
      </c>
      <c r="AQ192">
        <v>1320</v>
      </c>
      <c r="AR192">
        <v>1374</v>
      </c>
      <c r="AS192">
        <v>1431</v>
      </c>
      <c r="AT192">
        <v>1491</v>
      </c>
      <c r="AU192">
        <v>1555</v>
      </c>
      <c r="AV192">
        <v>1625</v>
      </c>
      <c r="AW192">
        <v>1699</v>
      </c>
      <c r="AX192">
        <v>1777</v>
      </c>
      <c r="AY192">
        <v>1861</v>
      </c>
      <c r="AZ192">
        <v>1953</v>
      </c>
      <c r="BA192">
        <v>2056</v>
      </c>
      <c r="BB192">
        <v>2167</v>
      </c>
      <c r="BC192">
        <v>2286</v>
      </c>
      <c r="BD192">
        <v>2416</v>
      </c>
      <c r="BE192">
        <v>2556</v>
      </c>
      <c r="BF192">
        <v>2721</v>
      </c>
      <c r="BG192">
        <v>2901</v>
      </c>
      <c r="BH192">
        <v>3096</v>
      </c>
      <c r="BI192">
        <v>3315</v>
      </c>
      <c r="BJ192">
        <v>3559</v>
      </c>
      <c r="BK192">
        <v>3856</v>
      </c>
      <c r="BL192">
        <v>4190</v>
      </c>
      <c r="BM192">
        <v>4571</v>
      </c>
      <c r="BN192">
        <v>5017</v>
      </c>
      <c r="BO192">
        <v>5527</v>
      </c>
      <c r="BP192">
        <v>6140</v>
      </c>
      <c r="BQ192">
        <v>6855</v>
      </c>
      <c r="BR192">
        <v>7722</v>
      </c>
      <c r="BS192">
        <v>8760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Z192" s="343" t="s">
        <v>633</v>
      </c>
      <c r="EA192" t="s">
        <v>1010</v>
      </c>
      <c r="EB192">
        <v>2</v>
      </c>
      <c r="EC192">
        <v>30</v>
      </c>
      <c r="ED192" s="184" t="str">
        <f t="shared" si="9"/>
        <v>SDJ200230</v>
      </c>
      <c r="EE192">
        <v>0</v>
      </c>
      <c r="EF192">
        <v>68</v>
      </c>
      <c r="EG192">
        <v>134</v>
      </c>
      <c r="EH192">
        <v>192</v>
      </c>
      <c r="EI192">
        <v>268</v>
      </c>
      <c r="EJ192">
        <v>329</v>
      </c>
      <c r="EK192">
        <v>437</v>
      </c>
      <c r="EL192">
        <v>506</v>
      </c>
      <c r="EM192">
        <v>573</v>
      </c>
      <c r="EN192">
        <v>712</v>
      </c>
      <c r="EO192">
        <v>786</v>
      </c>
      <c r="EP192">
        <v>863</v>
      </c>
      <c r="EQ192">
        <v>941</v>
      </c>
      <c r="ER192">
        <v>1019</v>
      </c>
      <c r="ES192">
        <v>1098</v>
      </c>
      <c r="ET192">
        <v>1179</v>
      </c>
      <c r="EU192">
        <v>1263</v>
      </c>
      <c r="EV192">
        <v>1348</v>
      </c>
      <c r="EW192">
        <v>1434</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row>
    <row r="193" spans="13:245" hidden="1">
      <c r="M193" s="343" t="s">
        <v>633</v>
      </c>
      <c r="N193" t="s">
        <v>1010</v>
      </c>
      <c r="O193">
        <v>2</v>
      </c>
      <c r="P193">
        <v>31</v>
      </c>
      <c r="Q193" s="184" t="str">
        <f t="shared" si="8"/>
        <v>SDJ200231</v>
      </c>
      <c r="R193">
        <v>0</v>
      </c>
      <c r="S193">
        <v>32</v>
      </c>
      <c r="T193">
        <v>63</v>
      </c>
      <c r="U193">
        <v>96</v>
      </c>
      <c r="V193">
        <v>138</v>
      </c>
      <c r="W193">
        <v>174</v>
      </c>
      <c r="X193">
        <v>239</v>
      </c>
      <c r="Y193">
        <v>283</v>
      </c>
      <c r="Z193">
        <v>328</v>
      </c>
      <c r="AA193">
        <v>416</v>
      </c>
      <c r="AB193">
        <v>471</v>
      </c>
      <c r="AC193">
        <v>527</v>
      </c>
      <c r="AD193">
        <v>586</v>
      </c>
      <c r="AE193">
        <v>648</v>
      </c>
      <c r="AF193">
        <v>713</v>
      </c>
      <c r="AG193">
        <v>781</v>
      </c>
      <c r="AH193">
        <v>853</v>
      </c>
      <c r="AI193">
        <v>927</v>
      </c>
      <c r="AJ193">
        <v>1005</v>
      </c>
      <c r="AK193">
        <v>1088</v>
      </c>
      <c r="AL193">
        <v>1130</v>
      </c>
      <c r="AM193">
        <v>1174</v>
      </c>
      <c r="AN193">
        <v>1219</v>
      </c>
      <c r="AO193">
        <v>1268</v>
      </c>
      <c r="AP193">
        <v>1320</v>
      </c>
      <c r="AQ193">
        <v>1374</v>
      </c>
      <c r="AR193">
        <v>1431</v>
      </c>
      <c r="AS193">
        <v>1491</v>
      </c>
      <c r="AT193">
        <v>1555</v>
      </c>
      <c r="AU193">
        <v>1625</v>
      </c>
      <c r="AV193">
        <v>1699</v>
      </c>
      <c r="AW193">
        <v>1777</v>
      </c>
      <c r="AX193">
        <v>1861</v>
      </c>
      <c r="AY193">
        <v>1953</v>
      </c>
      <c r="AZ193">
        <v>2056</v>
      </c>
      <c r="BA193">
        <v>2167</v>
      </c>
      <c r="BB193">
        <v>2286</v>
      </c>
      <c r="BC193">
        <v>2416</v>
      </c>
      <c r="BD193">
        <v>2556</v>
      </c>
      <c r="BE193">
        <v>2721</v>
      </c>
      <c r="BF193">
        <v>2901</v>
      </c>
      <c r="BG193">
        <v>3096</v>
      </c>
      <c r="BH193">
        <v>3315</v>
      </c>
      <c r="BI193">
        <v>3559</v>
      </c>
      <c r="BJ193">
        <v>3856</v>
      </c>
      <c r="BK193">
        <v>4190</v>
      </c>
      <c r="BL193">
        <v>4571</v>
      </c>
      <c r="BM193">
        <v>5017</v>
      </c>
      <c r="BN193">
        <v>5527</v>
      </c>
      <c r="BO193">
        <v>6140</v>
      </c>
      <c r="BP193">
        <v>6855</v>
      </c>
      <c r="BQ193">
        <v>7722</v>
      </c>
      <c r="BR193">
        <v>8760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Z193" s="343" t="s">
        <v>633</v>
      </c>
      <c r="EA193" t="s">
        <v>1010</v>
      </c>
      <c r="EB193">
        <v>2</v>
      </c>
      <c r="EC193">
        <v>31</v>
      </c>
      <c r="ED193" s="184" t="str">
        <f t="shared" si="9"/>
        <v>SDJ200231</v>
      </c>
      <c r="EE193">
        <v>0</v>
      </c>
      <c r="EF193">
        <v>71</v>
      </c>
      <c r="EG193">
        <v>134</v>
      </c>
      <c r="EH193">
        <v>196</v>
      </c>
      <c r="EI193">
        <v>272</v>
      </c>
      <c r="EJ193">
        <v>332</v>
      </c>
      <c r="EK193">
        <v>444</v>
      </c>
      <c r="EL193">
        <v>514</v>
      </c>
      <c r="EM193">
        <v>582</v>
      </c>
      <c r="EN193">
        <v>723</v>
      </c>
      <c r="EO193">
        <v>802</v>
      </c>
      <c r="EP193">
        <v>879</v>
      </c>
      <c r="EQ193">
        <v>959</v>
      </c>
      <c r="ER193">
        <v>1040</v>
      </c>
      <c r="ES193">
        <v>1124</v>
      </c>
      <c r="ET193">
        <v>1208</v>
      </c>
      <c r="EU193">
        <v>1295</v>
      </c>
      <c r="EV193">
        <v>1382</v>
      </c>
      <c r="EW193">
        <v>1470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row>
    <row r="194" spans="13:245" hidden="1">
      <c r="M194" s="343" t="s">
        <v>633</v>
      </c>
      <c r="N194" t="s">
        <v>1010</v>
      </c>
      <c r="O194">
        <v>2</v>
      </c>
      <c r="P194">
        <v>32</v>
      </c>
      <c r="Q194" s="184" t="str">
        <f t="shared" si="8"/>
        <v>SDJ200232</v>
      </c>
      <c r="R194">
        <v>0</v>
      </c>
      <c r="S194">
        <v>32</v>
      </c>
      <c r="T194">
        <v>65</v>
      </c>
      <c r="U194">
        <v>99</v>
      </c>
      <c r="V194">
        <v>142</v>
      </c>
      <c r="W194">
        <v>180</v>
      </c>
      <c r="X194">
        <v>247</v>
      </c>
      <c r="Y194">
        <v>292</v>
      </c>
      <c r="Z194">
        <v>338</v>
      </c>
      <c r="AA194">
        <v>430</v>
      </c>
      <c r="AB194">
        <v>486</v>
      </c>
      <c r="AC194">
        <v>545</v>
      </c>
      <c r="AD194">
        <v>606</v>
      </c>
      <c r="AE194">
        <v>671</v>
      </c>
      <c r="AF194">
        <v>739</v>
      </c>
      <c r="AG194">
        <v>810</v>
      </c>
      <c r="AH194">
        <v>884</v>
      </c>
      <c r="AI194">
        <v>961</v>
      </c>
      <c r="AJ194">
        <v>1044</v>
      </c>
      <c r="AK194">
        <v>1130</v>
      </c>
      <c r="AL194">
        <v>1174</v>
      </c>
      <c r="AM194">
        <v>1219</v>
      </c>
      <c r="AN194">
        <v>1268</v>
      </c>
      <c r="AO194">
        <v>1320</v>
      </c>
      <c r="AP194">
        <v>1374</v>
      </c>
      <c r="AQ194">
        <v>1431</v>
      </c>
      <c r="AR194">
        <v>1491</v>
      </c>
      <c r="AS194">
        <v>1555</v>
      </c>
      <c r="AT194">
        <v>1625</v>
      </c>
      <c r="AU194">
        <v>1699</v>
      </c>
      <c r="AV194">
        <v>1777</v>
      </c>
      <c r="AW194">
        <v>1861</v>
      </c>
      <c r="AX194">
        <v>1953</v>
      </c>
      <c r="AY194">
        <v>2056</v>
      </c>
      <c r="AZ194">
        <v>2167</v>
      </c>
      <c r="BA194">
        <v>2286</v>
      </c>
      <c r="BB194">
        <v>2416</v>
      </c>
      <c r="BC194">
        <v>2556</v>
      </c>
      <c r="BD194">
        <v>2721</v>
      </c>
      <c r="BE194">
        <v>2901</v>
      </c>
      <c r="BF194">
        <v>3096</v>
      </c>
      <c r="BG194">
        <v>3315</v>
      </c>
      <c r="BH194">
        <v>3559</v>
      </c>
      <c r="BI194">
        <v>3856</v>
      </c>
      <c r="BJ194">
        <v>4190</v>
      </c>
      <c r="BK194">
        <v>4571</v>
      </c>
      <c r="BL194">
        <v>5017</v>
      </c>
      <c r="BM194">
        <v>5527</v>
      </c>
      <c r="BN194">
        <v>6140</v>
      </c>
      <c r="BO194">
        <v>6855</v>
      </c>
      <c r="BP194">
        <v>7722</v>
      </c>
      <c r="BQ194">
        <v>8760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Z194" s="343" t="s">
        <v>633</v>
      </c>
      <c r="EA194" t="s">
        <v>1010</v>
      </c>
      <c r="EB194">
        <v>2</v>
      </c>
      <c r="EC194">
        <v>32</v>
      </c>
      <c r="ED194" s="184" t="str">
        <f t="shared" si="9"/>
        <v>SDJ200232</v>
      </c>
      <c r="EE194">
        <v>0</v>
      </c>
      <c r="EF194">
        <v>70</v>
      </c>
      <c r="EG194">
        <v>136</v>
      </c>
      <c r="EH194">
        <v>198</v>
      </c>
      <c r="EI194">
        <v>276</v>
      </c>
      <c r="EJ194">
        <v>338</v>
      </c>
      <c r="EK194">
        <v>452</v>
      </c>
      <c r="EL194">
        <v>522</v>
      </c>
      <c r="EM194">
        <v>592</v>
      </c>
      <c r="EN194">
        <v>737</v>
      </c>
      <c r="EO194">
        <v>816</v>
      </c>
      <c r="EP194">
        <v>898</v>
      </c>
      <c r="EQ194">
        <v>980</v>
      </c>
      <c r="ER194">
        <v>1065</v>
      </c>
      <c r="ES194">
        <v>1151</v>
      </c>
      <c r="ET194">
        <v>1239</v>
      </c>
      <c r="EU194">
        <v>1328</v>
      </c>
      <c r="EV194">
        <v>1417</v>
      </c>
      <c r="EW194">
        <v>1511</v>
      </c>
      <c r="EX194">
        <v>0</v>
      </c>
      <c r="EY194">
        <v>0</v>
      </c>
      <c r="EZ194">
        <v>0</v>
      </c>
      <c r="FA194">
        <v>0</v>
      </c>
      <c r="FB194">
        <v>0</v>
      </c>
      <c r="FC194">
        <v>0</v>
      </c>
      <c r="FD194">
        <v>0</v>
      </c>
      <c r="FE194">
        <v>0</v>
      </c>
      <c r="FF194">
        <v>0</v>
      </c>
      <c r="FG194">
        <v>0</v>
      </c>
      <c r="FH194">
        <v>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row>
    <row r="195" spans="13:245" hidden="1">
      <c r="M195" s="343" t="s">
        <v>633</v>
      </c>
      <c r="N195" t="s">
        <v>1010</v>
      </c>
      <c r="O195">
        <v>2</v>
      </c>
      <c r="P195">
        <v>33</v>
      </c>
      <c r="Q195" s="184" t="str">
        <f t="shared" si="8"/>
        <v>SDJ200233</v>
      </c>
      <c r="R195">
        <v>0</v>
      </c>
      <c r="S195">
        <v>33</v>
      </c>
      <c r="T195">
        <v>67</v>
      </c>
      <c r="U195">
        <v>102</v>
      </c>
      <c r="V195">
        <v>146</v>
      </c>
      <c r="W195">
        <v>186</v>
      </c>
      <c r="X195">
        <v>254</v>
      </c>
      <c r="Y195">
        <v>301</v>
      </c>
      <c r="Z195">
        <v>349</v>
      </c>
      <c r="AA195">
        <v>444</v>
      </c>
      <c r="AB195">
        <v>502</v>
      </c>
      <c r="AC195">
        <v>563</v>
      </c>
      <c r="AD195">
        <v>628</v>
      </c>
      <c r="AE195">
        <v>695</v>
      </c>
      <c r="AF195">
        <v>766</v>
      </c>
      <c r="AG195">
        <v>840</v>
      </c>
      <c r="AH195">
        <v>917</v>
      </c>
      <c r="AI195">
        <v>998</v>
      </c>
      <c r="AJ195">
        <v>1084</v>
      </c>
      <c r="AK195">
        <v>1174</v>
      </c>
      <c r="AL195">
        <v>1219</v>
      </c>
      <c r="AM195">
        <v>1268</v>
      </c>
      <c r="AN195">
        <v>1320</v>
      </c>
      <c r="AO195">
        <v>1374</v>
      </c>
      <c r="AP195">
        <v>1431</v>
      </c>
      <c r="AQ195">
        <v>1491</v>
      </c>
      <c r="AR195">
        <v>1555</v>
      </c>
      <c r="AS195">
        <v>1625</v>
      </c>
      <c r="AT195">
        <v>1699</v>
      </c>
      <c r="AU195">
        <v>1777</v>
      </c>
      <c r="AV195">
        <v>1861</v>
      </c>
      <c r="AW195">
        <v>1953</v>
      </c>
      <c r="AX195">
        <v>2056</v>
      </c>
      <c r="AY195">
        <v>2167</v>
      </c>
      <c r="AZ195">
        <v>2286</v>
      </c>
      <c r="BA195">
        <v>2416</v>
      </c>
      <c r="BB195">
        <v>2556</v>
      </c>
      <c r="BC195">
        <v>2721</v>
      </c>
      <c r="BD195">
        <v>2901</v>
      </c>
      <c r="BE195">
        <v>3096</v>
      </c>
      <c r="BF195">
        <v>3315</v>
      </c>
      <c r="BG195">
        <v>3559</v>
      </c>
      <c r="BH195">
        <v>3856</v>
      </c>
      <c r="BI195">
        <v>4190</v>
      </c>
      <c r="BJ195">
        <v>4571</v>
      </c>
      <c r="BK195">
        <v>5017</v>
      </c>
      <c r="BL195">
        <v>5527</v>
      </c>
      <c r="BM195">
        <v>6140</v>
      </c>
      <c r="BN195">
        <v>6855</v>
      </c>
      <c r="BO195">
        <v>7722</v>
      </c>
      <c r="BP195">
        <v>8760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Z195" s="343" t="s">
        <v>633</v>
      </c>
      <c r="EA195" t="s">
        <v>1010</v>
      </c>
      <c r="EB195">
        <v>2</v>
      </c>
      <c r="EC195">
        <v>33</v>
      </c>
      <c r="ED195" s="184" t="str">
        <f t="shared" si="9"/>
        <v>SDJ200233</v>
      </c>
      <c r="EE195">
        <v>0</v>
      </c>
      <c r="EF195">
        <v>71</v>
      </c>
      <c r="EG195">
        <v>138</v>
      </c>
      <c r="EH195">
        <v>201</v>
      </c>
      <c r="EI195">
        <v>279</v>
      </c>
      <c r="EJ195">
        <v>344</v>
      </c>
      <c r="EK195">
        <v>458</v>
      </c>
      <c r="EL195">
        <v>531</v>
      </c>
      <c r="EM195">
        <v>603</v>
      </c>
      <c r="EN195">
        <v>751</v>
      </c>
      <c r="EO195">
        <v>833</v>
      </c>
      <c r="EP195">
        <v>916</v>
      </c>
      <c r="EQ195">
        <v>1003</v>
      </c>
      <c r="ER195">
        <v>1090</v>
      </c>
      <c r="ES195">
        <v>1180</v>
      </c>
      <c r="ET195">
        <v>1271</v>
      </c>
      <c r="EU195">
        <v>1363</v>
      </c>
      <c r="EV195">
        <v>1456</v>
      </c>
      <c r="EW195">
        <v>1552</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row>
    <row r="196" spans="13:245" hidden="1">
      <c r="M196" s="343" t="s">
        <v>633</v>
      </c>
      <c r="N196" t="s">
        <v>1010</v>
      </c>
      <c r="O196">
        <v>2</v>
      </c>
      <c r="P196">
        <v>34</v>
      </c>
      <c r="Q196" s="184" t="str">
        <f t="shared" si="8"/>
        <v>SDJ200234</v>
      </c>
      <c r="R196">
        <v>0</v>
      </c>
      <c r="S196">
        <v>35</v>
      </c>
      <c r="T196">
        <v>69</v>
      </c>
      <c r="U196">
        <v>105</v>
      </c>
      <c r="V196">
        <v>151</v>
      </c>
      <c r="W196">
        <v>191</v>
      </c>
      <c r="X196">
        <v>262</v>
      </c>
      <c r="Y196">
        <v>311</v>
      </c>
      <c r="Z196">
        <v>361</v>
      </c>
      <c r="AA196">
        <v>459</v>
      </c>
      <c r="AB196">
        <v>520</v>
      </c>
      <c r="AC196">
        <v>584</v>
      </c>
      <c r="AD196">
        <v>651</v>
      </c>
      <c r="AE196">
        <v>721</v>
      </c>
      <c r="AF196">
        <v>794</v>
      </c>
      <c r="AG196">
        <v>871</v>
      </c>
      <c r="AH196">
        <v>952</v>
      </c>
      <c r="AI196">
        <v>1037</v>
      </c>
      <c r="AJ196">
        <v>1126</v>
      </c>
      <c r="AK196">
        <v>1219</v>
      </c>
      <c r="AL196">
        <v>1268</v>
      </c>
      <c r="AM196">
        <v>1320</v>
      </c>
      <c r="AN196">
        <v>1374</v>
      </c>
      <c r="AO196">
        <v>1431</v>
      </c>
      <c r="AP196">
        <v>1491</v>
      </c>
      <c r="AQ196">
        <v>1555</v>
      </c>
      <c r="AR196">
        <v>1625</v>
      </c>
      <c r="AS196">
        <v>1699</v>
      </c>
      <c r="AT196">
        <v>1777</v>
      </c>
      <c r="AU196">
        <v>1861</v>
      </c>
      <c r="AV196">
        <v>1953</v>
      </c>
      <c r="AW196">
        <v>2056</v>
      </c>
      <c r="AX196">
        <v>2167</v>
      </c>
      <c r="AY196">
        <v>2286</v>
      </c>
      <c r="AZ196">
        <v>2416</v>
      </c>
      <c r="BA196">
        <v>2556</v>
      </c>
      <c r="BB196">
        <v>2721</v>
      </c>
      <c r="BC196">
        <v>2901</v>
      </c>
      <c r="BD196">
        <v>3096</v>
      </c>
      <c r="BE196">
        <v>3315</v>
      </c>
      <c r="BF196">
        <v>3559</v>
      </c>
      <c r="BG196">
        <v>3856</v>
      </c>
      <c r="BH196">
        <v>4190</v>
      </c>
      <c r="BI196">
        <v>4571</v>
      </c>
      <c r="BJ196">
        <v>5017</v>
      </c>
      <c r="BK196">
        <v>5527</v>
      </c>
      <c r="BL196">
        <v>6140</v>
      </c>
      <c r="BM196">
        <v>6855</v>
      </c>
      <c r="BN196">
        <v>7722</v>
      </c>
      <c r="BO196">
        <v>8760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Z196" s="343" t="s">
        <v>633</v>
      </c>
      <c r="EA196" t="s">
        <v>1010</v>
      </c>
      <c r="EB196">
        <v>2</v>
      </c>
      <c r="EC196">
        <v>34</v>
      </c>
      <c r="ED196" s="184" t="str">
        <f t="shared" si="9"/>
        <v>SDJ200234</v>
      </c>
      <c r="EE196">
        <v>0</v>
      </c>
      <c r="EF196">
        <v>74</v>
      </c>
      <c r="EG196">
        <v>140</v>
      </c>
      <c r="EH196">
        <v>204</v>
      </c>
      <c r="EI196">
        <v>284</v>
      </c>
      <c r="EJ196">
        <v>349</v>
      </c>
      <c r="EK196">
        <v>466</v>
      </c>
      <c r="EL196">
        <v>541</v>
      </c>
      <c r="EM196">
        <v>615</v>
      </c>
      <c r="EN196">
        <v>767</v>
      </c>
      <c r="EO196">
        <v>852</v>
      </c>
      <c r="EP196">
        <v>939</v>
      </c>
      <c r="EQ196">
        <v>1028</v>
      </c>
      <c r="ER196">
        <v>1119</v>
      </c>
      <c r="ES196">
        <v>1210</v>
      </c>
      <c r="ET196">
        <v>1304</v>
      </c>
      <c r="EU196">
        <v>1399</v>
      </c>
      <c r="EV196">
        <v>1496</v>
      </c>
      <c r="EW196">
        <v>1594</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0</v>
      </c>
      <c r="HF196">
        <v>0</v>
      </c>
      <c r="HG196">
        <v>0</v>
      </c>
      <c r="HH196">
        <v>0</v>
      </c>
      <c r="HI196">
        <v>0</v>
      </c>
      <c r="HJ196">
        <v>0</v>
      </c>
      <c r="HK196">
        <v>0</v>
      </c>
      <c r="HL196">
        <v>0</v>
      </c>
      <c r="HM196">
        <v>0</v>
      </c>
      <c r="HN196">
        <v>0</v>
      </c>
      <c r="HO196">
        <v>0</v>
      </c>
      <c r="HP196">
        <v>0</v>
      </c>
      <c r="HQ196">
        <v>0</v>
      </c>
      <c r="HR196">
        <v>0</v>
      </c>
      <c r="HS196">
        <v>0</v>
      </c>
      <c r="HT196">
        <v>0</v>
      </c>
      <c r="HU196">
        <v>0</v>
      </c>
      <c r="HV196">
        <v>0</v>
      </c>
      <c r="HW196">
        <v>0</v>
      </c>
      <c r="HX196">
        <v>0</v>
      </c>
      <c r="HY196">
        <v>0</v>
      </c>
      <c r="HZ196">
        <v>0</v>
      </c>
      <c r="IA196">
        <v>0</v>
      </c>
      <c r="IB196">
        <v>0</v>
      </c>
      <c r="IC196">
        <v>0</v>
      </c>
      <c r="ID196">
        <v>0</v>
      </c>
      <c r="IE196">
        <v>0</v>
      </c>
      <c r="IF196">
        <v>0</v>
      </c>
      <c r="IG196">
        <v>0</v>
      </c>
      <c r="IH196">
        <v>0</v>
      </c>
      <c r="II196">
        <v>0</v>
      </c>
      <c r="IJ196">
        <v>0</v>
      </c>
      <c r="IK196">
        <v>0</v>
      </c>
    </row>
    <row r="197" spans="13:245" hidden="1">
      <c r="M197" s="343" t="s">
        <v>633</v>
      </c>
      <c r="N197" t="s">
        <v>1010</v>
      </c>
      <c r="O197">
        <v>2</v>
      </c>
      <c r="P197">
        <v>35</v>
      </c>
      <c r="Q197" s="184" t="str">
        <f t="shared" si="8"/>
        <v>SDJ200235</v>
      </c>
      <c r="R197">
        <v>0</v>
      </c>
      <c r="S197">
        <v>35</v>
      </c>
      <c r="T197">
        <v>71</v>
      </c>
      <c r="U197">
        <v>108</v>
      </c>
      <c r="V197">
        <v>156</v>
      </c>
      <c r="W197">
        <v>198</v>
      </c>
      <c r="X197">
        <v>271</v>
      </c>
      <c r="Y197">
        <v>321</v>
      </c>
      <c r="Z197">
        <v>374</v>
      </c>
      <c r="AA197">
        <v>475</v>
      </c>
      <c r="AB197">
        <v>538</v>
      </c>
      <c r="AC197">
        <v>605</v>
      </c>
      <c r="AD197">
        <v>675</v>
      </c>
      <c r="AE197">
        <v>748</v>
      </c>
      <c r="AF197">
        <v>824</v>
      </c>
      <c r="AG197">
        <v>905</v>
      </c>
      <c r="AH197">
        <v>990</v>
      </c>
      <c r="AI197">
        <v>1078</v>
      </c>
      <c r="AJ197">
        <v>1171</v>
      </c>
      <c r="AK197">
        <v>1268</v>
      </c>
      <c r="AL197">
        <v>1320</v>
      </c>
      <c r="AM197">
        <v>1374</v>
      </c>
      <c r="AN197">
        <v>1431</v>
      </c>
      <c r="AO197">
        <v>1491</v>
      </c>
      <c r="AP197">
        <v>1555</v>
      </c>
      <c r="AQ197">
        <v>1625</v>
      </c>
      <c r="AR197">
        <v>1699</v>
      </c>
      <c r="AS197">
        <v>1777</v>
      </c>
      <c r="AT197">
        <v>1861</v>
      </c>
      <c r="AU197">
        <v>1953</v>
      </c>
      <c r="AV197">
        <v>2056</v>
      </c>
      <c r="AW197">
        <v>2167</v>
      </c>
      <c r="AX197">
        <v>2286</v>
      </c>
      <c r="AY197">
        <v>2416</v>
      </c>
      <c r="AZ197">
        <v>2556</v>
      </c>
      <c r="BA197">
        <v>2721</v>
      </c>
      <c r="BB197">
        <v>2901</v>
      </c>
      <c r="BC197">
        <v>3096</v>
      </c>
      <c r="BD197">
        <v>3315</v>
      </c>
      <c r="BE197">
        <v>3559</v>
      </c>
      <c r="BF197">
        <v>3856</v>
      </c>
      <c r="BG197">
        <v>4190</v>
      </c>
      <c r="BH197">
        <v>4571</v>
      </c>
      <c r="BI197">
        <v>5017</v>
      </c>
      <c r="BJ197">
        <v>5527</v>
      </c>
      <c r="BK197">
        <v>6140</v>
      </c>
      <c r="BL197">
        <v>6855</v>
      </c>
      <c r="BM197">
        <v>7722</v>
      </c>
      <c r="BN197">
        <v>8760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Z197" s="343" t="s">
        <v>633</v>
      </c>
      <c r="EA197" t="s">
        <v>1010</v>
      </c>
      <c r="EB197">
        <v>2</v>
      </c>
      <c r="EC197">
        <v>35</v>
      </c>
      <c r="ED197" s="184" t="str">
        <f t="shared" si="9"/>
        <v>SDJ200235</v>
      </c>
      <c r="EE197">
        <v>0</v>
      </c>
      <c r="EF197">
        <v>73</v>
      </c>
      <c r="EG197">
        <v>142</v>
      </c>
      <c r="EH197">
        <v>207</v>
      </c>
      <c r="EI197">
        <v>290</v>
      </c>
      <c r="EJ197">
        <v>356</v>
      </c>
      <c r="EK197">
        <v>476</v>
      </c>
      <c r="EL197">
        <v>551</v>
      </c>
      <c r="EM197">
        <v>630</v>
      </c>
      <c r="EN197">
        <v>784</v>
      </c>
      <c r="EO197">
        <v>871</v>
      </c>
      <c r="EP197">
        <v>962</v>
      </c>
      <c r="EQ197">
        <v>1055</v>
      </c>
      <c r="ER197">
        <v>1148</v>
      </c>
      <c r="ES197">
        <v>1242</v>
      </c>
      <c r="ET197">
        <v>1340</v>
      </c>
      <c r="EU197">
        <v>1439</v>
      </c>
      <c r="EV197">
        <v>1538</v>
      </c>
      <c r="EW197">
        <v>1640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row>
    <row r="198" spans="13:245" hidden="1">
      <c r="M198" s="343" t="s">
        <v>633</v>
      </c>
      <c r="N198" t="s">
        <v>1010</v>
      </c>
      <c r="O198">
        <v>2</v>
      </c>
      <c r="P198">
        <v>36</v>
      </c>
      <c r="Q198" s="184" t="str">
        <f t="shared" si="8"/>
        <v>SDJ200236</v>
      </c>
      <c r="R198">
        <v>0</v>
      </c>
      <c r="S198">
        <v>36</v>
      </c>
      <c r="T198">
        <v>74</v>
      </c>
      <c r="U198">
        <v>112</v>
      </c>
      <c r="V198">
        <v>162</v>
      </c>
      <c r="W198">
        <v>205</v>
      </c>
      <c r="X198">
        <v>281</v>
      </c>
      <c r="Y198">
        <v>332</v>
      </c>
      <c r="Z198">
        <v>386</v>
      </c>
      <c r="AA198">
        <v>492</v>
      </c>
      <c r="AB198">
        <v>558</v>
      </c>
      <c r="AC198">
        <v>628</v>
      </c>
      <c r="AD198">
        <v>700</v>
      </c>
      <c r="AE198">
        <v>776</v>
      </c>
      <c r="AF198">
        <v>857</v>
      </c>
      <c r="AG198">
        <v>941</v>
      </c>
      <c r="AH198">
        <v>1029</v>
      </c>
      <c r="AI198">
        <v>1121</v>
      </c>
      <c r="AJ198">
        <v>1217</v>
      </c>
      <c r="AK198">
        <v>1320</v>
      </c>
      <c r="AL198">
        <v>1374</v>
      </c>
      <c r="AM198">
        <v>1431</v>
      </c>
      <c r="AN198">
        <v>1491</v>
      </c>
      <c r="AO198">
        <v>1555</v>
      </c>
      <c r="AP198">
        <v>1625</v>
      </c>
      <c r="AQ198">
        <v>1699</v>
      </c>
      <c r="AR198">
        <v>1777</v>
      </c>
      <c r="AS198">
        <v>1861</v>
      </c>
      <c r="AT198">
        <v>1953</v>
      </c>
      <c r="AU198">
        <v>2056</v>
      </c>
      <c r="AV198">
        <v>2167</v>
      </c>
      <c r="AW198">
        <v>2286</v>
      </c>
      <c r="AX198">
        <v>2416</v>
      </c>
      <c r="AY198">
        <v>2556</v>
      </c>
      <c r="AZ198">
        <v>2721</v>
      </c>
      <c r="BA198">
        <v>2901</v>
      </c>
      <c r="BB198">
        <v>3096</v>
      </c>
      <c r="BC198">
        <v>3315</v>
      </c>
      <c r="BD198">
        <v>3559</v>
      </c>
      <c r="BE198">
        <v>3856</v>
      </c>
      <c r="BF198">
        <v>4190</v>
      </c>
      <c r="BG198">
        <v>4571</v>
      </c>
      <c r="BH198">
        <v>5017</v>
      </c>
      <c r="BI198">
        <v>5527</v>
      </c>
      <c r="BJ198">
        <v>6140</v>
      </c>
      <c r="BK198">
        <v>6855</v>
      </c>
      <c r="BL198">
        <v>7722</v>
      </c>
      <c r="BM198">
        <v>8760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Z198" s="343" t="s">
        <v>633</v>
      </c>
      <c r="EA198" t="s">
        <v>1010</v>
      </c>
      <c r="EB198">
        <v>2</v>
      </c>
      <c r="EC198">
        <v>36</v>
      </c>
      <c r="ED198" s="184" t="str">
        <f t="shared" si="9"/>
        <v>SDJ200236</v>
      </c>
      <c r="EE198">
        <v>0</v>
      </c>
      <c r="EF198">
        <v>74</v>
      </c>
      <c r="EG198">
        <v>145</v>
      </c>
      <c r="EH198">
        <v>211</v>
      </c>
      <c r="EI198">
        <v>297</v>
      </c>
      <c r="EJ198">
        <v>364</v>
      </c>
      <c r="EK198">
        <v>487</v>
      </c>
      <c r="EL198">
        <v>563</v>
      </c>
      <c r="EM198">
        <v>642</v>
      </c>
      <c r="EN198">
        <v>802</v>
      </c>
      <c r="EO198">
        <v>893</v>
      </c>
      <c r="EP198">
        <v>988</v>
      </c>
      <c r="EQ198">
        <v>1082</v>
      </c>
      <c r="ER198">
        <v>1178</v>
      </c>
      <c r="ES198">
        <v>1278</v>
      </c>
      <c r="ET198">
        <v>1378</v>
      </c>
      <c r="EU198">
        <v>1480</v>
      </c>
      <c r="EV198">
        <v>1582</v>
      </c>
      <c r="EW198">
        <v>1686</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row>
    <row r="199" spans="13:245" hidden="1">
      <c r="M199" s="343" t="s">
        <v>633</v>
      </c>
      <c r="N199" t="s">
        <v>1010</v>
      </c>
      <c r="O199">
        <v>2</v>
      </c>
      <c r="P199">
        <v>37</v>
      </c>
      <c r="Q199" s="184" t="str">
        <f t="shared" si="8"/>
        <v>SDJ200237</v>
      </c>
      <c r="R199">
        <v>0</v>
      </c>
      <c r="S199">
        <v>38</v>
      </c>
      <c r="T199">
        <v>76</v>
      </c>
      <c r="U199">
        <v>116</v>
      </c>
      <c r="V199">
        <v>167</v>
      </c>
      <c r="W199">
        <v>212</v>
      </c>
      <c r="X199">
        <v>290</v>
      </c>
      <c r="Y199">
        <v>344</v>
      </c>
      <c r="Z199">
        <v>401</v>
      </c>
      <c r="AA199">
        <v>511</v>
      </c>
      <c r="AB199">
        <v>580</v>
      </c>
      <c r="AC199">
        <v>651</v>
      </c>
      <c r="AD199">
        <v>727</v>
      </c>
      <c r="AE199">
        <v>807</v>
      </c>
      <c r="AF199">
        <v>891</v>
      </c>
      <c r="AG199">
        <v>978</v>
      </c>
      <c r="AH199">
        <v>1070</v>
      </c>
      <c r="AI199">
        <v>1166</v>
      </c>
      <c r="AJ199">
        <v>1267</v>
      </c>
      <c r="AK199">
        <v>1374</v>
      </c>
      <c r="AL199">
        <v>1431</v>
      </c>
      <c r="AM199">
        <v>1491</v>
      </c>
      <c r="AN199">
        <v>1555</v>
      </c>
      <c r="AO199">
        <v>1625</v>
      </c>
      <c r="AP199">
        <v>1699</v>
      </c>
      <c r="AQ199">
        <v>1777</v>
      </c>
      <c r="AR199">
        <v>1861</v>
      </c>
      <c r="AS199">
        <v>1953</v>
      </c>
      <c r="AT199">
        <v>2056</v>
      </c>
      <c r="AU199">
        <v>2167</v>
      </c>
      <c r="AV199">
        <v>2286</v>
      </c>
      <c r="AW199">
        <v>2416</v>
      </c>
      <c r="AX199">
        <v>2556</v>
      </c>
      <c r="AY199">
        <v>2721</v>
      </c>
      <c r="AZ199">
        <v>2901</v>
      </c>
      <c r="BA199">
        <v>3096</v>
      </c>
      <c r="BB199">
        <v>3315</v>
      </c>
      <c r="BC199">
        <v>3559</v>
      </c>
      <c r="BD199">
        <v>3856</v>
      </c>
      <c r="BE199">
        <v>4190</v>
      </c>
      <c r="BF199">
        <v>4571</v>
      </c>
      <c r="BG199">
        <v>5017</v>
      </c>
      <c r="BH199">
        <v>5527</v>
      </c>
      <c r="BI199">
        <v>6140</v>
      </c>
      <c r="BJ199">
        <v>6855</v>
      </c>
      <c r="BK199">
        <v>7722</v>
      </c>
      <c r="BL199">
        <v>8760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Z199" s="343" t="s">
        <v>633</v>
      </c>
      <c r="EA199" t="s">
        <v>1010</v>
      </c>
      <c r="EB199">
        <v>2</v>
      </c>
      <c r="EC199">
        <v>37</v>
      </c>
      <c r="ED199" s="184" t="str">
        <f t="shared" si="9"/>
        <v>SDJ200237</v>
      </c>
      <c r="EE199">
        <v>0</v>
      </c>
      <c r="EF199">
        <v>77</v>
      </c>
      <c r="EG199">
        <v>147</v>
      </c>
      <c r="EH199">
        <v>216</v>
      </c>
      <c r="EI199">
        <v>302</v>
      </c>
      <c r="EJ199">
        <v>372</v>
      </c>
      <c r="EK199">
        <v>496</v>
      </c>
      <c r="EL199">
        <v>576</v>
      </c>
      <c r="EM199">
        <v>659</v>
      </c>
      <c r="EN199">
        <v>824</v>
      </c>
      <c r="EO199">
        <v>918</v>
      </c>
      <c r="EP199">
        <v>1012</v>
      </c>
      <c r="EQ199">
        <v>1111</v>
      </c>
      <c r="ER199">
        <v>1212</v>
      </c>
      <c r="ES199">
        <v>1314</v>
      </c>
      <c r="ET199">
        <v>1416</v>
      </c>
      <c r="EU199">
        <v>1522</v>
      </c>
      <c r="EV199">
        <v>1628</v>
      </c>
      <c r="EW199">
        <v>1736</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row>
    <row r="200" spans="13:245" hidden="1">
      <c r="M200" s="343" t="s">
        <v>633</v>
      </c>
      <c r="N200" t="s">
        <v>1010</v>
      </c>
      <c r="O200">
        <v>2</v>
      </c>
      <c r="P200">
        <v>38</v>
      </c>
      <c r="Q200" s="184" t="str">
        <f t="shared" si="8"/>
        <v>SDJ200238</v>
      </c>
      <c r="R200">
        <v>0</v>
      </c>
      <c r="S200">
        <v>39</v>
      </c>
      <c r="T200">
        <v>79</v>
      </c>
      <c r="U200">
        <v>120</v>
      </c>
      <c r="V200">
        <v>173</v>
      </c>
      <c r="W200">
        <v>219</v>
      </c>
      <c r="X200">
        <v>301</v>
      </c>
      <c r="Y200">
        <v>357</v>
      </c>
      <c r="Z200">
        <v>416</v>
      </c>
      <c r="AA200">
        <v>530</v>
      </c>
      <c r="AB200">
        <v>601</v>
      </c>
      <c r="AC200">
        <v>676</v>
      </c>
      <c r="AD200">
        <v>756</v>
      </c>
      <c r="AE200">
        <v>839</v>
      </c>
      <c r="AF200">
        <v>926</v>
      </c>
      <c r="AG200">
        <v>1017</v>
      </c>
      <c r="AH200">
        <v>1113</v>
      </c>
      <c r="AI200">
        <v>1214</v>
      </c>
      <c r="AJ200">
        <v>1320</v>
      </c>
      <c r="AK200">
        <v>1431</v>
      </c>
      <c r="AL200">
        <v>1491</v>
      </c>
      <c r="AM200">
        <v>1555</v>
      </c>
      <c r="AN200">
        <v>1625</v>
      </c>
      <c r="AO200">
        <v>1699</v>
      </c>
      <c r="AP200">
        <v>1777</v>
      </c>
      <c r="AQ200">
        <v>1861</v>
      </c>
      <c r="AR200">
        <v>1953</v>
      </c>
      <c r="AS200">
        <v>2056</v>
      </c>
      <c r="AT200">
        <v>2167</v>
      </c>
      <c r="AU200">
        <v>2286</v>
      </c>
      <c r="AV200">
        <v>2416</v>
      </c>
      <c r="AW200">
        <v>2556</v>
      </c>
      <c r="AX200">
        <v>2721</v>
      </c>
      <c r="AY200">
        <v>2901</v>
      </c>
      <c r="AZ200">
        <v>3096</v>
      </c>
      <c r="BA200">
        <v>3315</v>
      </c>
      <c r="BB200">
        <v>3559</v>
      </c>
      <c r="BC200">
        <v>3856</v>
      </c>
      <c r="BD200">
        <v>4190</v>
      </c>
      <c r="BE200">
        <v>4571</v>
      </c>
      <c r="BF200">
        <v>5017</v>
      </c>
      <c r="BG200">
        <v>5527</v>
      </c>
      <c r="BH200">
        <v>6140</v>
      </c>
      <c r="BI200">
        <v>6855</v>
      </c>
      <c r="BJ200">
        <v>7722</v>
      </c>
      <c r="BK200">
        <v>8760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Z200" s="343" t="s">
        <v>633</v>
      </c>
      <c r="EA200" t="s">
        <v>1010</v>
      </c>
      <c r="EB200">
        <v>2</v>
      </c>
      <c r="EC200">
        <v>38</v>
      </c>
      <c r="ED200" s="184" t="str">
        <f t="shared" si="9"/>
        <v>SDJ200238</v>
      </c>
      <c r="EE200">
        <v>0</v>
      </c>
      <c r="EF200">
        <v>77</v>
      </c>
      <c r="EG200">
        <v>151</v>
      </c>
      <c r="EH200">
        <v>220</v>
      </c>
      <c r="EI200">
        <v>308</v>
      </c>
      <c r="EJ200">
        <v>379</v>
      </c>
      <c r="EK200">
        <v>508</v>
      </c>
      <c r="EL200">
        <v>591</v>
      </c>
      <c r="EM200">
        <v>675</v>
      </c>
      <c r="EN200">
        <v>845</v>
      </c>
      <c r="EO200">
        <v>941</v>
      </c>
      <c r="EP200">
        <v>1040</v>
      </c>
      <c r="EQ200">
        <v>1142</v>
      </c>
      <c r="ER200">
        <v>1245</v>
      </c>
      <c r="ES200">
        <v>1350</v>
      </c>
      <c r="ET200">
        <v>1456</v>
      </c>
      <c r="EU200">
        <v>1565</v>
      </c>
      <c r="EV200">
        <v>1676</v>
      </c>
      <c r="EW200">
        <v>1788</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row>
    <row r="201" spans="13:245" hidden="1">
      <c r="M201" s="343" t="s">
        <v>633</v>
      </c>
      <c r="N201" t="s">
        <v>1010</v>
      </c>
      <c r="O201">
        <v>2</v>
      </c>
      <c r="P201">
        <v>39</v>
      </c>
      <c r="Q201" s="184" t="str">
        <f t="shared" si="8"/>
        <v>SDJ200239</v>
      </c>
      <c r="R201">
        <v>0</v>
      </c>
      <c r="S201">
        <v>41</v>
      </c>
      <c r="T201">
        <v>82</v>
      </c>
      <c r="U201">
        <v>124</v>
      </c>
      <c r="V201">
        <v>179</v>
      </c>
      <c r="W201">
        <v>227</v>
      </c>
      <c r="X201">
        <v>312</v>
      </c>
      <c r="Y201">
        <v>371</v>
      </c>
      <c r="Z201">
        <v>432</v>
      </c>
      <c r="AA201">
        <v>550</v>
      </c>
      <c r="AB201">
        <v>624</v>
      </c>
      <c r="AC201">
        <v>703</v>
      </c>
      <c r="AD201">
        <v>787</v>
      </c>
      <c r="AE201">
        <v>873</v>
      </c>
      <c r="AF201">
        <v>964</v>
      </c>
      <c r="AG201">
        <v>1059</v>
      </c>
      <c r="AH201">
        <v>1159</v>
      </c>
      <c r="AI201">
        <v>1264</v>
      </c>
      <c r="AJ201">
        <v>1375</v>
      </c>
      <c r="AK201">
        <v>1491</v>
      </c>
      <c r="AL201">
        <v>1555</v>
      </c>
      <c r="AM201">
        <v>1625</v>
      </c>
      <c r="AN201">
        <v>1699</v>
      </c>
      <c r="AO201">
        <v>1777</v>
      </c>
      <c r="AP201">
        <v>1861</v>
      </c>
      <c r="AQ201">
        <v>1953</v>
      </c>
      <c r="AR201">
        <v>2056</v>
      </c>
      <c r="AS201">
        <v>2167</v>
      </c>
      <c r="AT201">
        <v>2286</v>
      </c>
      <c r="AU201">
        <v>2416</v>
      </c>
      <c r="AV201">
        <v>2556</v>
      </c>
      <c r="AW201">
        <v>2721</v>
      </c>
      <c r="AX201">
        <v>2901</v>
      </c>
      <c r="AY201">
        <v>3096</v>
      </c>
      <c r="AZ201">
        <v>3315</v>
      </c>
      <c r="BA201">
        <v>3559</v>
      </c>
      <c r="BB201">
        <v>3856</v>
      </c>
      <c r="BC201">
        <v>4190</v>
      </c>
      <c r="BD201">
        <v>4571</v>
      </c>
      <c r="BE201">
        <v>5017</v>
      </c>
      <c r="BF201">
        <v>5527</v>
      </c>
      <c r="BG201">
        <v>6140</v>
      </c>
      <c r="BH201">
        <v>6855</v>
      </c>
      <c r="BI201">
        <v>7722</v>
      </c>
      <c r="BJ201">
        <v>8760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Z201" s="343" t="s">
        <v>633</v>
      </c>
      <c r="EA201" t="s">
        <v>1010</v>
      </c>
      <c r="EB201">
        <v>2</v>
      </c>
      <c r="EC201">
        <v>39</v>
      </c>
      <c r="ED201" s="184" t="str">
        <f t="shared" si="9"/>
        <v>SDJ200239</v>
      </c>
      <c r="EE201">
        <v>0</v>
      </c>
      <c r="EF201">
        <v>80</v>
      </c>
      <c r="EG201">
        <v>154</v>
      </c>
      <c r="EH201">
        <v>225</v>
      </c>
      <c r="EI201">
        <v>315</v>
      </c>
      <c r="EJ201">
        <v>388</v>
      </c>
      <c r="EK201">
        <v>520</v>
      </c>
      <c r="EL201">
        <v>607</v>
      </c>
      <c r="EM201">
        <v>694</v>
      </c>
      <c r="EN201">
        <v>867</v>
      </c>
      <c r="EO201">
        <v>966</v>
      </c>
      <c r="EP201">
        <v>1069</v>
      </c>
      <c r="EQ201">
        <v>1176</v>
      </c>
      <c r="ER201">
        <v>1281</v>
      </c>
      <c r="ES201">
        <v>1390</v>
      </c>
      <c r="ET201">
        <v>1500</v>
      </c>
      <c r="EU201">
        <v>1612</v>
      </c>
      <c r="EV201">
        <v>1726</v>
      </c>
      <c r="EW201">
        <v>1843</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0</v>
      </c>
      <c r="HY201">
        <v>0</v>
      </c>
      <c r="HZ201">
        <v>0</v>
      </c>
      <c r="IA201">
        <v>0</v>
      </c>
      <c r="IB201">
        <v>0</v>
      </c>
      <c r="IC201">
        <v>0</v>
      </c>
      <c r="ID201">
        <v>0</v>
      </c>
      <c r="IE201">
        <v>0</v>
      </c>
      <c r="IF201">
        <v>0</v>
      </c>
      <c r="IG201">
        <v>0</v>
      </c>
      <c r="IH201">
        <v>0</v>
      </c>
      <c r="II201">
        <v>0</v>
      </c>
      <c r="IJ201">
        <v>0</v>
      </c>
      <c r="IK201">
        <v>0</v>
      </c>
    </row>
    <row r="202" spans="13:245" hidden="1">
      <c r="M202" s="343" t="s">
        <v>633</v>
      </c>
      <c r="N202" t="s">
        <v>1010</v>
      </c>
      <c r="O202">
        <v>2</v>
      </c>
      <c r="P202">
        <v>40</v>
      </c>
      <c r="Q202" s="184" t="str">
        <f t="shared" si="8"/>
        <v>SDJ200240</v>
      </c>
      <c r="R202">
        <v>0</v>
      </c>
      <c r="S202">
        <v>42</v>
      </c>
      <c r="T202">
        <v>85</v>
      </c>
      <c r="U202">
        <v>128</v>
      </c>
      <c r="V202">
        <v>186</v>
      </c>
      <c r="W202">
        <v>236</v>
      </c>
      <c r="X202">
        <v>324</v>
      </c>
      <c r="Y202">
        <v>385</v>
      </c>
      <c r="Z202">
        <v>448</v>
      </c>
      <c r="AA202">
        <v>571</v>
      </c>
      <c r="AB202">
        <v>650</v>
      </c>
      <c r="AC202">
        <v>732</v>
      </c>
      <c r="AD202">
        <v>818</v>
      </c>
      <c r="AE202">
        <v>909</v>
      </c>
      <c r="AF202">
        <v>1003</v>
      </c>
      <c r="AG202">
        <v>1103</v>
      </c>
      <c r="AH202">
        <v>1208</v>
      </c>
      <c r="AI202">
        <v>1317</v>
      </c>
      <c r="AJ202">
        <v>1433</v>
      </c>
      <c r="AK202">
        <v>1555</v>
      </c>
      <c r="AL202">
        <v>1625</v>
      </c>
      <c r="AM202">
        <v>1699</v>
      </c>
      <c r="AN202">
        <v>1777</v>
      </c>
      <c r="AO202">
        <v>1861</v>
      </c>
      <c r="AP202">
        <v>1953</v>
      </c>
      <c r="AQ202">
        <v>2056</v>
      </c>
      <c r="AR202">
        <v>2167</v>
      </c>
      <c r="AS202">
        <v>2286</v>
      </c>
      <c r="AT202">
        <v>2416</v>
      </c>
      <c r="AU202">
        <v>2556</v>
      </c>
      <c r="AV202">
        <v>2721</v>
      </c>
      <c r="AW202">
        <v>2901</v>
      </c>
      <c r="AX202">
        <v>3096</v>
      </c>
      <c r="AY202">
        <v>3315</v>
      </c>
      <c r="AZ202">
        <v>3559</v>
      </c>
      <c r="BA202">
        <v>3856</v>
      </c>
      <c r="BB202">
        <v>4190</v>
      </c>
      <c r="BC202">
        <v>4571</v>
      </c>
      <c r="BD202">
        <v>5017</v>
      </c>
      <c r="BE202">
        <v>5527</v>
      </c>
      <c r="BF202">
        <v>6140</v>
      </c>
      <c r="BG202">
        <v>6855</v>
      </c>
      <c r="BH202">
        <v>7722</v>
      </c>
      <c r="BI202">
        <v>8760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Z202" s="343" t="s">
        <v>633</v>
      </c>
      <c r="EA202" t="s">
        <v>1010</v>
      </c>
      <c r="EB202">
        <v>2</v>
      </c>
      <c r="EC202">
        <v>40</v>
      </c>
      <c r="ED202" s="184" t="str">
        <f t="shared" si="9"/>
        <v>SDJ200240</v>
      </c>
      <c r="EE202">
        <v>0</v>
      </c>
      <c r="EF202">
        <v>81</v>
      </c>
      <c r="EG202">
        <v>158</v>
      </c>
      <c r="EH202">
        <v>229</v>
      </c>
      <c r="EI202">
        <v>323</v>
      </c>
      <c r="EJ202">
        <v>399</v>
      </c>
      <c r="EK202">
        <v>534</v>
      </c>
      <c r="EL202">
        <v>623</v>
      </c>
      <c r="EM202">
        <v>711</v>
      </c>
      <c r="EN202">
        <v>890</v>
      </c>
      <c r="EO202">
        <v>995</v>
      </c>
      <c r="EP202">
        <v>1101</v>
      </c>
      <c r="EQ202">
        <v>1208</v>
      </c>
      <c r="ER202">
        <v>1319</v>
      </c>
      <c r="ES202">
        <v>1430</v>
      </c>
      <c r="ET202">
        <v>1545</v>
      </c>
      <c r="EU202">
        <v>1661</v>
      </c>
      <c r="EV202">
        <v>1778</v>
      </c>
      <c r="EW202">
        <v>1900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row>
    <row r="203" spans="13:245" hidden="1">
      <c r="M203" s="343" t="s">
        <v>633</v>
      </c>
      <c r="N203" t="s">
        <v>1010</v>
      </c>
      <c r="O203">
        <v>2</v>
      </c>
      <c r="P203">
        <v>41</v>
      </c>
      <c r="Q203" s="184" t="str">
        <f t="shared" si="8"/>
        <v>SDJ200241</v>
      </c>
      <c r="R203">
        <v>0</v>
      </c>
      <c r="S203">
        <v>44</v>
      </c>
      <c r="T203">
        <v>88</v>
      </c>
      <c r="U203">
        <v>134</v>
      </c>
      <c r="V203">
        <v>193</v>
      </c>
      <c r="W203">
        <v>245</v>
      </c>
      <c r="X203">
        <v>337</v>
      </c>
      <c r="Y203">
        <v>400</v>
      </c>
      <c r="Z203">
        <v>465</v>
      </c>
      <c r="AA203">
        <v>595</v>
      </c>
      <c r="AB203">
        <v>676</v>
      </c>
      <c r="AC203">
        <v>762</v>
      </c>
      <c r="AD203">
        <v>852</v>
      </c>
      <c r="AE203">
        <v>946</v>
      </c>
      <c r="AF203">
        <v>1045</v>
      </c>
      <c r="AG203">
        <v>1149</v>
      </c>
      <c r="AH203">
        <v>1259</v>
      </c>
      <c r="AI203">
        <v>1373</v>
      </c>
      <c r="AJ203">
        <v>1495</v>
      </c>
      <c r="AK203">
        <v>1625</v>
      </c>
      <c r="AL203">
        <v>1699</v>
      </c>
      <c r="AM203">
        <v>1777</v>
      </c>
      <c r="AN203">
        <v>1861</v>
      </c>
      <c r="AO203">
        <v>1953</v>
      </c>
      <c r="AP203">
        <v>2056</v>
      </c>
      <c r="AQ203">
        <v>2167</v>
      </c>
      <c r="AR203">
        <v>2286</v>
      </c>
      <c r="AS203">
        <v>2416</v>
      </c>
      <c r="AT203">
        <v>2556</v>
      </c>
      <c r="AU203">
        <v>2721</v>
      </c>
      <c r="AV203">
        <v>2901</v>
      </c>
      <c r="AW203">
        <v>3096</v>
      </c>
      <c r="AX203">
        <v>3315</v>
      </c>
      <c r="AY203">
        <v>3559</v>
      </c>
      <c r="AZ203">
        <v>3856</v>
      </c>
      <c r="BA203">
        <v>4190</v>
      </c>
      <c r="BB203">
        <v>4571</v>
      </c>
      <c r="BC203">
        <v>5017</v>
      </c>
      <c r="BD203">
        <v>5527</v>
      </c>
      <c r="BE203">
        <v>6140</v>
      </c>
      <c r="BF203">
        <v>6855</v>
      </c>
      <c r="BG203">
        <v>7722</v>
      </c>
      <c r="BH203">
        <v>8760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Z203" s="343" t="s">
        <v>633</v>
      </c>
      <c r="EA203" t="s">
        <v>1010</v>
      </c>
      <c r="EB203">
        <v>2</v>
      </c>
      <c r="EC203">
        <v>41</v>
      </c>
      <c r="ED203" s="184" t="str">
        <f t="shared" si="9"/>
        <v>SDJ200241</v>
      </c>
      <c r="EE203">
        <v>0</v>
      </c>
      <c r="EF203">
        <v>84</v>
      </c>
      <c r="EG203">
        <v>161</v>
      </c>
      <c r="EH203">
        <v>237</v>
      </c>
      <c r="EI203">
        <v>331</v>
      </c>
      <c r="EJ203">
        <v>409</v>
      </c>
      <c r="EK203">
        <v>549</v>
      </c>
      <c r="EL203">
        <v>640</v>
      </c>
      <c r="EM203">
        <v>730</v>
      </c>
      <c r="EN203">
        <v>917</v>
      </c>
      <c r="EO203">
        <v>1023</v>
      </c>
      <c r="EP203">
        <v>1133</v>
      </c>
      <c r="EQ203">
        <v>1245</v>
      </c>
      <c r="ER203">
        <v>1358</v>
      </c>
      <c r="ES203">
        <v>1473</v>
      </c>
      <c r="ET203">
        <v>1591</v>
      </c>
      <c r="EU203">
        <v>1712</v>
      </c>
      <c r="EV203">
        <v>1833</v>
      </c>
      <c r="EW203">
        <v>1960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row>
    <row r="204" spans="13:245" hidden="1">
      <c r="M204" s="343" t="s">
        <v>633</v>
      </c>
      <c r="N204" t="s">
        <v>1010</v>
      </c>
      <c r="O204">
        <v>2</v>
      </c>
      <c r="P204">
        <v>42</v>
      </c>
      <c r="Q204" s="184" t="str">
        <f t="shared" si="8"/>
        <v>SDJ200242</v>
      </c>
      <c r="R204">
        <v>0</v>
      </c>
      <c r="S204">
        <v>46</v>
      </c>
      <c r="T204">
        <v>93</v>
      </c>
      <c r="U204">
        <v>142</v>
      </c>
      <c r="V204">
        <v>206</v>
      </c>
      <c r="W204">
        <v>262</v>
      </c>
      <c r="X204">
        <v>359</v>
      </c>
      <c r="Y204">
        <v>427</v>
      </c>
      <c r="Z204">
        <v>498</v>
      </c>
      <c r="AA204">
        <v>637</v>
      </c>
      <c r="AB204">
        <v>724</v>
      </c>
      <c r="AC204">
        <v>815</v>
      </c>
      <c r="AD204">
        <v>911</v>
      </c>
      <c r="AE204">
        <v>1013</v>
      </c>
      <c r="AF204">
        <v>1120</v>
      </c>
      <c r="AG204">
        <v>1232</v>
      </c>
      <c r="AH204">
        <v>1349</v>
      </c>
      <c r="AI204">
        <v>1473</v>
      </c>
      <c r="AJ204">
        <v>1606</v>
      </c>
      <c r="AK204">
        <v>1747</v>
      </c>
      <c r="AL204">
        <v>1827</v>
      </c>
      <c r="AM204">
        <v>1914</v>
      </c>
      <c r="AN204">
        <v>2008</v>
      </c>
      <c r="AO204">
        <v>2114</v>
      </c>
      <c r="AP204">
        <v>2228</v>
      </c>
      <c r="AQ204">
        <v>2350</v>
      </c>
      <c r="AR204">
        <v>2484</v>
      </c>
      <c r="AS204">
        <v>2628</v>
      </c>
      <c r="AT204">
        <v>2798</v>
      </c>
      <c r="AU204">
        <v>2983</v>
      </c>
      <c r="AV204">
        <v>3184</v>
      </c>
      <c r="AW204">
        <v>3408</v>
      </c>
      <c r="AX204">
        <v>3659</v>
      </c>
      <c r="AY204">
        <v>3965</v>
      </c>
      <c r="AZ204">
        <v>4309</v>
      </c>
      <c r="BA204">
        <v>4700</v>
      </c>
      <c r="BB204">
        <v>5159</v>
      </c>
      <c r="BC204">
        <v>5683</v>
      </c>
      <c r="BD204">
        <v>6313</v>
      </c>
      <c r="BE204">
        <v>7048</v>
      </c>
      <c r="BF204">
        <v>7940</v>
      </c>
      <c r="BG204">
        <v>9007</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Z204" s="343" t="s">
        <v>633</v>
      </c>
      <c r="EA204" t="s">
        <v>1010</v>
      </c>
      <c r="EB204">
        <v>2</v>
      </c>
      <c r="EC204">
        <v>42</v>
      </c>
      <c r="ED204" s="184" t="str">
        <f t="shared" si="9"/>
        <v>SDJ200242</v>
      </c>
      <c r="EE204">
        <v>0</v>
      </c>
      <c r="EF204">
        <v>85</v>
      </c>
      <c r="EG204">
        <v>166</v>
      </c>
      <c r="EH204">
        <v>244</v>
      </c>
      <c r="EI204">
        <v>343</v>
      </c>
      <c r="EJ204">
        <v>425</v>
      </c>
      <c r="EK204">
        <v>568</v>
      </c>
      <c r="EL204">
        <v>663</v>
      </c>
      <c r="EM204">
        <v>758</v>
      </c>
      <c r="EN204">
        <v>951</v>
      </c>
      <c r="EO204">
        <v>1061</v>
      </c>
      <c r="EP204">
        <v>1173</v>
      </c>
      <c r="EQ204">
        <v>1287</v>
      </c>
      <c r="ER204">
        <v>1406</v>
      </c>
      <c r="ES204">
        <v>1525</v>
      </c>
      <c r="ET204">
        <v>1647</v>
      </c>
      <c r="EU204">
        <v>1769</v>
      </c>
      <c r="EV204">
        <v>1895</v>
      </c>
      <c r="EW204">
        <v>2026</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0</v>
      </c>
      <c r="FQ204">
        <v>0</v>
      </c>
      <c r="FR204">
        <v>0</v>
      </c>
      <c r="FS204">
        <v>0</v>
      </c>
      <c r="FT204">
        <v>0</v>
      </c>
      <c r="FU204">
        <v>0</v>
      </c>
      <c r="FV204">
        <v>0</v>
      </c>
      <c r="FW204">
        <v>0</v>
      </c>
      <c r="FX204">
        <v>0</v>
      </c>
      <c r="FY204">
        <v>0</v>
      </c>
      <c r="FZ204">
        <v>0</v>
      </c>
      <c r="GA204">
        <v>0</v>
      </c>
      <c r="GB204">
        <v>0</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c r="IK204">
        <v>0</v>
      </c>
    </row>
    <row r="205" spans="13:245" hidden="1">
      <c r="M205" s="343" t="s">
        <v>633</v>
      </c>
      <c r="N205" t="s">
        <v>1010</v>
      </c>
      <c r="O205">
        <v>2</v>
      </c>
      <c r="P205">
        <v>43</v>
      </c>
      <c r="Q205" s="184" t="str">
        <f t="shared" si="8"/>
        <v>SDJ200243</v>
      </c>
      <c r="R205">
        <v>0</v>
      </c>
      <c r="S205">
        <v>50</v>
      </c>
      <c r="T205">
        <v>101</v>
      </c>
      <c r="U205">
        <v>154</v>
      </c>
      <c r="V205">
        <v>222</v>
      </c>
      <c r="W205">
        <v>282</v>
      </c>
      <c r="X205">
        <v>389</v>
      </c>
      <c r="Y205">
        <v>463</v>
      </c>
      <c r="Z205">
        <v>541</v>
      </c>
      <c r="AA205">
        <v>691</v>
      </c>
      <c r="AB205">
        <v>785</v>
      </c>
      <c r="AC205">
        <v>885</v>
      </c>
      <c r="AD205">
        <v>991</v>
      </c>
      <c r="AE205">
        <v>1102</v>
      </c>
      <c r="AF205">
        <v>1218</v>
      </c>
      <c r="AG205">
        <v>1340</v>
      </c>
      <c r="AH205">
        <v>1469</v>
      </c>
      <c r="AI205">
        <v>1607</v>
      </c>
      <c r="AJ205">
        <v>1753</v>
      </c>
      <c r="AK205">
        <v>1907</v>
      </c>
      <c r="AL205">
        <v>1997</v>
      </c>
      <c r="AM205">
        <v>2095</v>
      </c>
      <c r="AN205">
        <v>2205</v>
      </c>
      <c r="AO205">
        <v>2325</v>
      </c>
      <c r="AP205">
        <v>2452</v>
      </c>
      <c r="AQ205">
        <v>2591</v>
      </c>
      <c r="AR205">
        <v>2742</v>
      </c>
      <c r="AS205">
        <v>2919</v>
      </c>
      <c r="AT205">
        <v>3112</v>
      </c>
      <c r="AU205">
        <v>3322</v>
      </c>
      <c r="AV205">
        <v>3556</v>
      </c>
      <c r="AW205">
        <v>3818</v>
      </c>
      <c r="AX205">
        <v>4137</v>
      </c>
      <c r="AY205">
        <v>4495</v>
      </c>
      <c r="AZ205">
        <v>4903</v>
      </c>
      <c r="BA205">
        <v>5382</v>
      </c>
      <c r="BB205">
        <v>5929</v>
      </c>
      <c r="BC205">
        <v>6586</v>
      </c>
      <c r="BD205">
        <v>7353</v>
      </c>
      <c r="BE205">
        <v>8284</v>
      </c>
      <c r="BF205">
        <v>9397</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Z205" s="343" t="s">
        <v>633</v>
      </c>
      <c r="EA205" t="s">
        <v>1010</v>
      </c>
      <c r="EB205">
        <v>2</v>
      </c>
      <c r="EC205">
        <v>43</v>
      </c>
      <c r="ED205" s="184" t="str">
        <f t="shared" si="9"/>
        <v>SDJ200243</v>
      </c>
      <c r="EE205">
        <v>0</v>
      </c>
      <c r="EF205">
        <v>89</v>
      </c>
      <c r="EG205">
        <v>173</v>
      </c>
      <c r="EH205">
        <v>254</v>
      </c>
      <c r="EI205">
        <v>356</v>
      </c>
      <c r="EJ205">
        <v>440</v>
      </c>
      <c r="EK205">
        <v>592</v>
      </c>
      <c r="EL205">
        <v>690</v>
      </c>
      <c r="EM205">
        <v>791</v>
      </c>
      <c r="EN205">
        <v>990</v>
      </c>
      <c r="EO205">
        <v>1103</v>
      </c>
      <c r="EP205">
        <v>1219</v>
      </c>
      <c r="EQ205">
        <v>1339</v>
      </c>
      <c r="ER205">
        <v>1460</v>
      </c>
      <c r="ES205">
        <v>1582</v>
      </c>
      <c r="ET205">
        <v>1706</v>
      </c>
      <c r="EU205">
        <v>1833</v>
      </c>
      <c r="EV205">
        <v>1964</v>
      </c>
      <c r="EW205">
        <v>2099</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row>
    <row r="206" spans="13:245" hidden="1">
      <c r="M206" s="343" t="s">
        <v>633</v>
      </c>
      <c r="N206" t="s">
        <v>1010</v>
      </c>
      <c r="O206">
        <v>2</v>
      </c>
      <c r="P206">
        <v>44</v>
      </c>
      <c r="Q206" s="184" t="str">
        <f t="shared" si="8"/>
        <v>SDJ200244</v>
      </c>
      <c r="R206">
        <v>0</v>
      </c>
      <c r="S206">
        <v>54</v>
      </c>
      <c r="T206">
        <v>110</v>
      </c>
      <c r="U206">
        <v>167</v>
      </c>
      <c r="V206">
        <v>241</v>
      </c>
      <c r="W206">
        <v>306</v>
      </c>
      <c r="X206">
        <v>421</v>
      </c>
      <c r="Y206">
        <v>502</v>
      </c>
      <c r="Z206">
        <v>586</v>
      </c>
      <c r="AA206">
        <v>749</v>
      </c>
      <c r="AB206">
        <v>852</v>
      </c>
      <c r="AC206">
        <v>961</v>
      </c>
      <c r="AD206">
        <v>1076</v>
      </c>
      <c r="AE206">
        <v>1196</v>
      </c>
      <c r="AF206">
        <v>1323</v>
      </c>
      <c r="AG206">
        <v>1457</v>
      </c>
      <c r="AH206">
        <v>1600</v>
      </c>
      <c r="AI206">
        <v>1751</v>
      </c>
      <c r="AJ206">
        <v>1911</v>
      </c>
      <c r="AK206">
        <v>2080</v>
      </c>
      <c r="AL206">
        <v>2181</v>
      </c>
      <c r="AM206">
        <v>2297</v>
      </c>
      <c r="AN206">
        <v>2421</v>
      </c>
      <c r="AO206">
        <v>2554</v>
      </c>
      <c r="AP206">
        <v>2699</v>
      </c>
      <c r="AQ206">
        <v>2856</v>
      </c>
      <c r="AR206">
        <v>3040</v>
      </c>
      <c r="AS206">
        <v>3241</v>
      </c>
      <c r="AT206">
        <v>3459</v>
      </c>
      <c r="AU206">
        <v>3704</v>
      </c>
      <c r="AV206">
        <v>3976</v>
      </c>
      <c r="AW206">
        <v>4308</v>
      </c>
      <c r="AX206">
        <v>4682</v>
      </c>
      <c r="AY206">
        <v>5107</v>
      </c>
      <c r="AZ206">
        <v>5606</v>
      </c>
      <c r="BA206">
        <v>6175</v>
      </c>
      <c r="BB206">
        <v>6860</v>
      </c>
      <c r="BC206">
        <v>7658</v>
      </c>
      <c r="BD206">
        <v>8628</v>
      </c>
      <c r="BE206">
        <v>9787</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Z206" s="343" t="s">
        <v>633</v>
      </c>
      <c r="EA206" t="s">
        <v>1010</v>
      </c>
      <c r="EB206">
        <v>2</v>
      </c>
      <c r="EC206">
        <v>44</v>
      </c>
      <c r="ED206" s="184" t="str">
        <f t="shared" si="9"/>
        <v>SDJ200244</v>
      </c>
      <c r="EE206">
        <v>0</v>
      </c>
      <c r="EF206">
        <v>93</v>
      </c>
      <c r="EG206">
        <v>182</v>
      </c>
      <c r="EH206">
        <v>266</v>
      </c>
      <c r="EI206">
        <v>372</v>
      </c>
      <c r="EJ206">
        <v>459</v>
      </c>
      <c r="EK206">
        <v>616</v>
      </c>
      <c r="EL206">
        <v>720</v>
      </c>
      <c r="EM206">
        <v>823</v>
      </c>
      <c r="EN206">
        <v>1030</v>
      </c>
      <c r="EO206">
        <v>1148</v>
      </c>
      <c r="EP206">
        <v>1269</v>
      </c>
      <c r="EQ206">
        <v>1391</v>
      </c>
      <c r="ER206">
        <v>1515</v>
      </c>
      <c r="ES206">
        <v>1641</v>
      </c>
      <c r="ET206">
        <v>1768</v>
      </c>
      <c r="EU206">
        <v>1900</v>
      </c>
      <c r="EV206">
        <v>2034</v>
      </c>
      <c r="EW206">
        <v>2175</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row>
    <row r="207" spans="13:245" hidden="1">
      <c r="M207" s="343" t="s">
        <v>633</v>
      </c>
      <c r="N207" t="s">
        <v>1010</v>
      </c>
      <c r="O207">
        <v>2</v>
      </c>
      <c r="P207">
        <v>45</v>
      </c>
      <c r="Q207" s="184" t="str">
        <f t="shared" si="8"/>
        <v>SDJ200245</v>
      </c>
      <c r="R207">
        <v>0</v>
      </c>
      <c r="S207">
        <v>58</v>
      </c>
      <c r="T207">
        <v>118</v>
      </c>
      <c r="U207">
        <v>179</v>
      </c>
      <c r="V207">
        <v>259</v>
      </c>
      <c r="W207">
        <v>331</v>
      </c>
      <c r="X207">
        <v>456</v>
      </c>
      <c r="Y207">
        <v>544</v>
      </c>
      <c r="Z207">
        <v>635</v>
      </c>
      <c r="AA207">
        <v>811</v>
      </c>
      <c r="AB207">
        <v>924</v>
      </c>
      <c r="AC207">
        <v>1042</v>
      </c>
      <c r="AD207">
        <v>1167</v>
      </c>
      <c r="AE207">
        <v>1298</v>
      </c>
      <c r="AF207">
        <v>1437</v>
      </c>
      <c r="AG207">
        <v>1585</v>
      </c>
      <c r="AH207">
        <v>1741</v>
      </c>
      <c r="AI207">
        <v>1907</v>
      </c>
      <c r="AJ207">
        <v>2082</v>
      </c>
      <c r="AK207">
        <v>2268</v>
      </c>
      <c r="AL207">
        <v>2388</v>
      </c>
      <c r="AM207">
        <v>2517</v>
      </c>
      <c r="AN207">
        <v>2656</v>
      </c>
      <c r="AO207">
        <v>2806</v>
      </c>
      <c r="AP207">
        <v>2970</v>
      </c>
      <c r="AQ207">
        <v>3161</v>
      </c>
      <c r="AR207">
        <v>3370</v>
      </c>
      <c r="AS207">
        <v>3597</v>
      </c>
      <c r="AT207">
        <v>3851</v>
      </c>
      <c r="AU207">
        <v>4134</v>
      </c>
      <c r="AV207">
        <v>4480</v>
      </c>
      <c r="AW207">
        <v>4868</v>
      </c>
      <c r="AX207">
        <v>5310</v>
      </c>
      <c r="AY207">
        <v>5829</v>
      </c>
      <c r="AZ207">
        <v>6421</v>
      </c>
      <c r="BA207">
        <v>7133</v>
      </c>
      <c r="BB207">
        <v>7964</v>
      </c>
      <c r="BC207">
        <v>8972</v>
      </c>
      <c r="BD207">
        <v>10177</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Z207" s="343" t="s">
        <v>633</v>
      </c>
      <c r="EA207" t="s">
        <v>1010</v>
      </c>
      <c r="EB207">
        <v>2</v>
      </c>
      <c r="EC207">
        <v>45</v>
      </c>
      <c r="ED207" s="184" t="str">
        <f t="shared" si="9"/>
        <v>SDJ200245</v>
      </c>
      <c r="EE207">
        <v>0</v>
      </c>
      <c r="EF207">
        <v>96</v>
      </c>
      <c r="EG207">
        <v>188</v>
      </c>
      <c r="EH207">
        <v>275</v>
      </c>
      <c r="EI207">
        <v>386</v>
      </c>
      <c r="EJ207">
        <v>478</v>
      </c>
      <c r="EK207">
        <v>642</v>
      </c>
      <c r="EL207">
        <v>750</v>
      </c>
      <c r="EM207">
        <v>857</v>
      </c>
      <c r="EN207">
        <v>1071</v>
      </c>
      <c r="EO207">
        <v>1194</v>
      </c>
      <c r="EP207">
        <v>1318</v>
      </c>
      <c r="EQ207">
        <v>1444</v>
      </c>
      <c r="ER207">
        <v>1572</v>
      </c>
      <c r="ES207">
        <v>1701</v>
      </c>
      <c r="ET207">
        <v>1834</v>
      </c>
      <c r="EU207">
        <v>1968</v>
      </c>
      <c r="EV207">
        <v>2109</v>
      </c>
      <c r="EW207">
        <v>2256</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row>
    <row r="208" spans="13:245" hidden="1">
      <c r="M208" s="343" t="s">
        <v>633</v>
      </c>
      <c r="N208" t="s">
        <v>1010</v>
      </c>
      <c r="O208">
        <v>2</v>
      </c>
      <c r="P208">
        <v>46</v>
      </c>
      <c r="Q208" s="184" t="str">
        <f t="shared" si="8"/>
        <v>SDJ200246</v>
      </c>
      <c r="R208">
        <v>0</v>
      </c>
      <c r="S208">
        <v>62</v>
      </c>
      <c r="T208">
        <v>127</v>
      </c>
      <c r="U208">
        <v>194</v>
      </c>
      <c r="V208">
        <v>281</v>
      </c>
      <c r="W208">
        <v>358</v>
      </c>
      <c r="X208">
        <v>494</v>
      </c>
      <c r="Y208">
        <v>588</v>
      </c>
      <c r="Z208">
        <v>687</v>
      </c>
      <c r="AA208">
        <v>879</v>
      </c>
      <c r="AB208">
        <v>1000</v>
      </c>
      <c r="AC208">
        <v>1129</v>
      </c>
      <c r="AD208">
        <v>1265</v>
      </c>
      <c r="AE208">
        <v>1408</v>
      </c>
      <c r="AF208">
        <v>1561</v>
      </c>
      <c r="AG208">
        <v>1723</v>
      </c>
      <c r="AH208">
        <v>1894</v>
      </c>
      <c r="AI208">
        <v>2075</v>
      </c>
      <c r="AJ208">
        <v>2269</v>
      </c>
      <c r="AK208">
        <v>2480</v>
      </c>
      <c r="AL208">
        <v>2614</v>
      </c>
      <c r="AM208">
        <v>2757</v>
      </c>
      <c r="AN208">
        <v>2914</v>
      </c>
      <c r="AO208">
        <v>3084</v>
      </c>
      <c r="AP208">
        <v>3282</v>
      </c>
      <c r="AQ208">
        <v>3499</v>
      </c>
      <c r="AR208">
        <v>3735</v>
      </c>
      <c r="AS208">
        <v>3999</v>
      </c>
      <c r="AT208">
        <v>4293</v>
      </c>
      <c r="AU208">
        <v>4652</v>
      </c>
      <c r="AV208">
        <v>5055</v>
      </c>
      <c r="AW208">
        <v>5514</v>
      </c>
      <c r="AX208">
        <v>6052</v>
      </c>
      <c r="AY208">
        <v>6667</v>
      </c>
      <c r="AZ208">
        <v>7406</v>
      </c>
      <c r="BA208">
        <v>8269</v>
      </c>
      <c r="BB208">
        <v>9315</v>
      </c>
      <c r="BC208">
        <v>10567</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Z208" s="343" t="s">
        <v>633</v>
      </c>
      <c r="EA208" t="s">
        <v>1010</v>
      </c>
      <c r="EB208">
        <v>2</v>
      </c>
      <c r="EC208">
        <v>46</v>
      </c>
      <c r="ED208" s="184" t="str">
        <f t="shared" si="9"/>
        <v>SDJ200246</v>
      </c>
      <c r="EE208">
        <v>0</v>
      </c>
      <c r="EF208">
        <v>99</v>
      </c>
      <c r="EG208">
        <v>195</v>
      </c>
      <c r="EH208">
        <v>287</v>
      </c>
      <c r="EI208">
        <v>403</v>
      </c>
      <c r="EJ208">
        <v>499</v>
      </c>
      <c r="EK208">
        <v>670</v>
      </c>
      <c r="EL208">
        <v>780</v>
      </c>
      <c r="EM208">
        <v>891</v>
      </c>
      <c r="EN208">
        <v>1115</v>
      </c>
      <c r="EO208">
        <v>1241</v>
      </c>
      <c r="EP208">
        <v>1369</v>
      </c>
      <c r="EQ208">
        <v>1500</v>
      </c>
      <c r="ER208">
        <v>1631</v>
      </c>
      <c r="ES208">
        <v>1766</v>
      </c>
      <c r="ET208">
        <v>1902</v>
      </c>
      <c r="EU208">
        <v>2042</v>
      </c>
      <c r="EV208">
        <v>2188</v>
      </c>
      <c r="EW208">
        <v>2345</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row>
    <row r="209" spans="13:245" hidden="1">
      <c r="M209" s="343" t="s">
        <v>633</v>
      </c>
      <c r="N209" t="s">
        <v>1010</v>
      </c>
      <c r="O209">
        <v>2</v>
      </c>
      <c r="P209">
        <v>47</v>
      </c>
      <c r="Q209" s="184" t="str">
        <f t="shared" si="8"/>
        <v>SDJ200247</v>
      </c>
      <c r="R209">
        <v>0</v>
      </c>
      <c r="S209">
        <v>68</v>
      </c>
      <c r="T209">
        <v>137</v>
      </c>
      <c r="U209">
        <v>209</v>
      </c>
      <c r="V209">
        <v>304</v>
      </c>
      <c r="W209">
        <v>387</v>
      </c>
      <c r="X209">
        <v>534</v>
      </c>
      <c r="Y209">
        <v>635</v>
      </c>
      <c r="Z209">
        <v>743</v>
      </c>
      <c r="AA209">
        <v>951</v>
      </c>
      <c r="AB209">
        <v>1083</v>
      </c>
      <c r="AC209">
        <v>1222</v>
      </c>
      <c r="AD209">
        <v>1370</v>
      </c>
      <c r="AE209">
        <v>1528</v>
      </c>
      <c r="AF209">
        <v>1695</v>
      </c>
      <c r="AG209">
        <v>1872</v>
      </c>
      <c r="AH209">
        <v>2060</v>
      </c>
      <c r="AI209">
        <v>2260</v>
      </c>
      <c r="AJ209">
        <v>2478</v>
      </c>
      <c r="AK209">
        <v>2710</v>
      </c>
      <c r="AL209">
        <v>2859</v>
      </c>
      <c r="AM209">
        <v>3022</v>
      </c>
      <c r="AN209">
        <v>3197</v>
      </c>
      <c r="AO209">
        <v>3404</v>
      </c>
      <c r="AP209">
        <v>3629</v>
      </c>
      <c r="AQ209">
        <v>3873</v>
      </c>
      <c r="AR209">
        <v>4146</v>
      </c>
      <c r="AS209">
        <v>4451</v>
      </c>
      <c r="AT209">
        <v>4823</v>
      </c>
      <c r="AU209">
        <v>5241</v>
      </c>
      <c r="AV209">
        <v>5717</v>
      </c>
      <c r="AW209">
        <v>6276</v>
      </c>
      <c r="AX209">
        <v>6913</v>
      </c>
      <c r="AY209">
        <v>7680</v>
      </c>
      <c r="AZ209">
        <v>8574</v>
      </c>
      <c r="BA209">
        <v>9659</v>
      </c>
      <c r="BB209">
        <v>10957</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Z209" s="343" t="s">
        <v>633</v>
      </c>
      <c r="EA209" t="s">
        <v>1010</v>
      </c>
      <c r="EB209">
        <v>2</v>
      </c>
      <c r="EC209">
        <v>47</v>
      </c>
      <c r="ED209" s="184" t="str">
        <f t="shared" si="9"/>
        <v>SDJ200247</v>
      </c>
      <c r="EE209">
        <v>0</v>
      </c>
      <c r="EF209">
        <v>105</v>
      </c>
      <c r="EG209">
        <v>204</v>
      </c>
      <c r="EH209">
        <v>299</v>
      </c>
      <c r="EI209">
        <v>421</v>
      </c>
      <c r="EJ209">
        <v>520</v>
      </c>
      <c r="EK209">
        <v>698</v>
      </c>
      <c r="EL209">
        <v>812</v>
      </c>
      <c r="EM209">
        <v>928</v>
      </c>
      <c r="EN209">
        <v>1161</v>
      </c>
      <c r="EO209">
        <v>1291</v>
      </c>
      <c r="EP209">
        <v>1423</v>
      </c>
      <c r="EQ209">
        <v>1558</v>
      </c>
      <c r="ER209">
        <v>1695</v>
      </c>
      <c r="ES209">
        <v>1834</v>
      </c>
      <c r="ET209">
        <v>1974</v>
      </c>
      <c r="EU209">
        <v>2121</v>
      </c>
      <c r="EV209">
        <v>2276</v>
      </c>
      <c r="EW209">
        <v>2446</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row>
    <row r="210" spans="13:245" hidden="1">
      <c r="M210" s="343" t="s">
        <v>633</v>
      </c>
      <c r="N210" t="s">
        <v>1010</v>
      </c>
      <c r="O210">
        <v>2</v>
      </c>
      <c r="P210">
        <v>48</v>
      </c>
      <c r="Q210" s="184" t="str">
        <f t="shared" si="8"/>
        <v>SDJ200248</v>
      </c>
      <c r="R210">
        <v>0</v>
      </c>
      <c r="S210">
        <v>72</v>
      </c>
      <c r="T210">
        <v>149</v>
      </c>
      <c r="U210">
        <v>227</v>
      </c>
      <c r="V210">
        <v>329</v>
      </c>
      <c r="W210">
        <v>419</v>
      </c>
      <c r="X210">
        <v>577</v>
      </c>
      <c r="Y210">
        <v>688</v>
      </c>
      <c r="Z210">
        <v>804</v>
      </c>
      <c r="AA210">
        <v>1028</v>
      </c>
      <c r="AB210">
        <v>1171</v>
      </c>
      <c r="AC210">
        <v>1323</v>
      </c>
      <c r="AD210">
        <v>1486</v>
      </c>
      <c r="AE210">
        <v>1658</v>
      </c>
      <c r="AF210">
        <v>1841</v>
      </c>
      <c r="AG210">
        <v>2035</v>
      </c>
      <c r="AH210">
        <v>2241</v>
      </c>
      <c r="AI210">
        <v>2466</v>
      </c>
      <c r="AJ210">
        <v>2706</v>
      </c>
      <c r="AK210">
        <v>2961</v>
      </c>
      <c r="AL210">
        <v>3129</v>
      </c>
      <c r="AM210">
        <v>3311</v>
      </c>
      <c r="AN210">
        <v>3525</v>
      </c>
      <c r="AO210">
        <v>3758</v>
      </c>
      <c r="AP210">
        <v>4011</v>
      </c>
      <c r="AQ210">
        <v>4294</v>
      </c>
      <c r="AR210">
        <v>4610</v>
      </c>
      <c r="AS210">
        <v>4995</v>
      </c>
      <c r="AT210">
        <v>5428</v>
      </c>
      <c r="AU210">
        <v>5921</v>
      </c>
      <c r="AV210">
        <v>6499</v>
      </c>
      <c r="AW210">
        <v>7159</v>
      </c>
      <c r="AX210">
        <v>7953</v>
      </c>
      <c r="AY210">
        <v>8879</v>
      </c>
      <c r="AZ210">
        <v>10003</v>
      </c>
      <c r="BA210">
        <v>11347</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Z210" s="343" t="s">
        <v>633</v>
      </c>
      <c r="EA210" t="s">
        <v>1010</v>
      </c>
      <c r="EB210">
        <v>2</v>
      </c>
      <c r="EC210">
        <v>48</v>
      </c>
      <c r="ED210" s="184" t="str">
        <f t="shared" si="9"/>
        <v>SDJ200248</v>
      </c>
      <c r="EE210">
        <v>0</v>
      </c>
      <c r="EF210">
        <v>107</v>
      </c>
      <c r="EG210">
        <v>214</v>
      </c>
      <c r="EH210">
        <v>313</v>
      </c>
      <c r="EI210">
        <v>440</v>
      </c>
      <c r="EJ210">
        <v>550</v>
      </c>
      <c r="EK210">
        <v>728</v>
      </c>
      <c r="EL210">
        <v>848</v>
      </c>
      <c r="EM210">
        <v>967</v>
      </c>
      <c r="EN210">
        <v>1207</v>
      </c>
      <c r="EO210">
        <v>1342</v>
      </c>
      <c r="EP210">
        <v>1479</v>
      </c>
      <c r="EQ210">
        <v>1621</v>
      </c>
      <c r="ER210">
        <v>1762</v>
      </c>
      <c r="ES210">
        <v>1906</v>
      </c>
      <c r="ET210">
        <v>2052</v>
      </c>
      <c r="EU210">
        <v>2206</v>
      </c>
      <c r="EV210">
        <v>2375</v>
      </c>
      <c r="EW210">
        <v>2555</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row>
    <row r="211" spans="13:245" hidden="1">
      <c r="M211" s="343" t="s">
        <v>633</v>
      </c>
      <c r="N211" t="s">
        <v>1010</v>
      </c>
      <c r="O211">
        <v>2</v>
      </c>
      <c r="P211">
        <v>49</v>
      </c>
      <c r="Q211" s="184" t="str">
        <f t="shared" si="8"/>
        <v>SDJ200249</v>
      </c>
      <c r="R211">
        <v>0</v>
      </c>
      <c r="S211">
        <v>80</v>
      </c>
      <c r="T211">
        <v>163</v>
      </c>
      <c r="U211">
        <v>248</v>
      </c>
      <c r="V211">
        <v>358</v>
      </c>
      <c r="W211">
        <v>457</v>
      </c>
      <c r="X211">
        <v>630</v>
      </c>
      <c r="Y211">
        <v>751</v>
      </c>
      <c r="Z211">
        <v>878</v>
      </c>
      <c r="AA211">
        <v>1123</v>
      </c>
      <c r="AB211">
        <v>1279</v>
      </c>
      <c r="AC211">
        <v>1448</v>
      </c>
      <c r="AD211">
        <v>1627</v>
      </c>
      <c r="AE211">
        <v>1817</v>
      </c>
      <c r="AF211">
        <v>2019</v>
      </c>
      <c r="AG211">
        <v>2234</v>
      </c>
      <c r="AH211">
        <v>2468</v>
      </c>
      <c r="AI211">
        <v>2718</v>
      </c>
      <c r="AJ211">
        <v>2983</v>
      </c>
      <c r="AK211">
        <v>3267</v>
      </c>
      <c r="AL211">
        <v>3457</v>
      </c>
      <c r="AM211">
        <v>3680</v>
      </c>
      <c r="AN211">
        <v>3924</v>
      </c>
      <c r="AO211">
        <v>4188</v>
      </c>
      <c r="AP211">
        <v>4484</v>
      </c>
      <c r="AQ211">
        <v>4814</v>
      </c>
      <c r="AR211">
        <v>5216</v>
      </c>
      <c r="AS211">
        <v>5668</v>
      </c>
      <c r="AT211">
        <v>6182</v>
      </c>
      <c r="AU211">
        <v>6786</v>
      </c>
      <c r="AV211">
        <v>7476</v>
      </c>
      <c r="AW211">
        <v>8304</v>
      </c>
      <c r="AX211">
        <v>9271</v>
      </c>
      <c r="AY211">
        <v>10445</v>
      </c>
      <c r="AZ211">
        <v>11848</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Z211" s="343" t="s">
        <v>633</v>
      </c>
      <c r="EA211" t="s">
        <v>1010</v>
      </c>
      <c r="EB211">
        <v>2</v>
      </c>
      <c r="EC211">
        <v>49</v>
      </c>
      <c r="ED211" s="184" t="str">
        <f t="shared" si="9"/>
        <v>SDJ200249</v>
      </c>
      <c r="EE211">
        <v>0</v>
      </c>
      <c r="EF211">
        <v>115</v>
      </c>
      <c r="EG211">
        <v>225</v>
      </c>
      <c r="EH211">
        <v>329</v>
      </c>
      <c r="EI211">
        <v>460</v>
      </c>
      <c r="EJ211">
        <v>586</v>
      </c>
      <c r="EK211">
        <v>762</v>
      </c>
      <c r="EL211">
        <v>886</v>
      </c>
      <c r="EM211">
        <v>1010</v>
      </c>
      <c r="EN211">
        <v>1260</v>
      </c>
      <c r="EO211">
        <v>1399</v>
      </c>
      <c r="EP211">
        <v>1543</v>
      </c>
      <c r="EQ211">
        <v>1688</v>
      </c>
      <c r="ER211">
        <v>1835</v>
      </c>
      <c r="ES211">
        <v>1983</v>
      </c>
      <c r="ET211">
        <v>2138</v>
      </c>
      <c r="EU211">
        <v>2306</v>
      </c>
      <c r="EV211">
        <v>2484</v>
      </c>
      <c r="EW211">
        <v>2673</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0</v>
      </c>
      <c r="IH211">
        <v>0</v>
      </c>
      <c r="II211">
        <v>0</v>
      </c>
      <c r="IJ211">
        <v>0</v>
      </c>
      <c r="IK211">
        <v>0</v>
      </c>
    </row>
    <row r="212" spans="13:245" hidden="1">
      <c r="M212" s="343" t="s">
        <v>633</v>
      </c>
      <c r="N212" t="s">
        <v>1010</v>
      </c>
      <c r="O212">
        <v>2</v>
      </c>
      <c r="P212">
        <v>50</v>
      </c>
      <c r="Q212" s="184" t="str">
        <f t="shared" si="8"/>
        <v>SDJ200250</v>
      </c>
      <c r="R212">
        <v>0</v>
      </c>
      <c r="S212">
        <v>87</v>
      </c>
      <c r="T212">
        <v>176</v>
      </c>
      <c r="U212">
        <v>269</v>
      </c>
      <c r="V212">
        <v>390</v>
      </c>
      <c r="W212">
        <v>497</v>
      </c>
      <c r="X212">
        <v>685</v>
      </c>
      <c r="Y212">
        <v>817</v>
      </c>
      <c r="Z212">
        <v>956</v>
      </c>
      <c r="AA212">
        <v>1224</v>
      </c>
      <c r="AB212">
        <v>1397</v>
      </c>
      <c r="AC212">
        <v>1582</v>
      </c>
      <c r="AD212">
        <v>1779</v>
      </c>
      <c r="AE212">
        <v>1989</v>
      </c>
      <c r="AF212">
        <v>2213</v>
      </c>
      <c r="AG212">
        <v>2456</v>
      </c>
      <c r="AH212">
        <v>2716</v>
      </c>
      <c r="AI212">
        <v>2991</v>
      </c>
      <c r="AJ212">
        <v>3287</v>
      </c>
      <c r="AK212">
        <v>3604</v>
      </c>
      <c r="AL212">
        <v>3836</v>
      </c>
      <c r="AM212">
        <v>4090</v>
      </c>
      <c r="AN212">
        <v>4365</v>
      </c>
      <c r="AO212">
        <v>4673</v>
      </c>
      <c r="AP212">
        <v>5017</v>
      </c>
      <c r="AQ212">
        <v>5437</v>
      </c>
      <c r="AR212">
        <v>5908</v>
      </c>
      <c r="AS212">
        <v>6444</v>
      </c>
      <c r="AT212">
        <v>7073</v>
      </c>
      <c r="AU212">
        <v>7792</v>
      </c>
      <c r="AV212">
        <v>8656</v>
      </c>
      <c r="AW212">
        <v>9664</v>
      </c>
      <c r="AX212">
        <v>10887</v>
      </c>
      <c r="AY212">
        <v>12350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Z212" s="343" t="s">
        <v>633</v>
      </c>
      <c r="EA212" t="s">
        <v>1010</v>
      </c>
      <c r="EB212">
        <v>2</v>
      </c>
      <c r="EC212">
        <v>50</v>
      </c>
      <c r="ED212" s="184" t="str">
        <f t="shared" si="9"/>
        <v>SDJ200250</v>
      </c>
      <c r="EE212">
        <v>0</v>
      </c>
      <c r="EF212">
        <v>120</v>
      </c>
      <c r="EG212">
        <v>233</v>
      </c>
      <c r="EH212">
        <v>343</v>
      </c>
      <c r="EI212">
        <v>481</v>
      </c>
      <c r="EJ212">
        <v>622</v>
      </c>
      <c r="EK212">
        <v>794</v>
      </c>
      <c r="EL212">
        <v>924</v>
      </c>
      <c r="EM212">
        <v>1060</v>
      </c>
      <c r="EN212">
        <v>1314</v>
      </c>
      <c r="EO212">
        <v>1460</v>
      </c>
      <c r="EP212">
        <v>1609</v>
      </c>
      <c r="EQ212">
        <v>1759</v>
      </c>
      <c r="ER212">
        <v>1910</v>
      </c>
      <c r="ES212">
        <v>2066</v>
      </c>
      <c r="ET212">
        <v>2234</v>
      </c>
      <c r="EU212">
        <v>2412</v>
      </c>
      <c r="EV212">
        <v>2598</v>
      </c>
      <c r="EW212">
        <v>2799</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E212">
        <v>0</v>
      </c>
      <c r="IF212">
        <v>0</v>
      </c>
      <c r="IG212">
        <v>0</v>
      </c>
      <c r="IH212">
        <v>0</v>
      </c>
      <c r="II212">
        <v>0</v>
      </c>
      <c r="IJ212">
        <v>0</v>
      </c>
      <c r="IK212">
        <v>0</v>
      </c>
    </row>
    <row r="213" spans="13:245" hidden="1">
      <c r="M213" s="413"/>
      <c r="N213" s="413"/>
      <c r="O213" s="413"/>
      <c r="P213" s="414"/>
      <c r="Q213" s="184"/>
      <c r="R213" s="414"/>
      <c r="S213" s="414"/>
      <c r="T213" s="414"/>
      <c r="U213" s="414"/>
      <c r="V213" s="414"/>
      <c r="W213" s="414"/>
      <c r="X213" s="414"/>
      <c r="Y213" s="414"/>
      <c r="Z213" s="414"/>
      <c r="AA213" s="414"/>
      <c r="AB213" s="414"/>
      <c r="AC213" s="414"/>
      <c r="AD213" s="414"/>
      <c r="AE213" s="414"/>
      <c r="AF213" s="414"/>
      <c r="AG213" s="414"/>
      <c r="AH213" s="414"/>
      <c r="AI213" s="414"/>
      <c r="AJ213" s="414"/>
      <c r="AK213" s="414"/>
      <c r="AL213" s="414"/>
      <c r="AM213" s="414"/>
      <c r="AN213" s="414"/>
      <c r="AO213" s="414"/>
      <c r="AP213" s="414"/>
      <c r="AQ213" s="414"/>
      <c r="AR213" s="414"/>
      <c r="AS213" s="414"/>
      <c r="AT213" s="414"/>
      <c r="AU213" s="414"/>
      <c r="AV213" s="414"/>
      <c r="AW213" s="414"/>
      <c r="AX213" s="414"/>
      <c r="AY213" s="414"/>
      <c r="AZ213" s="414"/>
      <c r="BA213" s="414"/>
      <c r="BB213" s="414"/>
      <c r="BC213" s="414"/>
      <c r="BD213" s="414"/>
      <c r="BE213" s="414"/>
      <c r="BF213" s="414"/>
      <c r="BG213" s="414"/>
      <c r="BH213" s="414"/>
      <c r="BI213" s="414"/>
      <c r="BJ213" s="414"/>
      <c r="BK213" s="414"/>
      <c r="BL213" s="414"/>
      <c r="BM213" s="414"/>
      <c r="BN213" s="414"/>
      <c r="BO213" s="414"/>
      <c r="BP213" s="414"/>
      <c r="BQ213" s="414"/>
      <c r="BR213" s="414"/>
      <c r="BS213" s="414"/>
      <c r="BT213" s="414"/>
      <c r="BU213" s="414"/>
      <c r="BV213" s="414"/>
      <c r="BW213" s="414"/>
      <c r="BX213" s="414"/>
      <c r="BY213" s="414"/>
      <c r="BZ213" s="414"/>
      <c r="CA213" s="414"/>
      <c r="CB213" s="414"/>
      <c r="CC213" s="414"/>
      <c r="CD213" s="414"/>
      <c r="CE213" s="414"/>
      <c r="CF213" s="414"/>
      <c r="CG213" s="414"/>
      <c r="CH213" s="414"/>
      <c r="CI213" s="414"/>
      <c r="CJ213" s="414"/>
      <c r="CK213" s="414"/>
      <c r="CL213" s="414"/>
      <c r="CM213" s="414"/>
      <c r="CN213" s="414"/>
      <c r="CO213" s="414"/>
      <c r="CP213" s="414"/>
      <c r="CQ213" s="414"/>
      <c r="CR213" s="414"/>
      <c r="CS213" s="414"/>
      <c r="CT213" s="414"/>
      <c r="CU213" s="414"/>
      <c r="CV213" s="414"/>
      <c r="CW213" s="414"/>
      <c r="CX213" s="414"/>
      <c r="CY213" s="414"/>
      <c r="CZ213" s="414"/>
      <c r="DA213" s="414"/>
      <c r="DB213" s="414"/>
      <c r="DC213" s="414"/>
      <c r="DD213" s="414"/>
      <c r="DE213" s="414"/>
      <c r="DF213" s="414"/>
      <c r="DG213" s="414"/>
      <c r="DH213" s="414"/>
      <c r="DI213" s="414"/>
      <c r="DJ213" s="414"/>
      <c r="DK213" s="414"/>
      <c r="DL213" s="414"/>
      <c r="DM213" s="414"/>
      <c r="DN213" s="414"/>
      <c r="DO213" s="414"/>
      <c r="DP213" s="414"/>
      <c r="DQ213" s="414"/>
      <c r="DR213" s="414"/>
      <c r="DS213" s="414"/>
      <c r="DT213" s="414"/>
      <c r="DU213" s="414"/>
      <c r="DV213" s="414"/>
      <c r="DW213" s="414"/>
      <c r="DX213" s="414"/>
      <c r="DZ213" s="413"/>
      <c r="EA213" s="413"/>
      <c r="EB213" s="413"/>
      <c r="EC213" s="414"/>
      <c r="ED213" s="184"/>
      <c r="EE213" s="414"/>
      <c r="EF213" s="414"/>
      <c r="EG213" s="414"/>
      <c r="EH213" s="414"/>
      <c r="EI213" s="414"/>
      <c r="EJ213" s="414"/>
      <c r="EK213" s="414"/>
      <c r="EL213" s="414"/>
      <c r="EM213" s="414"/>
      <c r="EN213" s="414"/>
      <c r="EO213" s="414"/>
      <c r="EP213" s="414"/>
      <c r="EQ213" s="414"/>
      <c r="ER213" s="414"/>
      <c r="ES213" s="414"/>
      <c r="ET213" s="414"/>
      <c r="EU213" s="414"/>
      <c r="EV213" s="414"/>
      <c r="EW213" s="414"/>
      <c r="EX213" s="414"/>
      <c r="EY213" s="414"/>
      <c r="EZ213" s="414"/>
      <c r="FA213" s="414"/>
      <c r="FB213" s="414"/>
      <c r="FC213" s="414"/>
      <c r="FD213" s="414"/>
      <c r="FE213" s="414"/>
      <c r="FF213" s="414"/>
      <c r="FG213" s="414"/>
      <c r="FH213" s="414"/>
      <c r="FI213" s="414"/>
      <c r="FJ213" s="414"/>
      <c r="FK213" s="414"/>
      <c r="FL213" s="414"/>
      <c r="FM213" s="414"/>
      <c r="FN213" s="414"/>
      <c r="FO213" s="414"/>
      <c r="FP213" s="414"/>
      <c r="FQ213" s="414"/>
      <c r="FR213" s="414"/>
      <c r="FS213" s="414"/>
      <c r="FT213" s="414"/>
      <c r="FU213" s="414"/>
      <c r="FV213" s="414"/>
      <c r="FW213" s="414"/>
      <c r="FX213" s="414"/>
      <c r="FY213" s="414"/>
      <c r="FZ213" s="414"/>
      <c r="GA213" s="414"/>
      <c r="GB213" s="414"/>
      <c r="GC213" s="414"/>
      <c r="GD213" s="414"/>
      <c r="GE213" s="414"/>
      <c r="GF213" s="414"/>
      <c r="GG213" s="414"/>
      <c r="GH213" s="414"/>
      <c r="GI213" s="414"/>
      <c r="GJ213" s="414"/>
      <c r="GK213" s="414"/>
      <c r="GL213" s="414"/>
      <c r="GM213" s="414"/>
      <c r="GN213" s="414"/>
      <c r="GO213" s="414"/>
      <c r="GP213" s="414"/>
      <c r="GQ213" s="414"/>
      <c r="GR213" s="414"/>
      <c r="GS213" s="414"/>
      <c r="GT213" s="414"/>
      <c r="GU213" s="414"/>
      <c r="GV213" s="414"/>
      <c r="GW213" s="414"/>
      <c r="GX213" s="414"/>
      <c r="GY213" s="414"/>
      <c r="GZ213" s="414"/>
      <c r="HA213" s="414"/>
      <c r="HB213" s="414"/>
      <c r="HC213" s="414"/>
      <c r="HD213" s="414"/>
      <c r="HE213" s="414"/>
      <c r="HF213" s="414"/>
      <c r="HG213" s="414"/>
      <c r="HH213" s="414"/>
      <c r="HI213" s="414"/>
      <c r="HJ213" s="414"/>
      <c r="HK213" s="414"/>
      <c r="HL213" s="414"/>
      <c r="HM213" s="414"/>
      <c r="HN213" s="414"/>
      <c r="HO213" s="414"/>
      <c r="HP213" s="414"/>
      <c r="HQ213" s="414"/>
      <c r="HR213" s="414"/>
      <c r="HS213" s="414"/>
      <c r="HT213" s="414"/>
      <c r="HU213" s="414"/>
      <c r="HV213" s="414"/>
      <c r="HW213" s="414"/>
      <c r="HX213" s="414"/>
      <c r="HY213" s="414"/>
      <c r="HZ213" s="414"/>
      <c r="IA213" s="414"/>
      <c r="IB213" s="414"/>
      <c r="IC213" s="414"/>
      <c r="ID213" s="414"/>
      <c r="IE213" s="414"/>
      <c r="IF213" s="414"/>
      <c r="IG213" s="414"/>
      <c r="IH213" s="414"/>
      <c r="II213" s="414"/>
      <c r="IJ213" s="414"/>
      <c r="IK213" s="414"/>
    </row>
    <row r="214" spans="13:245" hidden="1">
      <c r="M214" s="413"/>
      <c r="N214" s="413"/>
      <c r="O214" s="413"/>
      <c r="P214" s="414"/>
      <c r="Q214" s="184"/>
      <c r="R214" s="414"/>
      <c r="S214" s="414"/>
      <c r="T214" s="414"/>
      <c r="U214" s="414"/>
      <c r="V214" s="414"/>
      <c r="W214" s="414"/>
      <c r="X214" s="414"/>
      <c r="Y214" s="414"/>
      <c r="Z214" s="414"/>
      <c r="AA214" s="414"/>
      <c r="AB214" s="414"/>
      <c r="AC214" s="414"/>
      <c r="AD214" s="414"/>
      <c r="AE214" s="414"/>
      <c r="AF214" s="414"/>
      <c r="AG214" s="414"/>
      <c r="AH214" s="414"/>
      <c r="AI214" s="414"/>
      <c r="AJ214" s="414"/>
      <c r="AK214" s="414"/>
      <c r="AL214" s="414"/>
      <c r="AM214" s="414"/>
      <c r="AN214" s="414"/>
      <c r="AO214" s="414"/>
      <c r="AP214" s="414"/>
      <c r="AQ214" s="414"/>
      <c r="AR214" s="414"/>
      <c r="AS214" s="414"/>
      <c r="AT214" s="414"/>
      <c r="AU214" s="414"/>
      <c r="AV214" s="414"/>
      <c r="AW214" s="414"/>
      <c r="AX214" s="414"/>
      <c r="AY214" s="414"/>
      <c r="AZ214" s="414"/>
      <c r="BA214" s="414"/>
      <c r="BB214" s="414"/>
      <c r="BC214" s="414"/>
      <c r="BD214" s="414"/>
      <c r="BE214" s="414"/>
      <c r="BF214" s="414"/>
      <c r="BG214" s="414"/>
      <c r="BH214" s="414"/>
      <c r="BI214" s="414"/>
      <c r="BJ214" s="414"/>
      <c r="BK214" s="414"/>
      <c r="BL214" s="414"/>
      <c r="BM214" s="414"/>
      <c r="BN214" s="414"/>
      <c r="BO214" s="414"/>
      <c r="BP214" s="414"/>
      <c r="BQ214" s="414"/>
      <c r="BR214" s="414"/>
      <c r="BS214" s="414"/>
      <c r="BT214" s="414"/>
      <c r="BU214" s="414"/>
      <c r="BV214" s="414"/>
      <c r="BW214" s="414"/>
      <c r="BX214" s="414"/>
      <c r="BY214" s="414"/>
      <c r="BZ214" s="414"/>
      <c r="CA214" s="414"/>
      <c r="CB214" s="414"/>
      <c r="CC214" s="414"/>
      <c r="CD214" s="414"/>
      <c r="CE214" s="414"/>
      <c r="CF214" s="414"/>
      <c r="CG214" s="414"/>
      <c r="CH214" s="414"/>
      <c r="CI214" s="414"/>
      <c r="CJ214" s="414"/>
      <c r="CK214" s="414"/>
      <c r="CL214" s="414"/>
      <c r="CM214" s="414"/>
      <c r="CN214" s="414"/>
      <c r="CO214" s="414"/>
      <c r="CP214" s="414"/>
      <c r="CQ214" s="414"/>
      <c r="CR214" s="414"/>
      <c r="CS214" s="414"/>
      <c r="CT214" s="414"/>
      <c r="CU214" s="414"/>
      <c r="CV214" s="414"/>
      <c r="CW214" s="414"/>
      <c r="CX214" s="414"/>
      <c r="CY214" s="414"/>
      <c r="CZ214" s="414"/>
      <c r="DA214" s="414"/>
      <c r="DB214" s="414"/>
      <c r="DC214" s="414"/>
      <c r="DD214" s="414"/>
      <c r="DE214" s="414"/>
      <c r="DF214" s="414"/>
      <c r="DG214" s="414"/>
      <c r="DH214" s="414"/>
      <c r="DI214" s="414"/>
      <c r="DJ214" s="414"/>
      <c r="DK214" s="414"/>
      <c r="DL214" s="414"/>
      <c r="DM214" s="414"/>
      <c r="DN214" s="414"/>
      <c r="DO214" s="414"/>
      <c r="DP214" s="414"/>
      <c r="DQ214" s="414"/>
      <c r="DR214" s="414"/>
      <c r="DS214" s="414"/>
      <c r="DT214" s="414"/>
      <c r="DU214" s="414"/>
      <c r="DV214" s="414"/>
      <c r="DW214" s="414"/>
      <c r="DX214" s="414"/>
      <c r="DZ214" s="413"/>
      <c r="EA214" s="413"/>
      <c r="EB214" s="413"/>
      <c r="EC214" s="414"/>
      <c r="ED214" s="184"/>
      <c r="EE214" s="414"/>
      <c r="EF214" s="414"/>
      <c r="EG214" s="414"/>
      <c r="EH214" s="414"/>
      <c r="EI214" s="414"/>
      <c r="EJ214" s="414"/>
      <c r="EK214" s="414"/>
      <c r="EL214" s="414"/>
      <c r="EM214" s="414"/>
      <c r="EN214" s="414"/>
      <c r="EO214" s="414"/>
      <c r="EP214" s="414"/>
      <c r="EQ214" s="414"/>
      <c r="ER214" s="414"/>
      <c r="ES214" s="414"/>
      <c r="ET214" s="414"/>
      <c r="EU214" s="414"/>
      <c r="EV214" s="414"/>
      <c r="EW214" s="414"/>
      <c r="EX214" s="414"/>
      <c r="EY214" s="414"/>
      <c r="EZ214" s="414"/>
      <c r="FA214" s="414"/>
      <c r="FB214" s="414"/>
      <c r="FC214" s="414"/>
      <c r="FD214" s="414"/>
      <c r="FE214" s="414"/>
      <c r="FF214" s="414"/>
      <c r="FG214" s="414"/>
      <c r="FH214" s="414"/>
      <c r="FI214" s="414"/>
      <c r="FJ214" s="414"/>
      <c r="FK214" s="414"/>
      <c r="FL214" s="414"/>
      <c r="FM214" s="414"/>
      <c r="FN214" s="414"/>
      <c r="FO214" s="414"/>
      <c r="FP214" s="414"/>
      <c r="FQ214" s="414"/>
      <c r="FR214" s="414"/>
      <c r="FS214" s="414"/>
      <c r="FT214" s="414"/>
      <c r="FU214" s="414"/>
      <c r="FV214" s="414"/>
      <c r="FW214" s="414"/>
      <c r="FX214" s="414"/>
      <c r="FY214" s="414"/>
      <c r="FZ214" s="414"/>
      <c r="GA214" s="414"/>
      <c r="GB214" s="414"/>
      <c r="GC214" s="414"/>
      <c r="GD214" s="414"/>
      <c r="GE214" s="414"/>
      <c r="GF214" s="414"/>
      <c r="GG214" s="414"/>
      <c r="GH214" s="414"/>
      <c r="GI214" s="414"/>
      <c r="GJ214" s="414"/>
      <c r="GK214" s="414"/>
      <c r="GL214" s="414"/>
      <c r="GM214" s="414"/>
      <c r="GN214" s="414"/>
      <c r="GO214" s="414"/>
      <c r="GP214" s="414"/>
      <c r="GQ214" s="414"/>
      <c r="GR214" s="414"/>
      <c r="GS214" s="414"/>
      <c r="GT214" s="414"/>
      <c r="GU214" s="414"/>
      <c r="GV214" s="414"/>
      <c r="GW214" s="414"/>
      <c r="GX214" s="414"/>
      <c r="GY214" s="414"/>
      <c r="GZ214" s="414"/>
      <c r="HA214" s="414"/>
      <c r="HB214" s="414"/>
      <c r="HC214" s="414"/>
      <c r="HD214" s="414"/>
      <c r="HE214" s="414"/>
      <c r="HF214" s="414"/>
      <c r="HG214" s="414"/>
      <c r="HH214" s="414"/>
      <c r="HI214" s="414"/>
      <c r="HJ214" s="414"/>
      <c r="HK214" s="414"/>
      <c r="HL214" s="414"/>
      <c r="HM214" s="414"/>
      <c r="HN214" s="414"/>
      <c r="HO214" s="414"/>
      <c r="HP214" s="414"/>
      <c r="HQ214" s="414"/>
      <c r="HR214" s="414"/>
      <c r="HS214" s="414"/>
      <c r="HT214" s="414"/>
      <c r="HU214" s="414"/>
      <c r="HV214" s="414"/>
      <c r="HW214" s="414"/>
      <c r="HX214" s="414"/>
      <c r="HY214" s="414"/>
      <c r="HZ214" s="414"/>
      <c r="IA214" s="414"/>
      <c r="IB214" s="414"/>
      <c r="IC214" s="414"/>
      <c r="ID214" s="414"/>
      <c r="IE214" s="414"/>
      <c r="IF214" s="414"/>
      <c r="IG214" s="414"/>
      <c r="IH214" s="414"/>
      <c r="II214" s="414"/>
      <c r="IJ214" s="414"/>
      <c r="IK214" s="414"/>
    </row>
    <row r="215" spans="13:245" hidden="1">
      <c r="M215" s="413"/>
      <c r="N215" s="413"/>
      <c r="O215" s="413"/>
      <c r="P215" s="414"/>
      <c r="Q215" s="184"/>
      <c r="R215" s="414"/>
      <c r="S215" s="414"/>
      <c r="T215" s="414"/>
      <c r="U215" s="414"/>
      <c r="V215" s="414"/>
      <c r="W215" s="414"/>
      <c r="X215" s="414"/>
      <c r="Y215" s="414"/>
      <c r="Z215" s="414"/>
      <c r="AA215" s="414"/>
      <c r="AB215" s="414"/>
      <c r="AC215" s="414"/>
      <c r="AD215" s="414"/>
      <c r="AE215" s="414"/>
      <c r="AF215" s="414"/>
      <c r="AG215" s="414"/>
      <c r="AH215" s="414"/>
      <c r="AI215" s="414"/>
      <c r="AJ215" s="414"/>
      <c r="AK215" s="414"/>
      <c r="AL215" s="414"/>
      <c r="AM215" s="414"/>
      <c r="AN215" s="414"/>
      <c r="AO215" s="414"/>
      <c r="AP215" s="414"/>
      <c r="AQ215" s="414"/>
      <c r="AR215" s="414"/>
      <c r="AS215" s="414"/>
      <c r="AT215" s="414"/>
      <c r="AU215" s="414"/>
      <c r="AV215" s="414"/>
      <c r="AW215" s="414"/>
      <c r="AX215" s="414"/>
      <c r="AY215" s="414"/>
      <c r="AZ215" s="414"/>
      <c r="BA215" s="414"/>
      <c r="BB215" s="414"/>
      <c r="BC215" s="414"/>
      <c r="BD215" s="414"/>
      <c r="BE215" s="414"/>
      <c r="BF215" s="414"/>
      <c r="BG215" s="414"/>
      <c r="BH215" s="414"/>
      <c r="BI215" s="414"/>
      <c r="BJ215" s="414"/>
      <c r="BK215" s="414"/>
      <c r="BL215" s="414"/>
      <c r="BM215" s="414"/>
      <c r="BN215" s="414"/>
      <c r="BO215" s="414"/>
      <c r="BP215" s="414"/>
      <c r="BQ215" s="414"/>
      <c r="BR215" s="414"/>
      <c r="BS215" s="414"/>
      <c r="BT215" s="414"/>
      <c r="BU215" s="414"/>
      <c r="BV215" s="414"/>
      <c r="BW215" s="414"/>
      <c r="BX215" s="414"/>
      <c r="BY215" s="414"/>
      <c r="BZ215" s="414"/>
      <c r="CA215" s="414"/>
      <c r="CB215" s="414"/>
      <c r="CC215" s="414"/>
      <c r="CD215" s="414"/>
      <c r="CE215" s="414"/>
      <c r="CF215" s="414"/>
      <c r="CG215" s="414"/>
      <c r="CH215" s="414"/>
      <c r="CI215" s="414"/>
      <c r="CJ215" s="414"/>
      <c r="CK215" s="414"/>
      <c r="CL215" s="414"/>
      <c r="CM215" s="414"/>
      <c r="CN215" s="414"/>
      <c r="CO215" s="414"/>
      <c r="CP215" s="414"/>
      <c r="CQ215" s="414"/>
      <c r="CR215" s="414"/>
      <c r="CS215" s="414"/>
      <c r="CT215" s="414"/>
      <c r="CU215" s="414"/>
      <c r="CV215" s="414"/>
      <c r="CW215" s="414"/>
      <c r="CX215" s="414"/>
      <c r="CY215" s="414"/>
      <c r="CZ215" s="414"/>
      <c r="DA215" s="414"/>
      <c r="DB215" s="414"/>
      <c r="DC215" s="414"/>
      <c r="DD215" s="414"/>
      <c r="DE215" s="414"/>
      <c r="DF215" s="414"/>
      <c r="DG215" s="414"/>
      <c r="DH215" s="414"/>
      <c r="DI215" s="414"/>
      <c r="DJ215" s="414"/>
      <c r="DK215" s="414"/>
      <c r="DL215" s="414"/>
      <c r="DM215" s="414"/>
      <c r="DN215" s="414"/>
      <c r="DO215" s="414"/>
      <c r="DP215" s="414"/>
      <c r="DQ215" s="414"/>
      <c r="DR215" s="414"/>
      <c r="DS215" s="414"/>
      <c r="DT215" s="414"/>
      <c r="DU215" s="414"/>
      <c r="DV215" s="414"/>
      <c r="DW215" s="414"/>
      <c r="DX215" s="414"/>
      <c r="DZ215" s="413"/>
      <c r="EA215" s="413"/>
      <c r="EB215" s="413"/>
      <c r="EC215" s="414"/>
      <c r="ED215" s="184"/>
      <c r="EE215" s="414"/>
      <c r="EF215" s="414"/>
      <c r="EG215" s="414"/>
      <c r="EH215" s="414"/>
      <c r="EI215" s="414"/>
      <c r="EJ215" s="414"/>
      <c r="EK215" s="414"/>
      <c r="EL215" s="414"/>
      <c r="EM215" s="414"/>
      <c r="EN215" s="414"/>
      <c r="EO215" s="414"/>
      <c r="EP215" s="414"/>
      <c r="EQ215" s="414"/>
      <c r="ER215" s="414"/>
      <c r="ES215" s="414"/>
      <c r="ET215" s="414"/>
      <c r="EU215" s="414"/>
      <c r="EV215" s="414"/>
      <c r="EW215" s="414"/>
      <c r="EX215" s="414"/>
      <c r="EY215" s="414"/>
      <c r="EZ215" s="414"/>
      <c r="FA215" s="414"/>
      <c r="FB215" s="414"/>
      <c r="FC215" s="414"/>
      <c r="FD215" s="414"/>
      <c r="FE215" s="414"/>
      <c r="FF215" s="414"/>
      <c r="FG215" s="414"/>
      <c r="FH215" s="414"/>
      <c r="FI215" s="414"/>
      <c r="FJ215" s="414"/>
      <c r="FK215" s="414"/>
      <c r="FL215" s="414"/>
      <c r="FM215" s="414"/>
      <c r="FN215" s="414"/>
      <c r="FO215" s="414"/>
      <c r="FP215" s="414"/>
      <c r="FQ215" s="414"/>
      <c r="FR215" s="414"/>
      <c r="FS215" s="414"/>
      <c r="FT215" s="414"/>
      <c r="FU215" s="414"/>
      <c r="FV215" s="414"/>
      <c r="FW215" s="414"/>
      <c r="FX215" s="414"/>
      <c r="FY215" s="414"/>
      <c r="FZ215" s="414"/>
      <c r="GA215" s="414"/>
      <c r="GB215" s="414"/>
      <c r="GC215" s="414"/>
      <c r="GD215" s="414"/>
      <c r="GE215" s="414"/>
      <c r="GF215" s="414"/>
      <c r="GG215" s="414"/>
      <c r="GH215" s="414"/>
      <c r="GI215" s="414"/>
      <c r="GJ215" s="414"/>
      <c r="GK215" s="414"/>
      <c r="GL215" s="414"/>
      <c r="GM215" s="414"/>
      <c r="GN215" s="414"/>
      <c r="GO215" s="414"/>
      <c r="GP215" s="414"/>
      <c r="GQ215" s="414"/>
      <c r="GR215" s="414"/>
      <c r="GS215" s="414"/>
      <c r="GT215" s="414"/>
      <c r="GU215" s="414"/>
      <c r="GV215" s="414"/>
      <c r="GW215" s="414"/>
      <c r="GX215" s="414"/>
      <c r="GY215" s="414"/>
      <c r="GZ215" s="414"/>
      <c r="HA215" s="414"/>
      <c r="HB215" s="414"/>
      <c r="HC215" s="414"/>
      <c r="HD215" s="414"/>
      <c r="HE215" s="414"/>
      <c r="HF215" s="414"/>
      <c r="HG215" s="414"/>
      <c r="HH215" s="414"/>
      <c r="HI215" s="414"/>
      <c r="HJ215" s="414"/>
      <c r="HK215" s="414"/>
      <c r="HL215" s="414"/>
      <c r="HM215" s="414"/>
      <c r="HN215" s="414"/>
      <c r="HO215" s="414"/>
      <c r="HP215" s="414"/>
      <c r="HQ215" s="414"/>
      <c r="HR215" s="414"/>
      <c r="HS215" s="414"/>
      <c r="HT215" s="414"/>
      <c r="HU215" s="414"/>
      <c r="HV215" s="414"/>
      <c r="HW215" s="414"/>
      <c r="HX215" s="414"/>
      <c r="HY215" s="414"/>
      <c r="HZ215" s="414"/>
      <c r="IA215" s="414"/>
      <c r="IB215" s="414"/>
      <c r="IC215" s="414"/>
      <c r="ID215" s="414"/>
      <c r="IE215" s="414"/>
      <c r="IF215" s="414"/>
      <c r="IG215" s="414"/>
      <c r="IH215" s="414"/>
      <c r="II215" s="414"/>
      <c r="IJ215" s="414"/>
      <c r="IK215" s="414"/>
    </row>
    <row r="216" spans="13:245" hidden="1">
      <c r="M216" t="s">
        <v>789</v>
      </c>
      <c r="Q216" s="184" t="str">
        <f t="shared" ref="Q216:Q279" si="10">N216&amp;TEXT(O216,"00")&amp;TEXT(P216,"00")</f>
        <v>0000</v>
      </c>
      <c r="DZ216" t="s">
        <v>745</v>
      </c>
      <c r="ED216" s="184" t="str">
        <f t="shared" ref="ED216:ED279" si="11">EA216&amp;TEXT(EB216,"00")&amp;TEXT(EC216,"00")</f>
        <v>0000</v>
      </c>
    </row>
    <row r="217" spans="13:245" ht="24" hidden="1">
      <c r="M217" s="342" t="s">
        <v>110</v>
      </c>
      <c r="N217" s="342" t="s">
        <v>15</v>
      </c>
      <c r="O217" s="342" t="s">
        <v>17</v>
      </c>
      <c r="P217" s="342" t="s">
        <v>16</v>
      </c>
      <c r="Q217" s="184" t="str">
        <f t="shared" si="10"/>
        <v>商品代號性別年齡</v>
      </c>
      <c r="R217" s="342" t="s">
        <v>634</v>
      </c>
      <c r="S217" s="342" t="s">
        <v>635</v>
      </c>
      <c r="T217" s="342" t="s">
        <v>636</v>
      </c>
      <c r="U217" s="342" t="s">
        <v>637</v>
      </c>
      <c r="V217" s="342" t="s">
        <v>638</v>
      </c>
      <c r="W217" s="342" t="s">
        <v>639</v>
      </c>
      <c r="X217" s="342" t="s">
        <v>640</v>
      </c>
      <c r="Y217" s="342" t="s">
        <v>641</v>
      </c>
      <c r="Z217" s="342" t="s">
        <v>642</v>
      </c>
      <c r="AA217" s="342" t="s">
        <v>643</v>
      </c>
      <c r="AB217" s="342" t="s">
        <v>644</v>
      </c>
      <c r="AC217" s="342" t="s">
        <v>645</v>
      </c>
      <c r="AD217" s="342" t="s">
        <v>646</v>
      </c>
      <c r="AE217" s="342" t="s">
        <v>647</v>
      </c>
      <c r="AF217" s="342" t="s">
        <v>648</v>
      </c>
      <c r="AG217" s="342" t="s">
        <v>649</v>
      </c>
      <c r="AH217" s="342" t="s">
        <v>650</v>
      </c>
      <c r="AI217" s="342" t="s">
        <v>651</v>
      </c>
      <c r="AJ217" s="342" t="s">
        <v>652</v>
      </c>
      <c r="AK217" s="342" t="s">
        <v>653</v>
      </c>
      <c r="AL217" s="342" t="s">
        <v>654</v>
      </c>
      <c r="AM217" s="342" t="s">
        <v>655</v>
      </c>
      <c r="AN217" s="342" t="s">
        <v>656</v>
      </c>
      <c r="AO217" s="342" t="s">
        <v>657</v>
      </c>
      <c r="AP217" s="342" t="s">
        <v>658</v>
      </c>
      <c r="AQ217" s="342" t="s">
        <v>659</v>
      </c>
      <c r="AR217" s="342" t="s">
        <v>660</v>
      </c>
      <c r="AS217" s="342" t="s">
        <v>661</v>
      </c>
      <c r="AT217" s="342" t="s">
        <v>662</v>
      </c>
      <c r="AU217" s="342" t="s">
        <v>663</v>
      </c>
      <c r="AV217" s="342" t="s">
        <v>664</v>
      </c>
      <c r="AW217" s="342" t="s">
        <v>665</v>
      </c>
      <c r="AX217" s="342" t="s">
        <v>666</v>
      </c>
      <c r="AY217" s="342" t="s">
        <v>667</v>
      </c>
      <c r="AZ217" s="342" t="s">
        <v>668</v>
      </c>
      <c r="BA217" s="342" t="s">
        <v>669</v>
      </c>
      <c r="BB217" s="342" t="s">
        <v>670</v>
      </c>
      <c r="BC217" s="342" t="s">
        <v>671</v>
      </c>
      <c r="BD217" s="342" t="s">
        <v>672</v>
      </c>
      <c r="BE217" s="342" t="s">
        <v>673</v>
      </c>
      <c r="BF217" s="342" t="s">
        <v>674</v>
      </c>
      <c r="BG217" s="342" t="s">
        <v>675</v>
      </c>
      <c r="BH217" s="342" t="s">
        <v>676</v>
      </c>
      <c r="BI217" s="342" t="s">
        <v>677</v>
      </c>
      <c r="BJ217" s="342" t="s">
        <v>678</v>
      </c>
      <c r="BK217" s="342" t="s">
        <v>679</v>
      </c>
      <c r="BL217" s="342" t="s">
        <v>680</v>
      </c>
      <c r="BM217" s="342" t="s">
        <v>681</v>
      </c>
      <c r="BN217" s="342" t="s">
        <v>682</v>
      </c>
      <c r="BO217" s="342" t="s">
        <v>683</v>
      </c>
      <c r="BP217" s="342" t="s">
        <v>684</v>
      </c>
      <c r="BQ217" s="342" t="s">
        <v>685</v>
      </c>
      <c r="BR217" s="342" t="s">
        <v>686</v>
      </c>
      <c r="BS217" s="342" t="s">
        <v>687</v>
      </c>
      <c r="BT217" s="342" t="s">
        <v>688</v>
      </c>
      <c r="BU217" s="342" t="s">
        <v>689</v>
      </c>
      <c r="BV217" s="342" t="s">
        <v>690</v>
      </c>
      <c r="BW217" s="342" t="s">
        <v>691</v>
      </c>
      <c r="BX217" s="342" t="s">
        <v>692</v>
      </c>
      <c r="BY217" s="342" t="s">
        <v>693</v>
      </c>
      <c r="BZ217" s="342" t="s">
        <v>694</v>
      </c>
      <c r="CA217" s="342" t="s">
        <v>695</v>
      </c>
      <c r="CB217" s="342" t="s">
        <v>696</v>
      </c>
      <c r="CC217" s="342" t="s">
        <v>697</v>
      </c>
      <c r="CD217" s="342" t="s">
        <v>698</v>
      </c>
      <c r="CE217" s="342" t="s">
        <v>699</v>
      </c>
      <c r="CF217" s="342" t="s">
        <v>700</v>
      </c>
      <c r="CG217" s="342" t="s">
        <v>701</v>
      </c>
      <c r="CH217" s="342" t="s">
        <v>702</v>
      </c>
      <c r="CI217" s="342" t="s">
        <v>703</v>
      </c>
      <c r="CJ217" s="342" t="s">
        <v>704</v>
      </c>
      <c r="CK217" s="342" t="s">
        <v>705</v>
      </c>
      <c r="CL217" s="342" t="s">
        <v>706</v>
      </c>
      <c r="CM217" s="342" t="s">
        <v>707</v>
      </c>
      <c r="CN217" s="342" t="s">
        <v>708</v>
      </c>
      <c r="CO217" s="342" t="s">
        <v>709</v>
      </c>
      <c r="CP217" s="342" t="s">
        <v>710</v>
      </c>
      <c r="CQ217" s="342" t="s">
        <v>711</v>
      </c>
      <c r="CR217" s="342" t="s">
        <v>712</v>
      </c>
      <c r="CS217" s="342" t="s">
        <v>713</v>
      </c>
      <c r="CT217" s="342" t="s">
        <v>714</v>
      </c>
      <c r="CU217" s="342" t="s">
        <v>715</v>
      </c>
      <c r="CV217" s="342" t="s">
        <v>716</v>
      </c>
      <c r="CW217" s="342" t="s">
        <v>717</v>
      </c>
      <c r="CX217" s="342" t="s">
        <v>718</v>
      </c>
      <c r="CY217" s="342" t="s">
        <v>719</v>
      </c>
      <c r="CZ217" s="342" t="s">
        <v>720</v>
      </c>
      <c r="DA217" s="342" t="s">
        <v>721</v>
      </c>
      <c r="DB217" s="342" t="s">
        <v>722</v>
      </c>
      <c r="DC217" s="342" t="s">
        <v>723</v>
      </c>
      <c r="DD217" s="342" t="s">
        <v>724</v>
      </c>
      <c r="DE217" s="342" t="s">
        <v>725</v>
      </c>
      <c r="DF217" s="342" t="s">
        <v>726</v>
      </c>
      <c r="DG217" s="342" t="s">
        <v>727</v>
      </c>
      <c r="DH217" s="342" t="s">
        <v>728</v>
      </c>
      <c r="DI217" s="342" t="s">
        <v>729</v>
      </c>
      <c r="DJ217" s="342" t="s">
        <v>730</v>
      </c>
      <c r="DK217" s="342" t="s">
        <v>731</v>
      </c>
      <c r="DL217" s="342" t="s">
        <v>732</v>
      </c>
      <c r="DM217" s="342" t="s">
        <v>733</v>
      </c>
      <c r="DN217" s="342" t="s">
        <v>734</v>
      </c>
      <c r="DO217" s="342" t="s">
        <v>735</v>
      </c>
      <c r="DP217" s="342" t="s">
        <v>736</v>
      </c>
      <c r="DQ217" s="342" t="s">
        <v>737</v>
      </c>
      <c r="DR217" s="342" t="s">
        <v>738</v>
      </c>
      <c r="DS217" s="342" t="s">
        <v>739</v>
      </c>
      <c r="DT217" s="342" t="s">
        <v>740</v>
      </c>
      <c r="DU217" s="342" t="s">
        <v>741</v>
      </c>
      <c r="DV217" s="342" t="s">
        <v>742</v>
      </c>
      <c r="DW217" s="342" t="s">
        <v>743</v>
      </c>
      <c r="DX217" s="342" t="s">
        <v>744</v>
      </c>
      <c r="DZ217" s="342" t="s">
        <v>110</v>
      </c>
      <c r="EA217" s="342" t="s">
        <v>15</v>
      </c>
      <c r="EB217" s="342" t="s">
        <v>17</v>
      </c>
      <c r="EC217" s="342" t="s">
        <v>16</v>
      </c>
      <c r="ED217" s="184" t="str">
        <f t="shared" si="11"/>
        <v>商品代號性別年齡</v>
      </c>
      <c r="EE217" s="342" t="s">
        <v>634</v>
      </c>
      <c r="EF217" s="342" t="s">
        <v>635</v>
      </c>
      <c r="EG217" s="342" t="s">
        <v>636</v>
      </c>
      <c r="EH217" s="342" t="s">
        <v>637</v>
      </c>
      <c r="EI217" s="342" t="s">
        <v>638</v>
      </c>
      <c r="EJ217" s="342" t="s">
        <v>639</v>
      </c>
      <c r="EK217" s="342" t="s">
        <v>640</v>
      </c>
      <c r="EL217" s="342" t="s">
        <v>641</v>
      </c>
      <c r="EM217" s="342" t="s">
        <v>642</v>
      </c>
      <c r="EN217" s="342" t="s">
        <v>643</v>
      </c>
      <c r="EO217" s="342" t="s">
        <v>644</v>
      </c>
      <c r="EP217" s="342" t="s">
        <v>645</v>
      </c>
      <c r="EQ217" s="342" t="s">
        <v>646</v>
      </c>
      <c r="ER217" s="342" t="s">
        <v>647</v>
      </c>
      <c r="ES217" s="342" t="s">
        <v>648</v>
      </c>
      <c r="ET217" s="342" t="s">
        <v>649</v>
      </c>
      <c r="EU217" s="342" t="s">
        <v>650</v>
      </c>
      <c r="EV217" s="342" t="s">
        <v>651</v>
      </c>
      <c r="EW217" s="342" t="s">
        <v>652</v>
      </c>
      <c r="EX217" s="342" t="s">
        <v>653</v>
      </c>
      <c r="EY217" s="342" t="s">
        <v>654</v>
      </c>
      <c r="EZ217" s="342" t="s">
        <v>655</v>
      </c>
      <c r="FA217" s="342" t="s">
        <v>656</v>
      </c>
      <c r="FB217" s="342" t="s">
        <v>657</v>
      </c>
      <c r="FC217" s="342" t="s">
        <v>658</v>
      </c>
      <c r="FD217" s="342" t="s">
        <v>659</v>
      </c>
      <c r="FE217" s="342" t="s">
        <v>660</v>
      </c>
      <c r="FF217" s="342" t="s">
        <v>661</v>
      </c>
      <c r="FG217" s="342" t="s">
        <v>662</v>
      </c>
      <c r="FH217" s="342" t="s">
        <v>663</v>
      </c>
      <c r="FI217" s="342" t="s">
        <v>664</v>
      </c>
      <c r="FJ217" s="342" t="s">
        <v>665</v>
      </c>
      <c r="FK217" s="342" t="s">
        <v>666</v>
      </c>
      <c r="FL217" s="342" t="s">
        <v>667</v>
      </c>
      <c r="FM217" s="342" t="s">
        <v>668</v>
      </c>
      <c r="FN217" s="342" t="s">
        <v>669</v>
      </c>
      <c r="FO217" s="342" t="s">
        <v>670</v>
      </c>
      <c r="FP217" s="342" t="s">
        <v>671</v>
      </c>
      <c r="FQ217" s="342" t="s">
        <v>672</v>
      </c>
      <c r="FR217" s="342" t="s">
        <v>673</v>
      </c>
      <c r="FS217" s="342" t="s">
        <v>674</v>
      </c>
      <c r="FT217" s="342" t="s">
        <v>675</v>
      </c>
      <c r="FU217" s="342" t="s">
        <v>676</v>
      </c>
      <c r="FV217" s="342" t="s">
        <v>677</v>
      </c>
      <c r="FW217" s="342" t="s">
        <v>678</v>
      </c>
      <c r="FX217" s="342" t="s">
        <v>679</v>
      </c>
      <c r="FY217" s="342" t="s">
        <v>680</v>
      </c>
      <c r="FZ217" s="342" t="s">
        <v>681</v>
      </c>
      <c r="GA217" s="342" t="s">
        <v>682</v>
      </c>
      <c r="GB217" s="342" t="s">
        <v>683</v>
      </c>
      <c r="GC217" s="342" t="s">
        <v>684</v>
      </c>
      <c r="GD217" s="342" t="s">
        <v>685</v>
      </c>
      <c r="GE217" s="342" t="s">
        <v>686</v>
      </c>
      <c r="GF217" s="342" t="s">
        <v>687</v>
      </c>
      <c r="GG217" s="342" t="s">
        <v>688</v>
      </c>
      <c r="GH217" s="342" t="s">
        <v>689</v>
      </c>
      <c r="GI217" s="342" t="s">
        <v>690</v>
      </c>
      <c r="GJ217" s="342" t="s">
        <v>691</v>
      </c>
      <c r="GK217" s="342" t="s">
        <v>692</v>
      </c>
      <c r="GL217" s="342" t="s">
        <v>693</v>
      </c>
      <c r="GM217" s="342" t="s">
        <v>694</v>
      </c>
      <c r="GN217" s="342" t="s">
        <v>695</v>
      </c>
      <c r="GO217" s="342" t="s">
        <v>696</v>
      </c>
      <c r="GP217" s="342" t="s">
        <v>697</v>
      </c>
      <c r="GQ217" s="342" t="s">
        <v>698</v>
      </c>
      <c r="GR217" s="342" t="s">
        <v>699</v>
      </c>
      <c r="GS217" s="342" t="s">
        <v>700</v>
      </c>
      <c r="GT217" s="342" t="s">
        <v>701</v>
      </c>
      <c r="GU217" s="342" t="s">
        <v>702</v>
      </c>
      <c r="GV217" s="342" t="s">
        <v>703</v>
      </c>
      <c r="GW217" s="342" t="s">
        <v>704</v>
      </c>
      <c r="GX217" s="342" t="s">
        <v>705</v>
      </c>
      <c r="GY217" s="342" t="s">
        <v>706</v>
      </c>
      <c r="GZ217" s="342" t="s">
        <v>707</v>
      </c>
      <c r="HA217" s="342" t="s">
        <v>708</v>
      </c>
      <c r="HB217" s="342" t="s">
        <v>709</v>
      </c>
      <c r="HC217" s="342" t="s">
        <v>710</v>
      </c>
      <c r="HD217" s="342" t="s">
        <v>711</v>
      </c>
      <c r="HE217" s="342" t="s">
        <v>712</v>
      </c>
      <c r="HF217" s="342" t="s">
        <v>713</v>
      </c>
      <c r="HG217" s="342" t="s">
        <v>714</v>
      </c>
      <c r="HH217" s="342" t="s">
        <v>715</v>
      </c>
      <c r="HI217" s="342" t="s">
        <v>716</v>
      </c>
      <c r="HJ217" s="342" t="s">
        <v>717</v>
      </c>
      <c r="HK217" s="342" t="s">
        <v>718</v>
      </c>
      <c r="HL217" s="342" t="s">
        <v>719</v>
      </c>
      <c r="HM217" s="342" t="s">
        <v>720</v>
      </c>
      <c r="HN217" s="342" t="s">
        <v>721</v>
      </c>
      <c r="HO217" s="342" t="s">
        <v>722</v>
      </c>
      <c r="HP217" s="342" t="s">
        <v>723</v>
      </c>
      <c r="HQ217" s="342" t="s">
        <v>724</v>
      </c>
      <c r="HR217" s="342" t="s">
        <v>725</v>
      </c>
      <c r="HS217" s="342" t="s">
        <v>726</v>
      </c>
      <c r="HT217" s="342" t="s">
        <v>727</v>
      </c>
      <c r="HU217" s="342" t="s">
        <v>728</v>
      </c>
      <c r="HV217" s="342" t="s">
        <v>729</v>
      </c>
      <c r="HW217" s="342" t="s">
        <v>730</v>
      </c>
      <c r="HX217" s="342" t="s">
        <v>731</v>
      </c>
      <c r="HY217" s="342" t="s">
        <v>732</v>
      </c>
      <c r="HZ217" s="342" t="s">
        <v>733</v>
      </c>
      <c r="IA217" s="342" t="s">
        <v>734</v>
      </c>
      <c r="IB217" s="342" t="s">
        <v>735</v>
      </c>
      <c r="IC217" s="342" t="s">
        <v>736</v>
      </c>
      <c r="ID217" s="342" t="s">
        <v>737</v>
      </c>
      <c r="IE217" s="342" t="s">
        <v>738</v>
      </c>
      <c r="IF217" s="342" t="s">
        <v>739</v>
      </c>
      <c r="IG217" s="342" t="s">
        <v>740</v>
      </c>
      <c r="IH217" s="342" t="s">
        <v>741</v>
      </c>
      <c r="II217" s="342" t="s">
        <v>742</v>
      </c>
      <c r="IJ217" s="342" t="s">
        <v>743</v>
      </c>
      <c r="IK217" s="342" t="s">
        <v>744</v>
      </c>
    </row>
    <row r="218" spans="13:245" hidden="1">
      <c r="M218" s="343" t="s">
        <v>633</v>
      </c>
      <c r="N218" t="s">
        <v>1010</v>
      </c>
      <c r="O218">
        <v>1</v>
      </c>
      <c r="P218" s="431">
        <v>0</v>
      </c>
      <c r="Q218" s="184" t="str">
        <f t="shared" si="10"/>
        <v>SDJ200100</v>
      </c>
      <c r="R218">
        <v>253.3</v>
      </c>
      <c r="S218">
        <v>2000</v>
      </c>
      <c r="T218">
        <v>2000</v>
      </c>
      <c r="U218">
        <v>2000</v>
      </c>
      <c r="V218">
        <v>2000</v>
      </c>
      <c r="W218">
        <v>2000</v>
      </c>
      <c r="X218">
        <v>2000</v>
      </c>
      <c r="Y218">
        <v>2026.7</v>
      </c>
      <c r="Z218">
        <v>2280.1</v>
      </c>
      <c r="AA218">
        <v>2533.4</v>
      </c>
      <c r="AB218">
        <v>2786.7</v>
      </c>
      <c r="AC218">
        <v>3040.1</v>
      </c>
      <c r="AD218">
        <v>3293.4</v>
      </c>
      <c r="AE218">
        <v>3546.8</v>
      </c>
      <c r="AF218">
        <v>3800.1</v>
      </c>
      <c r="AG218">
        <v>4053.4</v>
      </c>
      <c r="AH218">
        <v>4306.8</v>
      </c>
      <c r="AI218">
        <v>4560.1000000000004</v>
      </c>
      <c r="AJ218">
        <v>4813.5</v>
      </c>
      <c r="AK218">
        <v>5066.8</v>
      </c>
      <c r="AL218">
        <v>5066.8</v>
      </c>
      <c r="AM218">
        <v>5066.8</v>
      </c>
      <c r="AN218">
        <v>5066.8</v>
      </c>
      <c r="AO218">
        <v>5066.8</v>
      </c>
      <c r="AP218">
        <v>5066.8</v>
      </c>
      <c r="AQ218">
        <v>5066.8</v>
      </c>
      <c r="AR218">
        <v>5066.8</v>
      </c>
      <c r="AS218">
        <v>5066.8</v>
      </c>
      <c r="AT218">
        <v>5066.8</v>
      </c>
      <c r="AU218">
        <v>5066.8</v>
      </c>
      <c r="AV218">
        <v>5066.8</v>
      </c>
      <c r="AW218">
        <v>5066.8</v>
      </c>
      <c r="AX218">
        <v>5066.8</v>
      </c>
      <c r="AY218">
        <v>5066.8</v>
      </c>
      <c r="AZ218">
        <v>5066.8</v>
      </c>
      <c r="BA218">
        <v>5066.8</v>
      </c>
      <c r="BB218">
        <v>5066.8</v>
      </c>
      <c r="BC218">
        <v>5066.8</v>
      </c>
      <c r="BD218">
        <v>5066.8</v>
      </c>
      <c r="BE218">
        <v>5066.8</v>
      </c>
      <c r="BF218">
        <v>5066.8</v>
      </c>
      <c r="BG218">
        <v>5066.8</v>
      </c>
      <c r="BH218">
        <v>5066.8</v>
      </c>
      <c r="BI218">
        <v>5066.8</v>
      </c>
      <c r="BJ218">
        <v>5066.8</v>
      </c>
      <c r="BK218">
        <v>5066.8</v>
      </c>
      <c r="BL218">
        <v>5066.8</v>
      </c>
      <c r="BM218">
        <v>5066.8</v>
      </c>
      <c r="BN218">
        <v>5066.8</v>
      </c>
      <c r="BO218">
        <v>5066.8</v>
      </c>
      <c r="BP218">
        <v>5066.8</v>
      </c>
      <c r="BQ218">
        <v>5066.8</v>
      </c>
      <c r="BR218">
        <v>5066.8</v>
      </c>
      <c r="BS218">
        <v>5066.8</v>
      </c>
      <c r="BT218">
        <v>5066.8</v>
      </c>
      <c r="BU218">
        <v>5066.8</v>
      </c>
      <c r="BV218">
        <v>5066.8</v>
      </c>
      <c r="BW218">
        <v>5066.8</v>
      </c>
      <c r="BX218">
        <v>5066.8</v>
      </c>
      <c r="BY218">
        <v>5066.8</v>
      </c>
      <c r="BZ218">
        <v>5066.8</v>
      </c>
      <c r="CA218">
        <v>5066.8</v>
      </c>
      <c r="CB218">
        <v>5066.8</v>
      </c>
      <c r="CC218">
        <v>5066.8</v>
      </c>
      <c r="CD218">
        <v>5066.8</v>
      </c>
      <c r="CE218">
        <v>5066.8</v>
      </c>
      <c r="CF218">
        <v>5066.8</v>
      </c>
      <c r="CG218">
        <v>5066.8</v>
      </c>
      <c r="CH218">
        <v>5066.8</v>
      </c>
      <c r="CI218">
        <v>5066.8</v>
      </c>
      <c r="CJ218">
        <v>5066.8</v>
      </c>
      <c r="CK218">
        <v>5066.8</v>
      </c>
      <c r="CL218">
        <v>5066.8</v>
      </c>
      <c r="CM218">
        <v>5066.8</v>
      </c>
      <c r="CN218">
        <v>5066.8</v>
      </c>
      <c r="CO218">
        <v>5066.8</v>
      </c>
      <c r="CP218">
        <v>5066.8</v>
      </c>
      <c r="CQ218">
        <v>5066.8</v>
      </c>
      <c r="CR218">
        <v>5066.8</v>
      </c>
      <c r="CS218">
        <v>5066.8</v>
      </c>
      <c r="CT218">
        <v>5066.8</v>
      </c>
      <c r="CU218">
        <v>5066.8</v>
      </c>
      <c r="CV218">
        <v>5066.8</v>
      </c>
      <c r="CW218">
        <v>5066.8</v>
      </c>
      <c r="CX218">
        <v>5066.8</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Z218" s="343" t="s">
        <v>633</v>
      </c>
      <c r="EA218" t="s">
        <v>1010</v>
      </c>
      <c r="EB218">
        <v>1</v>
      </c>
      <c r="EC218" s="431">
        <v>0</v>
      </c>
      <c r="ED218" s="184" t="str">
        <f t="shared" si="11"/>
        <v>SDJ200100</v>
      </c>
      <c r="EE218">
        <v>253.3</v>
      </c>
      <c r="EF218">
        <v>10000</v>
      </c>
      <c r="EG218">
        <v>10000</v>
      </c>
      <c r="EH218">
        <v>10000</v>
      </c>
      <c r="EI218">
        <v>10000</v>
      </c>
      <c r="EJ218">
        <v>10000</v>
      </c>
      <c r="EK218">
        <v>10000</v>
      </c>
      <c r="EL218">
        <v>10000</v>
      </c>
      <c r="EM218">
        <v>10000</v>
      </c>
      <c r="EN218">
        <v>10000</v>
      </c>
      <c r="EO218">
        <v>10000</v>
      </c>
      <c r="EP218">
        <v>10000</v>
      </c>
      <c r="EQ218">
        <v>10000</v>
      </c>
      <c r="ER218">
        <v>10000</v>
      </c>
      <c r="ES218">
        <v>10000</v>
      </c>
      <c r="ET218">
        <v>10000</v>
      </c>
      <c r="EU218">
        <v>10000</v>
      </c>
      <c r="EV218">
        <v>10000</v>
      </c>
      <c r="EW218">
        <v>10000</v>
      </c>
      <c r="EX218">
        <v>10000</v>
      </c>
      <c r="EY218">
        <v>10000</v>
      </c>
      <c r="EZ218">
        <v>10000</v>
      </c>
      <c r="FA218">
        <v>10000</v>
      </c>
      <c r="FB218">
        <v>10000</v>
      </c>
      <c r="FC218">
        <v>10000</v>
      </c>
      <c r="FD218">
        <v>10000</v>
      </c>
      <c r="FE218">
        <v>10000</v>
      </c>
      <c r="FF218">
        <v>10000</v>
      </c>
      <c r="FG218">
        <v>10000</v>
      </c>
      <c r="FH218">
        <v>10000</v>
      </c>
      <c r="FI218">
        <v>10000</v>
      </c>
      <c r="FJ218">
        <v>10000</v>
      </c>
      <c r="FK218">
        <v>10000</v>
      </c>
      <c r="FL218">
        <v>10000</v>
      </c>
      <c r="FM218">
        <v>10000</v>
      </c>
      <c r="FN218">
        <v>10000</v>
      </c>
      <c r="FO218">
        <v>10000</v>
      </c>
      <c r="FP218">
        <v>10000</v>
      </c>
      <c r="FQ218">
        <v>10000</v>
      </c>
      <c r="FR218">
        <v>10000</v>
      </c>
      <c r="FS218">
        <v>10000</v>
      </c>
      <c r="FT218">
        <v>10000</v>
      </c>
      <c r="FU218">
        <v>10000</v>
      </c>
      <c r="FV218">
        <v>10000</v>
      </c>
      <c r="FW218">
        <v>10000</v>
      </c>
      <c r="FX218">
        <v>10000</v>
      </c>
      <c r="FY218">
        <v>10000</v>
      </c>
      <c r="FZ218">
        <v>10000</v>
      </c>
      <c r="GA218">
        <v>10000</v>
      </c>
      <c r="GB218">
        <v>10000</v>
      </c>
      <c r="GC218">
        <v>10000</v>
      </c>
      <c r="GD218">
        <v>10000</v>
      </c>
      <c r="GE218">
        <v>10000</v>
      </c>
      <c r="GF218">
        <v>10000</v>
      </c>
      <c r="GG218">
        <v>10000</v>
      </c>
      <c r="GH218">
        <v>10000</v>
      </c>
      <c r="GI218">
        <v>10000</v>
      </c>
      <c r="GJ218">
        <v>10000</v>
      </c>
      <c r="GK218">
        <v>10000</v>
      </c>
      <c r="GL218">
        <v>10000</v>
      </c>
      <c r="GM218">
        <v>10000</v>
      </c>
      <c r="GN218">
        <v>10000</v>
      </c>
      <c r="GO218">
        <v>10000</v>
      </c>
      <c r="GP218">
        <v>10000</v>
      </c>
      <c r="GQ218">
        <v>10000</v>
      </c>
      <c r="GR218">
        <v>10000</v>
      </c>
      <c r="GS218">
        <v>10000</v>
      </c>
      <c r="GT218">
        <v>10000</v>
      </c>
      <c r="GU218">
        <v>10000</v>
      </c>
      <c r="GV218">
        <v>10000</v>
      </c>
      <c r="GW218">
        <v>10000</v>
      </c>
      <c r="GX218">
        <v>10000</v>
      </c>
      <c r="GY218">
        <v>10000</v>
      </c>
      <c r="GZ218">
        <v>10000</v>
      </c>
      <c r="HA218">
        <v>10000</v>
      </c>
      <c r="HB218">
        <v>10000</v>
      </c>
      <c r="HC218">
        <v>10000</v>
      </c>
      <c r="HD218">
        <v>10000</v>
      </c>
      <c r="HE218">
        <v>10000</v>
      </c>
      <c r="HF218">
        <v>10000</v>
      </c>
      <c r="HG218">
        <v>10000</v>
      </c>
      <c r="HH218">
        <v>10000</v>
      </c>
      <c r="HI218">
        <v>10000</v>
      </c>
      <c r="HJ218">
        <v>10000</v>
      </c>
      <c r="HK218">
        <v>10000</v>
      </c>
      <c r="HL218">
        <v>0</v>
      </c>
      <c r="HM218">
        <v>0</v>
      </c>
      <c r="HN218">
        <v>0</v>
      </c>
      <c r="HO218">
        <v>0</v>
      </c>
      <c r="HP218">
        <v>0</v>
      </c>
      <c r="HQ218">
        <v>0</v>
      </c>
      <c r="HR218">
        <v>0</v>
      </c>
      <c r="HS218">
        <v>0</v>
      </c>
      <c r="HT218">
        <v>0</v>
      </c>
      <c r="HU218">
        <v>0</v>
      </c>
      <c r="HV218">
        <v>0</v>
      </c>
      <c r="HW218">
        <v>0</v>
      </c>
      <c r="HX218">
        <v>0</v>
      </c>
      <c r="HY218">
        <v>0</v>
      </c>
      <c r="HZ218">
        <v>0</v>
      </c>
      <c r="IA218">
        <v>0</v>
      </c>
      <c r="IB218">
        <v>0</v>
      </c>
      <c r="IC218">
        <v>0</v>
      </c>
      <c r="ID218">
        <v>0</v>
      </c>
      <c r="IE218">
        <v>0</v>
      </c>
      <c r="IF218">
        <v>0</v>
      </c>
      <c r="IG218">
        <v>0</v>
      </c>
      <c r="IH218">
        <v>0</v>
      </c>
      <c r="II218">
        <v>0</v>
      </c>
      <c r="IJ218">
        <v>0</v>
      </c>
      <c r="IK218">
        <v>0</v>
      </c>
    </row>
    <row r="219" spans="13:245" hidden="1">
      <c r="M219" s="343" t="s">
        <v>633</v>
      </c>
      <c r="N219" t="s">
        <v>1010</v>
      </c>
      <c r="O219">
        <v>1</v>
      </c>
      <c r="P219">
        <v>1</v>
      </c>
      <c r="Q219" s="184" t="str">
        <f t="shared" si="10"/>
        <v>SDJ200101</v>
      </c>
      <c r="R219">
        <v>257.60000000000002</v>
      </c>
      <c r="S219">
        <v>2000</v>
      </c>
      <c r="T219">
        <v>2000</v>
      </c>
      <c r="U219">
        <v>2000</v>
      </c>
      <c r="V219">
        <v>2000</v>
      </c>
      <c r="W219">
        <v>2000</v>
      </c>
      <c r="X219">
        <v>2000</v>
      </c>
      <c r="Y219">
        <v>2060.6</v>
      </c>
      <c r="Z219">
        <v>2318.1999999999998</v>
      </c>
      <c r="AA219">
        <v>2575.8000000000002</v>
      </c>
      <c r="AB219">
        <v>2833.4</v>
      </c>
      <c r="AC219">
        <v>3091</v>
      </c>
      <c r="AD219">
        <v>3348.5</v>
      </c>
      <c r="AE219">
        <v>3606.1</v>
      </c>
      <c r="AF219">
        <v>3863.7</v>
      </c>
      <c r="AG219">
        <v>4121.3</v>
      </c>
      <c r="AH219">
        <v>4378.8999999999996</v>
      </c>
      <c r="AI219">
        <v>4636.3999999999996</v>
      </c>
      <c r="AJ219">
        <v>4894</v>
      </c>
      <c r="AK219">
        <v>5151.6000000000004</v>
      </c>
      <c r="AL219">
        <v>5151.6000000000004</v>
      </c>
      <c r="AM219">
        <v>5151.6000000000004</v>
      </c>
      <c r="AN219">
        <v>5151.6000000000004</v>
      </c>
      <c r="AO219">
        <v>5151.6000000000004</v>
      </c>
      <c r="AP219">
        <v>5151.6000000000004</v>
      </c>
      <c r="AQ219">
        <v>5151.6000000000004</v>
      </c>
      <c r="AR219">
        <v>5151.6000000000004</v>
      </c>
      <c r="AS219">
        <v>5151.6000000000004</v>
      </c>
      <c r="AT219">
        <v>5151.6000000000004</v>
      </c>
      <c r="AU219">
        <v>5151.6000000000004</v>
      </c>
      <c r="AV219">
        <v>5151.6000000000004</v>
      </c>
      <c r="AW219">
        <v>5151.6000000000004</v>
      </c>
      <c r="AX219">
        <v>5151.6000000000004</v>
      </c>
      <c r="AY219">
        <v>5151.6000000000004</v>
      </c>
      <c r="AZ219">
        <v>5151.6000000000004</v>
      </c>
      <c r="BA219">
        <v>5151.6000000000004</v>
      </c>
      <c r="BB219">
        <v>5151.6000000000004</v>
      </c>
      <c r="BC219">
        <v>5151.6000000000004</v>
      </c>
      <c r="BD219">
        <v>5151.6000000000004</v>
      </c>
      <c r="BE219">
        <v>5151.6000000000004</v>
      </c>
      <c r="BF219">
        <v>5151.6000000000004</v>
      </c>
      <c r="BG219">
        <v>5151.6000000000004</v>
      </c>
      <c r="BH219">
        <v>5151.6000000000004</v>
      </c>
      <c r="BI219">
        <v>5151.6000000000004</v>
      </c>
      <c r="BJ219">
        <v>5151.6000000000004</v>
      </c>
      <c r="BK219">
        <v>5151.6000000000004</v>
      </c>
      <c r="BL219">
        <v>5151.6000000000004</v>
      </c>
      <c r="BM219">
        <v>5151.6000000000004</v>
      </c>
      <c r="BN219">
        <v>5151.6000000000004</v>
      </c>
      <c r="BO219">
        <v>5151.6000000000004</v>
      </c>
      <c r="BP219">
        <v>5151.6000000000004</v>
      </c>
      <c r="BQ219">
        <v>5151.6000000000004</v>
      </c>
      <c r="BR219">
        <v>5151.6000000000004</v>
      </c>
      <c r="BS219">
        <v>5151.6000000000004</v>
      </c>
      <c r="BT219">
        <v>5151.6000000000004</v>
      </c>
      <c r="BU219">
        <v>5151.6000000000004</v>
      </c>
      <c r="BV219">
        <v>5151.6000000000004</v>
      </c>
      <c r="BW219">
        <v>5151.6000000000004</v>
      </c>
      <c r="BX219">
        <v>5151.6000000000004</v>
      </c>
      <c r="BY219">
        <v>5151.6000000000004</v>
      </c>
      <c r="BZ219">
        <v>5151.6000000000004</v>
      </c>
      <c r="CA219">
        <v>5151.6000000000004</v>
      </c>
      <c r="CB219">
        <v>5151.6000000000004</v>
      </c>
      <c r="CC219">
        <v>5151.6000000000004</v>
      </c>
      <c r="CD219">
        <v>5151.6000000000004</v>
      </c>
      <c r="CE219">
        <v>5151.6000000000004</v>
      </c>
      <c r="CF219">
        <v>5151.6000000000004</v>
      </c>
      <c r="CG219">
        <v>5151.6000000000004</v>
      </c>
      <c r="CH219">
        <v>5151.6000000000004</v>
      </c>
      <c r="CI219">
        <v>5151.6000000000004</v>
      </c>
      <c r="CJ219">
        <v>5151.6000000000004</v>
      </c>
      <c r="CK219">
        <v>5151.6000000000004</v>
      </c>
      <c r="CL219">
        <v>5151.6000000000004</v>
      </c>
      <c r="CM219">
        <v>5151.6000000000004</v>
      </c>
      <c r="CN219">
        <v>5151.6000000000004</v>
      </c>
      <c r="CO219">
        <v>5151.6000000000004</v>
      </c>
      <c r="CP219">
        <v>5151.6000000000004</v>
      </c>
      <c r="CQ219">
        <v>5151.6000000000004</v>
      </c>
      <c r="CR219">
        <v>5151.6000000000004</v>
      </c>
      <c r="CS219">
        <v>5151.6000000000004</v>
      </c>
      <c r="CT219">
        <v>5151.6000000000004</v>
      </c>
      <c r="CU219">
        <v>5151.6000000000004</v>
      </c>
      <c r="CV219">
        <v>5151.6000000000004</v>
      </c>
      <c r="CW219">
        <v>5151.6000000000004</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Z219" s="343" t="s">
        <v>633</v>
      </c>
      <c r="EA219" t="s">
        <v>1010</v>
      </c>
      <c r="EB219">
        <v>1</v>
      </c>
      <c r="EC219">
        <v>1</v>
      </c>
      <c r="ED219" s="184" t="str">
        <f t="shared" si="11"/>
        <v>SDJ200101</v>
      </c>
      <c r="EE219">
        <v>257.60000000000002</v>
      </c>
      <c r="EF219">
        <v>10000</v>
      </c>
      <c r="EG219">
        <v>10000</v>
      </c>
      <c r="EH219">
        <v>10000</v>
      </c>
      <c r="EI219">
        <v>10000</v>
      </c>
      <c r="EJ219">
        <v>10000</v>
      </c>
      <c r="EK219">
        <v>10000</v>
      </c>
      <c r="EL219">
        <v>10000</v>
      </c>
      <c r="EM219">
        <v>10000</v>
      </c>
      <c r="EN219">
        <v>10000</v>
      </c>
      <c r="EO219">
        <v>10000</v>
      </c>
      <c r="EP219">
        <v>10000</v>
      </c>
      <c r="EQ219">
        <v>10000</v>
      </c>
      <c r="ER219">
        <v>10000</v>
      </c>
      <c r="ES219">
        <v>10000</v>
      </c>
      <c r="ET219">
        <v>10000</v>
      </c>
      <c r="EU219">
        <v>10000</v>
      </c>
      <c r="EV219">
        <v>10000</v>
      </c>
      <c r="EW219">
        <v>10000</v>
      </c>
      <c r="EX219">
        <v>10000</v>
      </c>
      <c r="EY219">
        <v>10000</v>
      </c>
      <c r="EZ219">
        <v>10000</v>
      </c>
      <c r="FA219">
        <v>10000</v>
      </c>
      <c r="FB219">
        <v>10000</v>
      </c>
      <c r="FC219">
        <v>10000</v>
      </c>
      <c r="FD219">
        <v>10000</v>
      </c>
      <c r="FE219">
        <v>10000</v>
      </c>
      <c r="FF219">
        <v>10000</v>
      </c>
      <c r="FG219">
        <v>10000</v>
      </c>
      <c r="FH219">
        <v>10000</v>
      </c>
      <c r="FI219">
        <v>10000</v>
      </c>
      <c r="FJ219">
        <v>10000</v>
      </c>
      <c r="FK219">
        <v>10000</v>
      </c>
      <c r="FL219">
        <v>10000</v>
      </c>
      <c r="FM219">
        <v>10000</v>
      </c>
      <c r="FN219">
        <v>10000</v>
      </c>
      <c r="FO219">
        <v>10000</v>
      </c>
      <c r="FP219">
        <v>10000</v>
      </c>
      <c r="FQ219">
        <v>10000</v>
      </c>
      <c r="FR219">
        <v>10000</v>
      </c>
      <c r="FS219">
        <v>10000</v>
      </c>
      <c r="FT219">
        <v>10000</v>
      </c>
      <c r="FU219">
        <v>10000</v>
      </c>
      <c r="FV219">
        <v>10000</v>
      </c>
      <c r="FW219">
        <v>10000</v>
      </c>
      <c r="FX219">
        <v>10000</v>
      </c>
      <c r="FY219">
        <v>10000</v>
      </c>
      <c r="FZ219">
        <v>10000</v>
      </c>
      <c r="GA219">
        <v>10000</v>
      </c>
      <c r="GB219">
        <v>10000</v>
      </c>
      <c r="GC219">
        <v>10000</v>
      </c>
      <c r="GD219">
        <v>10000</v>
      </c>
      <c r="GE219">
        <v>10000</v>
      </c>
      <c r="GF219">
        <v>10000</v>
      </c>
      <c r="GG219">
        <v>10000</v>
      </c>
      <c r="GH219">
        <v>10000</v>
      </c>
      <c r="GI219">
        <v>10000</v>
      </c>
      <c r="GJ219">
        <v>10000</v>
      </c>
      <c r="GK219">
        <v>10000</v>
      </c>
      <c r="GL219">
        <v>10000</v>
      </c>
      <c r="GM219">
        <v>10000</v>
      </c>
      <c r="GN219">
        <v>10000</v>
      </c>
      <c r="GO219">
        <v>10000</v>
      </c>
      <c r="GP219">
        <v>10000</v>
      </c>
      <c r="GQ219">
        <v>10000</v>
      </c>
      <c r="GR219">
        <v>10000</v>
      </c>
      <c r="GS219">
        <v>10000</v>
      </c>
      <c r="GT219">
        <v>10000</v>
      </c>
      <c r="GU219">
        <v>10000</v>
      </c>
      <c r="GV219">
        <v>10000</v>
      </c>
      <c r="GW219">
        <v>10000</v>
      </c>
      <c r="GX219">
        <v>10000</v>
      </c>
      <c r="GY219">
        <v>10000</v>
      </c>
      <c r="GZ219">
        <v>10000</v>
      </c>
      <c r="HA219">
        <v>10000</v>
      </c>
      <c r="HB219">
        <v>10000</v>
      </c>
      <c r="HC219">
        <v>10000</v>
      </c>
      <c r="HD219">
        <v>10000</v>
      </c>
      <c r="HE219">
        <v>10000</v>
      </c>
      <c r="HF219">
        <v>10000</v>
      </c>
      <c r="HG219">
        <v>10000</v>
      </c>
      <c r="HH219">
        <v>10000</v>
      </c>
      <c r="HI219">
        <v>10000</v>
      </c>
      <c r="HJ219">
        <v>10000</v>
      </c>
      <c r="HK219">
        <v>0</v>
      </c>
      <c r="HL219">
        <v>0</v>
      </c>
      <c r="HM219">
        <v>0</v>
      </c>
      <c r="HN219">
        <v>0</v>
      </c>
      <c r="HO219">
        <v>0</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row>
    <row r="220" spans="13:245" hidden="1">
      <c r="M220" s="343" t="s">
        <v>633</v>
      </c>
      <c r="N220" t="s">
        <v>1010</v>
      </c>
      <c r="O220">
        <v>1</v>
      </c>
      <c r="P220">
        <v>2</v>
      </c>
      <c r="Q220" s="184" t="str">
        <f t="shared" si="10"/>
        <v>SDJ200102</v>
      </c>
      <c r="R220">
        <v>261.8</v>
      </c>
      <c r="S220">
        <v>2000</v>
      </c>
      <c r="T220">
        <v>2000</v>
      </c>
      <c r="U220">
        <v>2000</v>
      </c>
      <c r="V220">
        <v>2000</v>
      </c>
      <c r="W220">
        <v>2000</v>
      </c>
      <c r="X220">
        <v>2000</v>
      </c>
      <c r="Y220">
        <v>2094.6</v>
      </c>
      <c r="Z220">
        <v>2356.4</v>
      </c>
      <c r="AA220">
        <v>2618.1999999999998</v>
      </c>
      <c r="AB220">
        <v>2880</v>
      </c>
      <c r="AC220">
        <v>3141.8</v>
      </c>
      <c r="AD220">
        <v>3403.7</v>
      </c>
      <c r="AE220">
        <v>3665.5</v>
      </c>
      <c r="AF220">
        <v>3927.3</v>
      </c>
      <c r="AG220">
        <v>4189.1000000000004</v>
      </c>
      <c r="AH220">
        <v>4450.8999999999996</v>
      </c>
      <c r="AI220">
        <v>4712.8</v>
      </c>
      <c r="AJ220">
        <v>4974.6000000000004</v>
      </c>
      <c r="AK220">
        <v>5236.3999999999996</v>
      </c>
      <c r="AL220">
        <v>5236.3999999999996</v>
      </c>
      <c r="AM220">
        <v>5236.3999999999996</v>
      </c>
      <c r="AN220">
        <v>5236.3999999999996</v>
      </c>
      <c r="AO220">
        <v>5236.3999999999996</v>
      </c>
      <c r="AP220">
        <v>5236.3999999999996</v>
      </c>
      <c r="AQ220">
        <v>5236.3999999999996</v>
      </c>
      <c r="AR220">
        <v>5236.3999999999996</v>
      </c>
      <c r="AS220">
        <v>5236.3999999999996</v>
      </c>
      <c r="AT220">
        <v>5236.3999999999996</v>
      </c>
      <c r="AU220">
        <v>5236.3999999999996</v>
      </c>
      <c r="AV220">
        <v>5236.3999999999996</v>
      </c>
      <c r="AW220">
        <v>5236.3999999999996</v>
      </c>
      <c r="AX220">
        <v>5236.3999999999996</v>
      </c>
      <c r="AY220">
        <v>5236.3999999999996</v>
      </c>
      <c r="AZ220">
        <v>5236.3999999999996</v>
      </c>
      <c r="BA220">
        <v>5236.3999999999996</v>
      </c>
      <c r="BB220">
        <v>5236.3999999999996</v>
      </c>
      <c r="BC220">
        <v>5236.3999999999996</v>
      </c>
      <c r="BD220">
        <v>5236.3999999999996</v>
      </c>
      <c r="BE220">
        <v>5236.3999999999996</v>
      </c>
      <c r="BF220">
        <v>5236.3999999999996</v>
      </c>
      <c r="BG220">
        <v>5236.3999999999996</v>
      </c>
      <c r="BH220">
        <v>5236.3999999999996</v>
      </c>
      <c r="BI220">
        <v>5236.3999999999996</v>
      </c>
      <c r="BJ220">
        <v>5236.3999999999996</v>
      </c>
      <c r="BK220">
        <v>5236.3999999999996</v>
      </c>
      <c r="BL220">
        <v>5236.3999999999996</v>
      </c>
      <c r="BM220">
        <v>5236.3999999999996</v>
      </c>
      <c r="BN220">
        <v>5236.3999999999996</v>
      </c>
      <c r="BO220">
        <v>5236.3999999999996</v>
      </c>
      <c r="BP220">
        <v>5236.3999999999996</v>
      </c>
      <c r="BQ220">
        <v>5236.3999999999996</v>
      </c>
      <c r="BR220">
        <v>5236.3999999999996</v>
      </c>
      <c r="BS220">
        <v>5236.3999999999996</v>
      </c>
      <c r="BT220">
        <v>5236.3999999999996</v>
      </c>
      <c r="BU220">
        <v>5236.3999999999996</v>
      </c>
      <c r="BV220">
        <v>5236.3999999999996</v>
      </c>
      <c r="BW220">
        <v>5236.3999999999996</v>
      </c>
      <c r="BX220">
        <v>5236.3999999999996</v>
      </c>
      <c r="BY220">
        <v>5236.3999999999996</v>
      </c>
      <c r="BZ220">
        <v>5236.3999999999996</v>
      </c>
      <c r="CA220">
        <v>5236.3999999999996</v>
      </c>
      <c r="CB220">
        <v>5236.3999999999996</v>
      </c>
      <c r="CC220">
        <v>5236.3999999999996</v>
      </c>
      <c r="CD220">
        <v>5236.3999999999996</v>
      </c>
      <c r="CE220">
        <v>5236.3999999999996</v>
      </c>
      <c r="CF220">
        <v>5236.3999999999996</v>
      </c>
      <c r="CG220">
        <v>5236.3999999999996</v>
      </c>
      <c r="CH220">
        <v>5236.3999999999996</v>
      </c>
      <c r="CI220">
        <v>5236.3999999999996</v>
      </c>
      <c r="CJ220">
        <v>5236.3999999999996</v>
      </c>
      <c r="CK220">
        <v>5236.3999999999996</v>
      </c>
      <c r="CL220">
        <v>5236.3999999999996</v>
      </c>
      <c r="CM220">
        <v>5236.3999999999996</v>
      </c>
      <c r="CN220">
        <v>5236.3999999999996</v>
      </c>
      <c r="CO220">
        <v>5236.3999999999996</v>
      </c>
      <c r="CP220">
        <v>5236.3999999999996</v>
      </c>
      <c r="CQ220">
        <v>5236.3999999999996</v>
      </c>
      <c r="CR220">
        <v>5236.3999999999996</v>
      </c>
      <c r="CS220">
        <v>5236.3999999999996</v>
      </c>
      <c r="CT220">
        <v>5236.3999999999996</v>
      </c>
      <c r="CU220">
        <v>5236.3999999999996</v>
      </c>
      <c r="CV220">
        <v>5236.3999999999996</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Z220" s="343" t="s">
        <v>633</v>
      </c>
      <c r="EA220" t="s">
        <v>1010</v>
      </c>
      <c r="EB220">
        <v>1</v>
      </c>
      <c r="EC220">
        <v>2</v>
      </c>
      <c r="ED220" s="184" t="str">
        <f t="shared" si="11"/>
        <v>SDJ200102</v>
      </c>
      <c r="EE220">
        <v>261.8</v>
      </c>
      <c r="EF220">
        <v>10000</v>
      </c>
      <c r="EG220">
        <v>10000</v>
      </c>
      <c r="EH220">
        <v>10000</v>
      </c>
      <c r="EI220">
        <v>10000</v>
      </c>
      <c r="EJ220">
        <v>10000</v>
      </c>
      <c r="EK220">
        <v>10000</v>
      </c>
      <c r="EL220">
        <v>10000</v>
      </c>
      <c r="EM220">
        <v>10000</v>
      </c>
      <c r="EN220">
        <v>10000</v>
      </c>
      <c r="EO220">
        <v>10000</v>
      </c>
      <c r="EP220">
        <v>10000</v>
      </c>
      <c r="EQ220">
        <v>10000</v>
      </c>
      <c r="ER220">
        <v>10000</v>
      </c>
      <c r="ES220">
        <v>10000</v>
      </c>
      <c r="ET220">
        <v>10000</v>
      </c>
      <c r="EU220">
        <v>10000</v>
      </c>
      <c r="EV220">
        <v>10000</v>
      </c>
      <c r="EW220">
        <v>10000</v>
      </c>
      <c r="EX220">
        <v>10000</v>
      </c>
      <c r="EY220">
        <v>10000</v>
      </c>
      <c r="EZ220">
        <v>10000</v>
      </c>
      <c r="FA220">
        <v>10000</v>
      </c>
      <c r="FB220">
        <v>10000</v>
      </c>
      <c r="FC220">
        <v>10000</v>
      </c>
      <c r="FD220">
        <v>10000</v>
      </c>
      <c r="FE220">
        <v>10000</v>
      </c>
      <c r="FF220">
        <v>10000</v>
      </c>
      <c r="FG220">
        <v>10000</v>
      </c>
      <c r="FH220">
        <v>10000</v>
      </c>
      <c r="FI220">
        <v>10000</v>
      </c>
      <c r="FJ220">
        <v>10000</v>
      </c>
      <c r="FK220">
        <v>10000</v>
      </c>
      <c r="FL220">
        <v>10000</v>
      </c>
      <c r="FM220">
        <v>10000</v>
      </c>
      <c r="FN220">
        <v>10000</v>
      </c>
      <c r="FO220">
        <v>10000</v>
      </c>
      <c r="FP220">
        <v>10000</v>
      </c>
      <c r="FQ220">
        <v>10000</v>
      </c>
      <c r="FR220">
        <v>10000</v>
      </c>
      <c r="FS220">
        <v>10000</v>
      </c>
      <c r="FT220">
        <v>10000</v>
      </c>
      <c r="FU220">
        <v>10000</v>
      </c>
      <c r="FV220">
        <v>10000</v>
      </c>
      <c r="FW220">
        <v>10000</v>
      </c>
      <c r="FX220">
        <v>10000</v>
      </c>
      <c r="FY220">
        <v>10000</v>
      </c>
      <c r="FZ220">
        <v>10000</v>
      </c>
      <c r="GA220">
        <v>10000</v>
      </c>
      <c r="GB220">
        <v>10000</v>
      </c>
      <c r="GC220">
        <v>10000</v>
      </c>
      <c r="GD220">
        <v>10000</v>
      </c>
      <c r="GE220">
        <v>10000</v>
      </c>
      <c r="GF220">
        <v>10000</v>
      </c>
      <c r="GG220">
        <v>10000</v>
      </c>
      <c r="GH220">
        <v>10000</v>
      </c>
      <c r="GI220">
        <v>10000</v>
      </c>
      <c r="GJ220">
        <v>10000</v>
      </c>
      <c r="GK220">
        <v>10000</v>
      </c>
      <c r="GL220">
        <v>10000</v>
      </c>
      <c r="GM220">
        <v>10000</v>
      </c>
      <c r="GN220">
        <v>10000</v>
      </c>
      <c r="GO220">
        <v>10000</v>
      </c>
      <c r="GP220">
        <v>10000</v>
      </c>
      <c r="GQ220">
        <v>10000</v>
      </c>
      <c r="GR220">
        <v>10000</v>
      </c>
      <c r="GS220">
        <v>10000</v>
      </c>
      <c r="GT220">
        <v>10000</v>
      </c>
      <c r="GU220">
        <v>10000</v>
      </c>
      <c r="GV220">
        <v>10000</v>
      </c>
      <c r="GW220">
        <v>10000</v>
      </c>
      <c r="GX220">
        <v>10000</v>
      </c>
      <c r="GY220">
        <v>10000</v>
      </c>
      <c r="GZ220">
        <v>10000</v>
      </c>
      <c r="HA220">
        <v>10000</v>
      </c>
      <c r="HB220">
        <v>10000</v>
      </c>
      <c r="HC220">
        <v>10000</v>
      </c>
      <c r="HD220">
        <v>10000</v>
      </c>
      <c r="HE220">
        <v>10000</v>
      </c>
      <c r="HF220">
        <v>10000</v>
      </c>
      <c r="HG220">
        <v>10000</v>
      </c>
      <c r="HH220">
        <v>10000</v>
      </c>
      <c r="HI220">
        <v>10000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row>
    <row r="221" spans="13:245" hidden="1">
      <c r="M221" s="343" t="s">
        <v>633</v>
      </c>
      <c r="N221" t="s">
        <v>1010</v>
      </c>
      <c r="O221">
        <v>1</v>
      </c>
      <c r="P221">
        <v>3</v>
      </c>
      <c r="Q221" s="184" t="str">
        <f t="shared" si="10"/>
        <v>SDJ200103</v>
      </c>
      <c r="R221">
        <v>266.10000000000002</v>
      </c>
      <c r="S221">
        <v>2000</v>
      </c>
      <c r="T221">
        <v>2000</v>
      </c>
      <c r="U221">
        <v>2000</v>
      </c>
      <c r="V221">
        <v>2000</v>
      </c>
      <c r="W221">
        <v>2000</v>
      </c>
      <c r="X221">
        <v>2000</v>
      </c>
      <c r="Y221">
        <v>2128.5</v>
      </c>
      <c r="Z221">
        <v>2394.5</v>
      </c>
      <c r="AA221">
        <v>2660.6</v>
      </c>
      <c r="AB221">
        <v>2926.7</v>
      </c>
      <c r="AC221">
        <v>3192.7</v>
      </c>
      <c r="AD221">
        <v>3458.8</v>
      </c>
      <c r="AE221">
        <v>3724.8</v>
      </c>
      <c r="AF221">
        <v>3990.9</v>
      </c>
      <c r="AG221">
        <v>4257</v>
      </c>
      <c r="AH221">
        <v>4523</v>
      </c>
      <c r="AI221">
        <v>4789.1000000000004</v>
      </c>
      <c r="AJ221">
        <v>5055.1000000000004</v>
      </c>
      <c r="AK221">
        <v>5321.2</v>
      </c>
      <c r="AL221">
        <v>5321.2</v>
      </c>
      <c r="AM221">
        <v>5321.2</v>
      </c>
      <c r="AN221">
        <v>5321.2</v>
      </c>
      <c r="AO221">
        <v>5321.2</v>
      </c>
      <c r="AP221">
        <v>5321.2</v>
      </c>
      <c r="AQ221">
        <v>5321.2</v>
      </c>
      <c r="AR221">
        <v>5321.2</v>
      </c>
      <c r="AS221">
        <v>5321.2</v>
      </c>
      <c r="AT221">
        <v>5321.2</v>
      </c>
      <c r="AU221">
        <v>5321.2</v>
      </c>
      <c r="AV221">
        <v>5321.2</v>
      </c>
      <c r="AW221">
        <v>5321.2</v>
      </c>
      <c r="AX221">
        <v>5321.2</v>
      </c>
      <c r="AY221">
        <v>5321.2</v>
      </c>
      <c r="AZ221">
        <v>5321.2</v>
      </c>
      <c r="BA221">
        <v>5321.2</v>
      </c>
      <c r="BB221">
        <v>5321.2</v>
      </c>
      <c r="BC221">
        <v>5321.2</v>
      </c>
      <c r="BD221">
        <v>5321.2</v>
      </c>
      <c r="BE221">
        <v>5321.2</v>
      </c>
      <c r="BF221">
        <v>5321.2</v>
      </c>
      <c r="BG221">
        <v>5321.2</v>
      </c>
      <c r="BH221">
        <v>5321.2</v>
      </c>
      <c r="BI221">
        <v>5321.2</v>
      </c>
      <c r="BJ221">
        <v>5321.2</v>
      </c>
      <c r="BK221">
        <v>5321.2</v>
      </c>
      <c r="BL221">
        <v>5321.2</v>
      </c>
      <c r="BM221">
        <v>5321.2</v>
      </c>
      <c r="BN221">
        <v>5321.2</v>
      </c>
      <c r="BO221">
        <v>5321.2</v>
      </c>
      <c r="BP221">
        <v>5321.2</v>
      </c>
      <c r="BQ221">
        <v>5321.2</v>
      </c>
      <c r="BR221">
        <v>5321.2</v>
      </c>
      <c r="BS221">
        <v>5321.2</v>
      </c>
      <c r="BT221">
        <v>5321.2</v>
      </c>
      <c r="BU221">
        <v>5321.2</v>
      </c>
      <c r="BV221">
        <v>5321.2</v>
      </c>
      <c r="BW221">
        <v>5321.2</v>
      </c>
      <c r="BX221">
        <v>5321.2</v>
      </c>
      <c r="BY221">
        <v>5321.2</v>
      </c>
      <c r="BZ221">
        <v>5321.2</v>
      </c>
      <c r="CA221">
        <v>5321.2</v>
      </c>
      <c r="CB221">
        <v>5321.2</v>
      </c>
      <c r="CC221">
        <v>5321.2</v>
      </c>
      <c r="CD221">
        <v>5321.2</v>
      </c>
      <c r="CE221">
        <v>5321.2</v>
      </c>
      <c r="CF221">
        <v>5321.2</v>
      </c>
      <c r="CG221">
        <v>5321.2</v>
      </c>
      <c r="CH221">
        <v>5321.2</v>
      </c>
      <c r="CI221">
        <v>5321.2</v>
      </c>
      <c r="CJ221">
        <v>5321.2</v>
      </c>
      <c r="CK221">
        <v>5321.2</v>
      </c>
      <c r="CL221">
        <v>5321.2</v>
      </c>
      <c r="CM221">
        <v>5321.2</v>
      </c>
      <c r="CN221">
        <v>5321.2</v>
      </c>
      <c r="CO221">
        <v>5321.2</v>
      </c>
      <c r="CP221">
        <v>5321.2</v>
      </c>
      <c r="CQ221">
        <v>5321.2</v>
      </c>
      <c r="CR221">
        <v>5321.2</v>
      </c>
      <c r="CS221">
        <v>5321.2</v>
      </c>
      <c r="CT221">
        <v>5321.2</v>
      </c>
      <c r="CU221">
        <v>5321.2</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Z221" s="343" t="s">
        <v>633</v>
      </c>
      <c r="EA221" t="s">
        <v>1010</v>
      </c>
      <c r="EB221">
        <v>1</v>
      </c>
      <c r="EC221">
        <v>3</v>
      </c>
      <c r="ED221" s="184" t="str">
        <f t="shared" si="11"/>
        <v>SDJ200103</v>
      </c>
      <c r="EE221">
        <v>266.10000000000002</v>
      </c>
      <c r="EF221">
        <v>10000</v>
      </c>
      <c r="EG221">
        <v>10000</v>
      </c>
      <c r="EH221">
        <v>10000</v>
      </c>
      <c r="EI221">
        <v>10000</v>
      </c>
      <c r="EJ221">
        <v>10000</v>
      </c>
      <c r="EK221">
        <v>10000</v>
      </c>
      <c r="EL221">
        <v>10000</v>
      </c>
      <c r="EM221">
        <v>10000</v>
      </c>
      <c r="EN221">
        <v>10000</v>
      </c>
      <c r="EO221">
        <v>10000</v>
      </c>
      <c r="EP221">
        <v>10000</v>
      </c>
      <c r="EQ221">
        <v>10000</v>
      </c>
      <c r="ER221">
        <v>10000</v>
      </c>
      <c r="ES221">
        <v>10000</v>
      </c>
      <c r="ET221">
        <v>10000</v>
      </c>
      <c r="EU221">
        <v>10000</v>
      </c>
      <c r="EV221">
        <v>10000</v>
      </c>
      <c r="EW221">
        <v>10000</v>
      </c>
      <c r="EX221">
        <v>10000</v>
      </c>
      <c r="EY221">
        <v>10000</v>
      </c>
      <c r="EZ221">
        <v>10000</v>
      </c>
      <c r="FA221">
        <v>10000</v>
      </c>
      <c r="FB221">
        <v>10000</v>
      </c>
      <c r="FC221">
        <v>10000</v>
      </c>
      <c r="FD221">
        <v>10000</v>
      </c>
      <c r="FE221">
        <v>10000</v>
      </c>
      <c r="FF221">
        <v>10000</v>
      </c>
      <c r="FG221">
        <v>10000</v>
      </c>
      <c r="FH221">
        <v>10000</v>
      </c>
      <c r="FI221">
        <v>10000</v>
      </c>
      <c r="FJ221">
        <v>10000</v>
      </c>
      <c r="FK221">
        <v>10000</v>
      </c>
      <c r="FL221">
        <v>10000</v>
      </c>
      <c r="FM221">
        <v>10000</v>
      </c>
      <c r="FN221">
        <v>10000</v>
      </c>
      <c r="FO221">
        <v>10000</v>
      </c>
      <c r="FP221">
        <v>10000</v>
      </c>
      <c r="FQ221">
        <v>10000</v>
      </c>
      <c r="FR221">
        <v>10000</v>
      </c>
      <c r="FS221">
        <v>10000</v>
      </c>
      <c r="FT221">
        <v>10000</v>
      </c>
      <c r="FU221">
        <v>10000</v>
      </c>
      <c r="FV221">
        <v>10000</v>
      </c>
      <c r="FW221">
        <v>10000</v>
      </c>
      <c r="FX221">
        <v>10000</v>
      </c>
      <c r="FY221">
        <v>10000</v>
      </c>
      <c r="FZ221">
        <v>10000</v>
      </c>
      <c r="GA221">
        <v>10000</v>
      </c>
      <c r="GB221">
        <v>10000</v>
      </c>
      <c r="GC221">
        <v>10000</v>
      </c>
      <c r="GD221">
        <v>10000</v>
      </c>
      <c r="GE221">
        <v>10000</v>
      </c>
      <c r="GF221">
        <v>10000</v>
      </c>
      <c r="GG221">
        <v>10000</v>
      </c>
      <c r="GH221">
        <v>10000</v>
      </c>
      <c r="GI221">
        <v>10000</v>
      </c>
      <c r="GJ221">
        <v>10000</v>
      </c>
      <c r="GK221">
        <v>10000</v>
      </c>
      <c r="GL221">
        <v>10000</v>
      </c>
      <c r="GM221">
        <v>10000</v>
      </c>
      <c r="GN221">
        <v>10000</v>
      </c>
      <c r="GO221">
        <v>10000</v>
      </c>
      <c r="GP221">
        <v>10000</v>
      </c>
      <c r="GQ221">
        <v>10000</v>
      </c>
      <c r="GR221">
        <v>10000</v>
      </c>
      <c r="GS221">
        <v>10000</v>
      </c>
      <c r="GT221">
        <v>10000</v>
      </c>
      <c r="GU221">
        <v>10000</v>
      </c>
      <c r="GV221">
        <v>10000</v>
      </c>
      <c r="GW221">
        <v>10000</v>
      </c>
      <c r="GX221">
        <v>10000</v>
      </c>
      <c r="GY221">
        <v>10000</v>
      </c>
      <c r="GZ221">
        <v>10000</v>
      </c>
      <c r="HA221">
        <v>10000</v>
      </c>
      <c r="HB221">
        <v>10000</v>
      </c>
      <c r="HC221">
        <v>10000</v>
      </c>
      <c r="HD221">
        <v>10000</v>
      </c>
      <c r="HE221">
        <v>10000</v>
      </c>
      <c r="HF221">
        <v>10000</v>
      </c>
      <c r="HG221">
        <v>10000</v>
      </c>
      <c r="HH221">
        <v>10000</v>
      </c>
      <c r="HI221">
        <v>0</v>
      </c>
      <c r="HJ221">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c r="IK221">
        <v>0</v>
      </c>
    </row>
    <row r="222" spans="13:245" hidden="1">
      <c r="M222" s="343" t="s">
        <v>633</v>
      </c>
      <c r="N222" t="s">
        <v>1010</v>
      </c>
      <c r="O222">
        <v>1</v>
      </c>
      <c r="P222">
        <v>4</v>
      </c>
      <c r="Q222" s="184" t="str">
        <f t="shared" si="10"/>
        <v>SDJ200104</v>
      </c>
      <c r="R222">
        <v>270.3</v>
      </c>
      <c r="S222">
        <v>2000</v>
      </c>
      <c r="T222">
        <v>2000</v>
      </c>
      <c r="U222">
        <v>2000</v>
      </c>
      <c r="V222">
        <v>2000</v>
      </c>
      <c r="W222">
        <v>2000</v>
      </c>
      <c r="X222">
        <v>2000</v>
      </c>
      <c r="Y222">
        <v>2162.4</v>
      </c>
      <c r="Z222">
        <v>2432.6999999999998</v>
      </c>
      <c r="AA222">
        <v>2703</v>
      </c>
      <c r="AB222">
        <v>2973.3</v>
      </c>
      <c r="AC222">
        <v>3243.6</v>
      </c>
      <c r="AD222">
        <v>3513.9</v>
      </c>
      <c r="AE222">
        <v>3784.2</v>
      </c>
      <c r="AF222">
        <v>4054.5</v>
      </c>
      <c r="AG222">
        <v>4324.8</v>
      </c>
      <c r="AH222">
        <v>4595.1000000000004</v>
      </c>
      <c r="AI222">
        <v>4865.3999999999996</v>
      </c>
      <c r="AJ222">
        <v>5135.7</v>
      </c>
      <c r="AK222">
        <v>5406</v>
      </c>
      <c r="AL222">
        <v>5406</v>
      </c>
      <c r="AM222">
        <v>5406</v>
      </c>
      <c r="AN222">
        <v>5406</v>
      </c>
      <c r="AO222">
        <v>5406</v>
      </c>
      <c r="AP222">
        <v>5406</v>
      </c>
      <c r="AQ222">
        <v>5406</v>
      </c>
      <c r="AR222">
        <v>5406</v>
      </c>
      <c r="AS222">
        <v>5406</v>
      </c>
      <c r="AT222">
        <v>5406</v>
      </c>
      <c r="AU222">
        <v>5406</v>
      </c>
      <c r="AV222">
        <v>5406</v>
      </c>
      <c r="AW222">
        <v>5406</v>
      </c>
      <c r="AX222">
        <v>5406</v>
      </c>
      <c r="AY222">
        <v>5406</v>
      </c>
      <c r="AZ222">
        <v>5406</v>
      </c>
      <c r="BA222">
        <v>5406</v>
      </c>
      <c r="BB222">
        <v>5406</v>
      </c>
      <c r="BC222">
        <v>5406</v>
      </c>
      <c r="BD222">
        <v>5406</v>
      </c>
      <c r="BE222">
        <v>5406</v>
      </c>
      <c r="BF222">
        <v>5406</v>
      </c>
      <c r="BG222">
        <v>5406</v>
      </c>
      <c r="BH222">
        <v>5406</v>
      </c>
      <c r="BI222">
        <v>5406</v>
      </c>
      <c r="BJ222">
        <v>5406</v>
      </c>
      <c r="BK222">
        <v>5406</v>
      </c>
      <c r="BL222">
        <v>5406</v>
      </c>
      <c r="BM222">
        <v>5406</v>
      </c>
      <c r="BN222">
        <v>5406</v>
      </c>
      <c r="BO222">
        <v>5406</v>
      </c>
      <c r="BP222">
        <v>5406</v>
      </c>
      <c r="BQ222">
        <v>5406</v>
      </c>
      <c r="BR222">
        <v>5406</v>
      </c>
      <c r="BS222">
        <v>5406</v>
      </c>
      <c r="BT222">
        <v>5406</v>
      </c>
      <c r="BU222">
        <v>5406</v>
      </c>
      <c r="BV222">
        <v>5406</v>
      </c>
      <c r="BW222">
        <v>5406</v>
      </c>
      <c r="BX222">
        <v>5406</v>
      </c>
      <c r="BY222">
        <v>5406</v>
      </c>
      <c r="BZ222">
        <v>5406</v>
      </c>
      <c r="CA222">
        <v>5406</v>
      </c>
      <c r="CB222">
        <v>5406</v>
      </c>
      <c r="CC222">
        <v>5406</v>
      </c>
      <c r="CD222">
        <v>5406</v>
      </c>
      <c r="CE222">
        <v>5406</v>
      </c>
      <c r="CF222">
        <v>5406</v>
      </c>
      <c r="CG222">
        <v>5406</v>
      </c>
      <c r="CH222">
        <v>5406</v>
      </c>
      <c r="CI222">
        <v>5406</v>
      </c>
      <c r="CJ222">
        <v>5406</v>
      </c>
      <c r="CK222">
        <v>5406</v>
      </c>
      <c r="CL222">
        <v>5406</v>
      </c>
      <c r="CM222">
        <v>5406</v>
      </c>
      <c r="CN222">
        <v>5406</v>
      </c>
      <c r="CO222">
        <v>5406</v>
      </c>
      <c r="CP222">
        <v>5406</v>
      </c>
      <c r="CQ222">
        <v>5406</v>
      </c>
      <c r="CR222">
        <v>5406</v>
      </c>
      <c r="CS222">
        <v>5406</v>
      </c>
      <c r="CT222">
        <v>5406</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Z222" s="343" t="s">
        <v>633</v>
      </c>
      <c r="EA222" t="s">
        <v>1010</v>
      </c>
      <c r="EB222">
        <v>1</v>
      </c>
      <c r="EC222">
        <v>4</v>
      </c>
      <c r="ED222" s="184" t="str">
        <f t="shared" si="11"/>
        <v>SDJ200104</v>
      </c>
      <c r="EE222">
        <v>270.3</v>
      </c>
      <c r="EF222">
        <v>10000</v>
      </c>
      <c r="EG222">
        <v>10000</v>
      </c>
      <c r="EH222">
        <v>10000</v>
      </c>
      <c r="EI222">
        <v>10000</v>
      </c>
      <c r="EJ222">
        <v>10000</v>
      </c>
      <c r="EK222">
        <v>10000</v>
      </c>
      <c r="EL222">
        <v>10000</v>
      </c>
      <c r="EM222">
        <v>10000</v>
      </c>
      <c r="EN222">
        <v>10000</v>
      </c>
      <c r="EO222">
        <v>10000</v>
      </c>
      <c r="EP222">
        <v>10000</v>
      </c>
      <c r="EQ222">
        <v>10000</v>
      </c>
      <c r="ER222">
        <v>10000</v>
      </c>
      <c r="ES222">
        <v>10000</v>
      </c>
      <c r="ET222">
        <v>10000</v>
      </c>
      <c r="EU222">
        <v>10000</v>
      </c>
      <c r="EV222">
        <v>10000</v>
      </c>
      <c r="EW222">
        <v>10000</v>
      </c>
      <c r="EX222">
        <v>10000</v>
      </c>
      <c r="EY222">
        <v>10000</v>
      </c>
      <c r="EZ222">
        <v>10000</v>
      </c>
      <c r="FA222">
        <v>10000</v>
      </c>
      <c r="FB222">
        <v>10000</v>
      </c>
      <c r="FC222">
        <v>10000</v>
      </c>
      <c r="FD222">
        <v>10000</v>
      </c>
      <c r="FE222">
        <v>10000</v>
      </c>
      <c r="FF222">
        <v>10000</v>
      </c>
      <c r="FG222">
        <v>10000</v>
      </c>
      <c r="FH222">
        <v>10000</v>
      </c>
      <c r="FI222">
        <v>10000</v>
      </c>
      <c r="FJ222">
        <v>10000</v>
      </c>
      <c r="FK222">
        <v>10000</v>
      </c>
      <c r="FL222">
        <v>10000</v>
      </c>
      <c r="FM222">
        <v>10000</v>
      </c>
      <c r="FN222">
        <v>10000</v>
      </c>
      <c r="FO222">
        <v>10000</v>
      </c>
      <c r="FP222">
        <v>10000</v>
      </c>
      <c r="FQ222">
        <v>10000</v>
      </c>
      <c r="FR222">
        <v>10000</v>
      </c>
      <c r="FS222">
        <v>10000</v>
      </c>
      <c r="FT222">
        <v>10000</v>
      </c>
      <c r="FU222">
        <v>10000</v>
      </c>
      <c r="FV222">
        <v>10000</v>
      </c>
      <c r="FW222">
        <v>10000</v>
      </c>
      <c r="FX222">
        <v>10000</v>
      </c>
      <c r="FY222">
        <v>10000</v>
      </c>
      <c r="FZ222">
        <v>10000</v>
      </c>
      <c r="GA222">
        <v>10000</v>
      </c>
      <c r="GB222">
        <v>10000</v>
      </c>
      <c r="GC222">
        <v>10000</v>
      </c>
      <c r="GD222">
        <v>10000</v>
      </c>
      <c r="GE222">
        <v>10000</v>
      </c>
      <c r="GF222">
        <v>10000</v>
      </c>
      <c r="GG222">
        <v>10000</v>
      </c>
      <c r="GH222">
        <v>10000</v>
      </c>
      <c r="GI222">
        <v>10000</v>
      </c>
      <c r="GJ222">
        <v>10000</v>
      </c>
      <c r="GK222">
        <v>10000</v>
      </c>
      <c r="GL222">
        <v>10000</v>
      </c>
      <c r="GM222">
        <v>10000</v>
      </c>
      <c r="GN222">
        <v>10000</v>
      </c>
      <c r="GO222">
        <v>10000</v>
      </c>
      <c r="GP222">
        <v>10000</v>
      </c>
      <c r="GQ222">
        <v>10000</v>
      </c>
      <c r="GR222">
        <v>10000</v>
      </c>
      <c r="GS222">
        <v>10000</v>
      </c>
      <c r="GT222">
        <v>10000</v>
      </c>
      <c r="GU222">
        <v>10000</v>
      </c>
      <c r="GV222">
        <v>10000</v>
      </c>
      <c r="GW222">
        <v>10000</v>
      </c>
      <c r="GX222">
        <v>10000</v>
      </c>
      <c r="GY222">
        <v>10000</v>
      </c>
      <c r="GZ222">
        <v>10000</v>
      </c>
      <c r="HA222">
        <v>10000</v>
      </c>
      <c r="HB222">
        <v>10000</v>
      </c>
      <c r="HC222">
        <v>10000</v>
      </c>
      <c r="HD222">
        <v>10000</v>
      </c>
      <c r="HE222">
        <v>10000</v>
      </c>
      <c r="HF222">
        <v>10000</v>
      </c>
      <c r="HG222">
        <v>10000</v>
      </c>
      <c r="HH222">
        <v>0</v>
      </c>
      <c r="HI222">
        <v>0</v>
      </c>
      <c r="HJ222">
        <v>0</v>
      </c>
      <c r="HK222">
        <v>0</v>
      </c>
      <c r="HL222">
        <v>0</v>
      </c>
      <c r="HM222">
        <v>0</v>
      </c>
      <c r="HN222">
        <v>0</v>
      </c>
      <c r="HO222">
        <v>0</v>
      </c>
      <c r="HP222">
        <v>0</v>
      </c>
      <c r="HQ222">
        <v>0</v>
      </c>
      <c r="HR222">
        <v>0</v>
      </c>
      <c r="HS222">
        <v>0</v>
      </c>
      <c r="HT222">
        <v>0</v>
      </c>
      <c r="HU222">
        <v>0</v>
      </c>
      <c r="HV222">
        <v>0</v>
      </c>
      <c r="HW222">
        <v>0</v>
      </c>
      <c r="HX222">
        <v>0</v>
      </c>
      <c r="HY222">
        <v>0</v>
      </c>
      <c r="HZ222">
        <v>0</v>
      </c>
      <c r="IA222">
        <v>0</v>
      </c>
      <c r="IB222">
        <v>0</v>
      </c>
      <c r="IC222">
        <v>0</v>
      </c>
      <c r="ID222">
        <v>0</v>
      </c>
      <c r="IE222">
        <v>0</v>
      </c>
      <c r="IF222">
        <v>0</v>
      </c>
      <c r="IG222">
        <v>0</v>
      </c>
      <c r="IH222">
        <v>0</v>
      </c>
      <c r="II222">
        <v>0</v>
      </c>
      <c r="IJ222">
        <v>0</v>
      </c>
      <c r="IK222">
        <v>0</v>
      </c>
    </row>
    <row r="223" spans="13:245" hidden="1">
      <c r="M223" s="343" t="s">
        <v>633</v>
      </c>
      <c r="N223" t="s">
        <v>1010</v>
      </c>
      <c r="O223">
        <v>1</v>
      </c>
      <c r="P223">
        <v>5</v>
      </c>
      <c r="Q223" s="184" t="str">
        <f t="shared" si="10"/>
        <v>SDJ200105</v>
      </c>
      <c r="R223">
        <v>274.5</v>
      </c>
      <c r="S223">
        <v>2000</v>
      </c>
      <c r="T223">
        <v>2000</v>
      </c>
      <c r="U223">
        <v>2000</v>
      </c>
      <c r="V223">
        <v>2000</v>
      </c>
      <c r="W223">
        <v>2000</v>
      </c>
      <c r="X223">
        <v>2000</v>
      </c>
      <c r="Y223">
        <v>2196.3000000000002</v>
      </c>
      <c r="Z223">
        <v>2470.9</v>
      </c>
      <c r="AA223">
        <v>2745.4</v>
      </c>
      <c r="AB223">
        <v>3019.9</v>
      </c>
      <c r="AC223">
        <v>3294.5</v>
      </c>
      <c r="AD223">
        <v>3569</v>
      </c>
      <c r="AE223">
        <v>3843.6</v>
      </c>
      <c r="AF223">
        <v>4118.1000000000004</v>
      </c>
      <c r="AG223">
        <v>4392.6000000000004</v>
      </c>
      <c r="AH223">
        <v>4667.2</v>
      </c>
      <c r="AI223">
        <v>4941.7</v>
      </c>
      <c r="AJ223">
        <v>5216.3</v>
      </c>
      <c r="AK223">
        <v>5490.8</v>
      </c>
      <c r="AL223">
        <v>5490.8</v>
      </c>
      <c r="AM223">
        <v>5490.8</v>
      </c>
      <c r="AN223">
        <v>5490.8</v>
      </c>
      <c r="AO223">
        <v>5490.8</v>
      </c>
      <c r="AP223">
        <v>5490.8</v>
      </c>
      <c r="AQ223">
        <v>5490.8</v>
      </c>
      <c r="AR223">
        <v>5490.8</v>
      </c>
      <c r="AS223">
        <v>5490.8</v>
      </c>
      <c r="AT223">
        <v>5490.8</v>
      </c>
      <c r="AU223">
        <v>5490.8</v>
      </c>
      <c r="AV223">
        <v>5490.8</v>
      </c>
      <c r="AW223">
        <v>5490.8</v>
      </c>
      <c r="AX223">
        <v>5490.8</v>
      </c>
      <c r="AY223">
        <v>5490.8</v>
      </c>
      <c r="AZ223">
        <v>5490.8</v>
      </c>
      <c r="BA223">
        <v>5490.8</v>
      </c>
      <c r="BB223">
        <v>5490.8</v>
      </c>
      <c r="BC223">
        <v>5490.8</v>
      </c>
      <c r="BD223">
        <v>5490.8</v>
      </c>
      <c r="BE223">
        <v>5490.8</v>
      </c>
      <c r="BF223">
        <v>5490.8</v>
      </c>
      <c r="BG223">
        <v>5490.8</v>
      </c>
      <c r="BH223">
        <v>5490.8</v>
      </c>
      <c r="BI223">
        <v>5490.8</v>
      </c>
      <c r="BJ223">
        <v>5490.8</v>
      </c>
      <c r="BK223">
        <v>5490.8</v>
      </c>
      <c r="BL223">
        <v>5490.8</v>
      </c>
      <c r="BM223">
        <v>5490.8</v>
      </c>
      <c r="BN223">
        <v>5490.8</v>
      </c>
      <c r="BO223">
        <v>5490.8</v>
      </c>
      <c r="BP223">
        <v>5490.8</v>
      </c>
      <c r="BQ223">
        <v>5490.8</v>
      </c>
      <c r="BR223">
        <v>5490.8</v>
      </c>
      <c r="BS223">
        <v>5490.8</v>
      </c>
      <c r="BT223">
        <v>5490.8</v>
      </c>
      <c r="BU223">
        <v>5490.8</v>
      </c>
      <c r="BV223">
        <v>5490.8</v>
      </c>
      <c r="BW223">
        <v>5490.8</v>
      </c>
      <c r="BX223">
        <v>5490.8</v>
      </c>
      <c r="BY223">
        <v>5490.8</v>
      </c>
      <c r="BZ223">
        <v>5490.8</v>
      </c>
      <c r="CA223">
        <v>5490.8</v>
      </c>
      <c r="CB223">
        <v>5490.8</v>
      </c>
      <c r="CC223">
        <v>5490.8</v>
      </c>
      <c r="CD223">
        <v>5490.8</v>
      </c>
      <c r="CE223">
        <v>5490.8</v>
      </c>
      <c r="CF223">
        <v>5490.8</v>
      </c>
      <c r="CG223">
        <v>5490.8</v>
      </c>
      <c r="CH223">
        <v>5490.8</v>
      </c>
      <c r="CI223">
        <v>5490.8</v>
      </c>
      <c r="CJ223">
        <v>5490.8</v>
      </c>
      <c r="CK223">
        <v>5490.8</v>
      </c>
      <c r="CL223">
        <v>5490.8</v>
      </c>
      <c r="CM223">
        <v>5490.8</v>
      </c>
      <c r="CN223">
        <v>5490.8</v>
      </c>
      <c r="CO223">
        <v>5490.8</v>
      </c>
      <c r="CP223">
        <v>5490.8</v>
      </c>
      <c r="CQ223">
        <v>5490.8</v>
      </c>
      <c r="CR223">
        <v>5490.8</v>
      </c>
      <c r="CS223">
        <v>5490.8</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Z223" s="343" t="s">
        <v>633</v>
      </c>
      <c r="EA223" t="s">
        <v>1010</v>
      </c>
      <c r="EB223">
        <v>1</v>
      </c>
      <c r="EC223">
        <v>5</v>
      </c>
      <c r="ED223" s="184" t="str">
        <f t="shared" si="11"/>
        <v>SDJ200105</v>
      </c>
      <c r="EE223">
        <v>274.5</v>
      </c>
      <c r="EF223">
        <v>10000</v>
      </c>
      <c r="EG223">
        <v>10000</v>
      </c>
      <c r="EH223">
        <v>10000</v>
      </c>
      <c r="EI223">
        <v>10000</v>
      </c>
      <c r="EJ223">
        <v>10000</v>
      </c>
      <c r="EK223">
        <v>10000</v>
      </c>
      <c r="EL223">
        <v>10000</v>
      </c>
      <c r="EM223">
        <v>10000</v>
      </c>
      <c r="EN223">
        <v>10000</v>
      </c>
      <c r="EO223">
        <v>10000</v>
      </c>
      <c r="EP223">
        <v>10000</v>
      </c>
      <c r="EQ223">
        <v>10000</v>
      </c>
      <c r="ER223">
        <v>10000</v>
      </c>
      <c r="ES223">
        <v>10000</v>
      </c>
      <c r="ET223">
        <v>10000</v>
      </c>
      <c r="EU223">
        <v>10000</v>
      </c>
      <c r="EV223">
        <v>10000</v>
      </c>
      <c r="EW223">
        <v>10000</v>
      </c>
      <c r="EX223">
        <v>10000</v>
      </c>
      <c r="EY223">
        <v>10000</v>
      </c>
      <c r="EZ223">
        <v>10000</v>
      </c>
      <c r="FA223">
        <v>10000</v>
      </c>
      <c r="FB223">
        <v>10000</v>
      </c>
      <c r="FC223">
        <v>10000</v>
      </c>
      <c r="FD223">
        <v>10000</v>
      </c>
      <c r="FE223">
        <v>10000</v>
      </c>
      <c r="FF223">
        <v>10000</v>
      </c>
      <c r="FG223">
        <v>10000</v>
      </c>
      <c r="FH223">
        <v>10000</v>
      </c>
      <c r="FI223">
        <v>10000</v>
      </c>
      <c r="FJ223">
        <v>10000</v>
      </c>
      <c r="FK223">
        <v>10000</v>
      </c>
      <c r="FL223">
        <v>10000</v>
      </c>
      <c r="FM223">
        <v>10000</v>
      </c>
      <c r="FN223">
        <v>10000</v>
      </c>
      <c r="FO223">
        <v>10000</v>
      </c>
      <c r="FP223">
        <v>10000</v>
      </c>
      <c r="FQ223">
        <v>10000</v>
      </c>
      <c r="FR223">
        <v>10000</v>
      </c>
      <c r="FS223">
        <v>10000</v>
      </c>
      <c r="FT223">
        <v>10000</v>
      </c>
      <c r="FU223">
        <v>10000</v>
      </c>
      <c r="FV223">
        <v>10000</v>
      </c>
      <c r="FW223">
        <v>10000</v>
      </c>
      <c r="FX223">
        <v>10000</v>
      </c>
      <c r="FY223">
        <v>10000</v>
      </c>
      <c r="FZ223">
        <v>10000</v>
      </c>
      <c r="GA223">
        <v>10000</v>
      </c>
      <c r="GB223">
        <v>10000</v>
      </c>
      <c r="GC223">
        <v>10000</v>
      </c>
      <c r="GD223">
        <v>10000</v>
      </c>
      <c r="GE223">
        <v>10000</v>
      </c>
      <c r="GF223">
        <v>10000</v>
      </c>
      <c r="GG223">
        <v>10000</v>
      </c>
      <c r="GH223">
        <v>10000</v>
      </c>
      <c r="GI223">
        <v>10000</v>
      </c>
      <c r="GJ223">
        <v>10000</v>
      </c>
      <c r="GK223">
        <v>10000</v>
      </c>
      <c r="GL223">
        <v>10000</v>
      </c>
      <c r="GM223">
        <v>10000</v>
      </c>
      <c r="GN223">
        <v>10000</v>
      </c>
      <c r="GO223">
        <v>10000</v>
      </c>
      <c r="GP223">
        <v>10000</v>
      </c>
      <c r="GQ223">
        <v>10000</v>
      </c>
      <c r="GR223">
        <v>10000</v>
      </c>
      <c r="GS223">
        <v>10000</v>
      </c>
      <c r="GT223">
        <v>10000</v>
      </c>
      <c r="GU223">
        <v>10000</v>
      </c>
      <c r="GV223">
        <v>10000</v>
      </c>
      <c r="GW223">
        <v>10000</v>
      </c>
      <c r="GX223">
        <v>10000</v>
      </c>
      <c r="GY223">
        <v>10000</v>
      </c>
      <c r="GZ223">
        <v>10000</v>
      </c>
      <c r="HA223">
        <v>10000</v>
      </c>
      <c r="HB223">
        <v>10000</v>
      </c>
      <c r="HC223">
        <v>10000</v>
      </c>
      <c r="HD223">
        <v>10000</v>
      </c>
      <c r="HE223">
        <v>10000</v>
      </c>
      <c r="HF223">
        <v>10000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c r="IK223">
        <v>0</v>
      </c>
    </row>
    <row r="224" spans="13:245" hidden="1">
      <c r="M224" s="343" t="s">
        <v>633</v>
      </c>
      <c r="N224" t="s">
        <v>1010</v>
      </c>
      <c r="O224">
        <v>1</v>
      </c>
      <c r="P224">
        <v>6</v>
      </c>
      <c r="Q224" s="184" t="str">
        <f t="shared" si="10"/>
        <v>SDJ200106</v>
      </c>
      <c r="R224">
        <v>278.8</v>
      </c>
      <c r="S224">
        <v>2000</v>
      </c>
      <c r="T224">
        <v>2000</v>
      </c>
      <c r="U224">
        <v>2000</v>
      </c>
      <c r="V224">
        <v>2000</v>
      </c>
      <c r="W224">
        <v>2000</v>
      </c>
      <c r="X224">
        <v>2000</v>
      </c>
      <c r="Y224">
        <v>2230.1999999999998</v>
      </c>
      <c r="Z224">
        <v>2509</v>
      </c>
      <c r="AA224">
        <v>2787.8</v>
      </c>
      <c r="AB224">
        <v>3066.6</v>
      </c>
      <c r="AC224">
        <v>3345.4</v>
      </c>
      <c r="AD224">
        <v>3624.1</v>
      </c>
      <c r="AE224">
        <v>3902.9</v>
      </c>
      <c r="AF224">
        <v>4181.7</v>
      </c>
      <c r="AG224">
        <v>4460.5</v>
      </c>
      <c r="AH224">
        <v>4739.3</v>
      </c>
      <c r="AI224">
        <v>5018</v>
      </c>
      <c r="AJ224">
        <v>5296.8</v>
      </c>
      <c r="AK224">
        <v>5575.6</v>
      </c>
      <c r="AL224">
        <v>5575.6</v>
      </c>
      <c r="AM224">
        <v>5575.6</v>
      </c>
      <c r="AN224">
        <v>5575.6</v>
      </c>
      <c r="AO224">
        <v>5575.6</v>
      </c>
      <c r="AP224">
        <v>5575.6</v>
      </c>
      <c r="AQ224">
        <v>5575.6</v>
      </c>
      <c r="AR224">
        <v>5575.6</v>
      </c>
      <c r="AS224">
        <v>5575.6</v>
      </c>
      <c r="AT224">
        <v>5575.6</v>
      </c>
      <c r="AU224">
        <v>5575.6</v>
      </c>
      <c r="AV224">
        <v>5575.6</v>
      </c>
      <c r="AW224">
        <v>5575.6</v>
      </c>
      <c r="AX224">
        <v>5575.6</v>
      </c>
      <c r="AY224">
        <v>5575.6</v>
      </c>
      <c r="AZ224">
        <v>5575.6</v>
      </c>
      <c r="BA224">
        <v>5575.6</v>
      </c>
      <c r="BB224">
        <v>5575.6</v>
      </c>
      <c r="BC224">
        <v>5575.6</v>
      </c>
      <c r="BD224">
        <v>5575.6</v>
      </c>
      <c r="BE224">
        <v>5575.6</v>
      </c>
      <c r="BF224">
        <v>5575.6</v>
      </c>
      <c r="BG224">
        <v>5575.6</v>
      </c>
      <c r="BH224">
        <v>5575.6</v>
      </c>
      <c r="BI224">
        <v>5575.6</v>
      </c>
      <c r="BJ224">
        <v>5575.6</v>
      </c>
      <c r="BK224">
        <v>5575.6</v>
      </c>
      <c r="BL224">
        <v>5575.6</v>
      </c>
      <c r="BM224">
        <v>5575.6</v>
      </c>
      <c r="BN224">
        <v>5575.6</v>
      </c>
      <c r="BO224">
        <v>5575.6</v>
      </c>
      <c r="BP224">
        <v>5575.6</v>
      </c>
      <c r="BQ224">
        <v>5575.6</v>
      </c>
      <c r="BR224">
        <v>5575.6</v>
      </c>
      <c r="BS224">
        <v>5575.6</v>
      </c>
      <c r="BT224">
        <v>5575.6</v>
      </c>
      <c r="BU224">
        <v>5575.6</v>
      </c>
      <c r="BV224">
        <v>5575.6</v>
      </c>
      <c r="BW224">
        <v>5575.6</v>
      </c>
      <c r="BX224">
        <v>5575.6</v>
      </c>
      <c r="BY224">
        <v>5575.6</v>
      </c>
      <c r="BZ224">
        <v>5575.6</v>
      </c>
      <c r="CA224">
        <v>5575.6</v>
      </c>
      <c r="CB224">
        <v>5575.6</v>
      </c>
      <c r="CC224">
        <v>5575.6</v>
      </c>
      <c r="CD224">
        <v>5575.6</v>
      </c>
      <c r="CE224">
        <v>5575.6</v>
      </c>
      <c r="CF224">
        <v>5575.6</v>
      </c>
      <c r="CG224">
        <v>5575.6</v>
      </c>
      <c r="CH224">
        <v>5575.6</v>
      </c>
      <c r="CI224">
        <v>5575.6</v>
      </c>
      <c r="CJ224">
        <v>5575.6</v>
      </c>
      <c r="CK224">
        <v>5575.6</v>
      </c>
      <c r="CL224">
        <v>5575.6</v>
      </c>
      <c r="CM224">
        <v>5575.6</v>
      </c>
      <c r="CN224">
        <v>5575.6</v>
      </c>
      <c r="CO224">
        <v>5575.6</v>
      </c>
      <c r="CP224">
        <v>5575.6</v>
      </c>
      <c r="CQ224">
        <v>5575.6</v>
      </c>
      <c r="CR224">
        <v>5575.6</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Z224" s="343" t="s">
        <v>633</v>
      </c>
      <c r="EA224" t="s">
        <v>1010</v>
      </c>
      <c r="EB224">
        <v>1</v>
      </c>
      <c r="EC224">
        <v>6</v>
      </c>
      <c r="ED224" s="184" t="str">
        <f t="shared" si="11"/>
        <v>SDJ200106</v>
      </c>
      <c r="EE224">
        <v>278.8</v>
      </c>
      <c r="EF224">
        <v>10000</v>
      </c>
      <c r="EG224">
        <v>10000</v>
      </c>
      <c r="EH224">
        <v>10000</v>
      </c>
      <c r="EI224">
        <v>10000</v>
      </c>
      <c r="EJ224">
        <v>10000</v>
      </c>
      <c r="EK224">
        <v>10000</v>
      </c>
      <c r="EL224">
        <v>10000</v>
      </c>
      <c r="EM224">
        <v>10000</v>
      </c>
      <c r="EN224">
        <v>10000</v>
      </c>
      <c r="EO224">
        <v>10000</v>
      </c>
      <c r="EP224">
        <v>10000</v>
      </c>
      <c r="EQ224">
        <v>10000</v>
      </c>
      <c r="ER224">
        <v>10000</v>
      </c>
      <c r="ES224">
        <v>10000</v>
      </c>
      <c r="ET224">
        <v>10000</v>
      </c>
      <c r="EU224">
        <v>10000</v>
      </c>
      <c r="EV224">
        <v>10000</v>
      </c>
      <c r="EW224">
        <v>10000</v>
      </c>
      <c r="EX224">
        <v>10000</v>
      </c>
      <c r="EY224">
        <v>10000</v>
      </c>
      <c r="EZ224">
        <v>10000</v>
      </c>
      <c r="FA224">
        <v>10000</v>
      </c>
      <c r="FB224">
        <v>10000</v>
      </c>
      <c r="FC224">
        <v>10000</v>
      </c>
      <c r="FD224">
        <v>10000</v>
      </c>
      <c r="FE224">
        <v>10000</v>
      </c>
      <c r="FF224">
        <v>10000</v>
      </c>
      <c r="FG224">
        <v>10000</v>
      </c>
      <c r="FH224">
        <v>10000</v>
      </c>
      <c r="FI224">
        <v>10000</v>
      </c>
      <c r="FJ224">
        <v>10000</v>
      </c>
      <c r="FK224">
        <v>10000</v>
      </c>
      <c r="FL224">
        <v>10000</v>
      </c>
      <c r="FM224">
        <v>10000</v>
      </c>
      <c r="FN224">
        <v>10000</v>
      </c>
      <c r="FO224">
        <v>10000</v>
      </c>
      <c r="FP224">
        <v>10000</v>
      </c>
      <c r="FQ224">
        <v>10000</v>
      </c>
      <c r="FR224">
        <v>10000</v>
      </c>
      <c r="FS224">
        <v>10000</v>
      </c>
      <c r="FT224">
        <v>10000</v>
      </c>
      <c r="FU224">
        <v>10000</v>
      </c>
      <c r="FV224">
        <v>10000</v>
      </c>
      <c r="FW224">
        <v>10000</v>
      </c>
      <c r="FX224">
        <v>10000</v>
      </c>
      <c r="FY224">
        <v>10000</v>
      </c>
      <c r="FZ224">
        <v>10000</v>
      </c>
      <c r="GA224">
        <v>10000</v>
      </c>
      <c r="GB224">
        <v>10000</v>
      </c>
      <c r="GC224">
        <v>10000</v>
      </c>
      <c r="GD224">
        <v>10000</v>
      </c>
      <c r="GE224">
        <v>10000</v>
      </c>
      <c r="GF224">
        <v>10000</v>
      </c>
      <c r="GG224">
        <v>10000</v>
      </c>
      <c r="GH224">
        <v>10000</v>
      </c>
      <c r="GI224">
        <v>10000</v>
      </c>
      <c r="GJ224">
        <v>10000</v>
      </c>
      <c r="GK224">
        <v>10000</v>
      </c>
      <c r="GL224">
        <v>10000</v>
      </c>
      <c r="GM224">
        <v>10000</v>
      </c>
      <c r="GN224">
        <v>10000</v>
      </c>
      <c r="GO224">
        <v>10000</v>
      </c>
      <c r="GP224">
        <v>10000</v>
      </c>
      <c r="GQ224">
        <v>10000</v>
      </c>
      <c r="GR224">
        <v>10000</v>
      </c>
      <c r="GS224">
        <v>10000</v>
      </c>
      <c r="GT224">
        <v>10000</v>
      </c>
      <c r="GU224">
        <v>10000</v>
      </c>
      <c r="GV224">
        <v>10000</v>
      </c>
      <c r="GW224">
        <v>10000</v>
      </c>
      <c r="GX224">
        <v>10000</v>
      </c>
      <c r="GY224">
        <v>10000</v>
      </c>
      <c r="GZ224">
        <v>10000</v>
      </c>
      <c r="HA224">
        <v>10000</v>
      </c>
      <c r="HB224">
        <v>10000</v>
      </c>
      <c r="HC224">
        <v>10000</v>
      </c>
      <c r="HD224">
        <v>10000</v>
      </c>
      <c r="HE224">
        <v>10000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0</v>
      </c>
      <c r="IB224">
        <v>0</v>
      </c>
      <c r="IC224">
        <v>0</v>
      </c>
      <c r="ID224">
        <v>0</v>
      </c>
      <c r="IE224">
        <v>0</v>
      </c>
      <c r="IF224">
        <v>0</v>
      </c>
      <c r="IG224">
        <v>0</v>
      </c>
      <c r="IH224">
        <v>0</v>
      </c>
      <c r="II224">
        <v>0</v>
      </c>
      <c r="IJ224">
        <v>0</v>
      </c>
      <c r="IK224">
        <v>0</v>
      </c>
    </row>
    <row r="225" spans="13:245" hidden="1">
      <c r="M225" s="343" t="s">
        <v>633</v>
      </c>
      <c r="N225" t="s">
        <v>1010</v>
      </c>
      <c r="O225">
        <v>1</v>
      </c>
      <c r="P225">
        <v>7</v>
      </c>
      <c r="Q225" s="184" t="str">
        <f t="shared" si="10"/>
        <v>SDJ200107</v>
      </c>
      <c r="R225">
        <v>284.10000000000002</v>
      </c>
      <c r="S225">
        <v>2000</v>
      </c>
      <c r="T225">
        <v>2000</v>
      </c>
      <c r="U225">
        <v>2000</v>
      </c>
      <c r="V225">
        <v>2000</v>
      </c>
      <c r="W225">
        <v>2000</v>
      </c>
      <c r="X225">
        <v>2000</v>
      </c>
      <c r="Y225">
        <v>2272.6</v>
      </c>
      <c r="Z225">
        <v>2556.6999999999998</v>
      </c>
      <c r="AA225">
        <v>2840.8</v>
      </c>
      <c r="AB225">
        <v>3124.9</v>
      </c>
      <c r="AC225">
        <v>3409</v>
      </c>
      <c r="AD225">
        <v>3693</v>
      </c>
      <c r="AE225">
        <v>3977.1</v>
      </c>
      <c r="AF225">
        <v>4261.2</v>
      </c>
      <c r="AG225">
        <v>4545.3</v>
      </c>
      <c r="AH225">
        <v>4829.3999999999996</v>
      </c>
      <c r="AI225">
        <v>5113.3999999999996</v>
      </c>
      <c r="AJ225">
        <v>5397.5</v>
      </c>
      <c r="AK225">
        <v>5681.6</v>
      </c>
      <c r="AL225">
        <v>5681.6</v>
      </c>
      <c r="AM225">
        <v>5681.6</v>
      </c>
      <c r="AN225">
        <v>5681.6</v>
      </c>
      <c r="AO225">
        <v>5681.6</v>
      </c>
      <c r="AP225">
        <v>5681.6</v>
      </c>
      <c r="AQ225">
        <v>5681.6</v>
      </c>
      <c r="AR225">
        <v>5681.6</v>
      </c>
      <c r="AS225">
        <v>5681.6</v>
      </c>
      <c r="AT225">
        <v>5681.6</v>
      </c>
      <c r="AU225">
        <v>5681.6</v>
      </c>
      <c r="AV225">
        <v>5681.6</v>
      </c>
      <c r="AW225">
        <v>5681.6</v>
      </c>
      <c r="AX225">
        <v>5681.6</v>
      </c>
      <c r="AY225">
        <v>5681.6</v>
      </c>
      <c r="AZ225">
        <v>5681.6</v>
      </c>
      <c r="BA225">
        <v>5681.6</v>
      </c>
      <c r="BB225">
        <v>5681.6</v>
      </c>
      <c r="BC225">
        <v>5681.6</v>
      </c>
      <c r="BD225">
        <v>5681.6</v>
      </c>
      <c r="BE225">
        <v>5681.6</v>
      </c>
      <c r="BF225">
        <v>5681.6</v>
      </c>
      <c r="BG225">
        <v>5681.6</v>
      </c>
      <c r="BH225">
        <v>5681.6</v>
      </c>
      <c r="BI225">
        <v>5681.6</v>
      </c>
      <c r="BJ225">
        <v>5681.6</v>
      </c>
      <c r="BK225">
        <v>5681.6</v>
      </c>
      <c r="BL225">
        <v>5681.6</v>
      </c>
      <c r="BM225">
        <v>5681.6</v>
      </c>
      <c r="BN225">
        <v>5681.6</v>
      </c>
      <c r="BO225">
        <v>5681.6</v>
      </c>
      <c r="BP225">
        <v>5681.6</v>
      </c>
      <c r="BQ225">
        <v>5681.6</v>
      </c>
      <c r="BR225">
        <v>5681.6</v>
      </c>
      <c r="BS225">
        <v>5681.6</v>
      </c>
      <c r="BT225">
        <v>5681.6</v>
      </c>
      <c r="BU225">
        <v>5681.6</v>
      </c>
      <c r="BV225">
        <v>5681.6</v>
      </c>
      <c r="BW225">
        <v>5681.6</v>
      </c>
      <c r="BX225">
        <v>5681.6</v>
      </c>
      <c r="BY225">
        <v>5681.6</v>
      </c>
      <c r="BZ225">
        <v>5681.6</v>
      </c>
      <c r="CA225">
        <v>5681.6</v>
      </c>
      <c r="CB225">
        <v>5681.6</v>
      </c>
      <c r="CC225">
        <v>5681.6</v>
      </c>
      <c r="CD225">
        <v>5681.6</v>
      </c>
      <c r="CE225">
        <v>5681.6</v>
      </c>
      <c r="CF225">
        <v>5681.6</v>
      </c>
      <c r="CG225">
        <v>5681.6</v>
      </c>
      <c r="CH225">
        <v>5681.6</v>
      </c>
      <c r="CI225">
        <v>5681.6</v>
      </c>
      <c r="CJ225">
        <v>5681.6</v>
      </c>
      <c r="CK225">
        <v>5681.6</v>
      </c>
      <c r="CL225">
        <v>5681.6</v>
      </c>
      <c r="CM225">
        <v>5681.6</v>
      </c>
      <c r="CN225">
        <v>5681.6</v>
      </c>
      <c r="CO225">
        <v>5681.6</v>
      </c>
      <c r="CP225">
        <v>5681.6</v>
      </c>
      <c r="CQ225">
        <v>5681.6</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Z225" s="343" t="s">
        <v>633</v>
      </c>
      <c r="EA225" t="s">
        <v>1010</v>
      </c>
      <c r="EB225">
        <v>1</v>
      </c>
      <c r="EC225">
        <v>7</v>
      </c>
      <c r="ED225" s="184" t="str">
        <f t="shared" si="11"/>
        <v>SDJ200107</v>
      </c>
      <c r="EE225">
        <v>284.10000000000002</v>
      </c>
      <c r="EF225">
        <v>10000</v>
      </c>
      <c r="EG225">
        <v>10000</v>
      </c>
      <c r="EH225">
        <v>10000</v>
      </c>
      <c r="EI225">
        <v>10000</v>
      </c>
      <c r="EJ225">
        <v>10000</v>
      </c>
      <c r="EK225">
        <v>10000</v>
      </c>
      <c r="EL225">
        <v>10000</v>
      </c>
      <c r="EM225">
        <v>10000</v>
      </c>
      <c r="EN225">
        <v>10000</v>
      </c>
      <c r="EO225">
        <v>10000</v>
      </c>
      <c r="EP225">
        <v>10000</v>
      </c>
      <c r="EQ225">
        <v>10000</v>
      </c>
      <c r="ER225">
        <v>10000</v>
      </c>
      <c r="ES225">
        <v>10000</v>
      </c>
      <c r="ET225">
        <v>10000</v>
      </c>
      <c r="EU225">
        <v>10000</v>
      </c>
      <c r="EV225">
        <v>10000</v>
      </c>
      <c r="EW225">
        <v>10000</v>
      </c>
      <c r="EX225">
        <v>10000</v>
      </c>
      <c r="EY225">
        <v>10000</v>
      </c>
      <c r="EZ225">
        <v>10000</v>
      </c>
      <c r="FA225">
        <v>10000</v>
      </c>
      <c r="FB225">
        <v>10000</v>
      </c>
      <c r="FC225">
        <v>10000</v>
      </c>
      <c r="FD225">
        <v>10000</v>
      </c>
      <c r="FE225">
        <v>10000</v>
      </c>
      <c r="FF225">
        <v>10000</v>
      </c>
      <c r="FG225">
        <v>10000</v>
      </c>
      <c r="FH225">
        <v>10000</v>
      </c>
      <c r="FI225">
        <v>10000</v>
      </c>
      <c r="FJ225">
        <v>10000</v>
      </c>
      <c r="FK225">
        <v>10000</v>
      </c>
      <c r="FL225">
        <v>10000</v>
      </c>
      <c r="FM225">
        <v>10000</v>
      </c>
      <c r="FN225">
        <v>10000</v>
      </c>
      <c r="FO225">
        <v>10000</v>
      </c>
      <c r="FP225">
        <v>10000</v>
      </c>
      <c r="FQ225">
        <v>10000</v>
      </c>
      <c r="FR225">
        <v>10000</v>
      </c>
      <c r="FS225">
        <v>10000</v>
      </c>
      <c r="FT225">
        <v>10000</v>
      </c>
      <c r="FU225">
        <v>10000</v>
      </c>
      <c r="FV225">
        <v>10000</v>
      </c>
      <c r="FW225">
        <v>10000</v>
      </c>
      <c r="FX225">
        <v>10000</v>
      </c>
      <c r="FY225">
        <v>10000</v>
      </c>
      <c r="FZ225">
        <v>10000</v>
      </c>
      <c r="GA225">
        <v>10000</v>
      </c>
      <c r="GB225">
        <v>10000</v>
      </c>
      <c r="GC225">
        <v>10000</v>
      </c>
      <c r="GD225">
        <v>10000</v>
      </c>
      <c r="GE225">
        <v>10000</v>
      </c>
      <c r="GF225">
        <v>10000</v>
      </c>
      <c r="GG225">
        <v>10000</v>
      </c>
      <c r="GH225">
        <v>10000</v>
      </c>
      <c r="GI225">
        <v>10000</v>
      </c>
      <c r="GJ225">
        <v>10000</v>
      </c>
      <c r="GK225">
        <v>10000</v>
      </c>
      <c r="GL225">
        <v>10000</v>
      </c>
      <c r="GM225">
        <v>10000</v>
      </c>
      <c r="GN225">
        <v>10000</v>
      </c>
      <c r="GO225">
        <v>10000</v>
      </c>
      <c r="GP225">
        <v>10000</v>
      </c>
      <c r="GQ225">
        <v>10000</v>
      </c>
      <c r="GR225">
        <v>10000</v>
      </c>
      <c r="GS225">
        <v>10000</v>
      </c>
      <c r="GT225">
        <v>10000</v>
      </c>
      <c r="GU225">
        <v>10000</v>
      </c>
      <c r="GV225">
        <v>10000</v>
      </c>
      <c r="GW225">
        <v>10000</v>
      </c>
      <c r="GX225">
        <v>10000</v>
      </c>
      <c r="GY225">
        <v>10000</v>
      </c>
      <c r="GZ225">
        <v>10000</v>
      </c>
      <c r="HA225">
        <v>10000</v>
      </c>
      <c r="HB225">
        <v>10000</v>
      </c>
      <c r="HC225">
        <v>10000</v>
      </c>
      <c r="HD225">
        <v>10000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0</v>
      </c>
      <c r="ID225">
        <v>0</v>
      </c>
      <c r="IE225">
        <v>0</v>
      </c>
      <c r="IF225">
        <v>0</v>
      </c>
      <c r="IG225">
        <v>0</v>
      </c>
      <c r="IH225">
        <v>0</v>
      </c>
      <c r="II225">
        <v>0</v>
      </c>
      <c r="IJ225">
        <v>0</v>
      </c>
      <c r="IK225">
        <v>0</v>
      </c>
    </row>
    <row r="226" spans="13:245" hidden="1">
      <c r="M226" s="343" t="s">
        <v>633</v>
      </c>
      <c r="N226" t="s">
        <v>1010</v>
      </c>
      <c r="O226">
        <v>1</v>
      </c>
      <c r="P226">
        <v>8</v>
      </c>
      <c r="Q226" s="184" t="str">
        <f t="shared" si="10"/>
        <v>SDJ200108</v>
      </c>
      <c r="R226">
        <v>289.39999999999998</v>
      </c>
      <c r="S226">
        <v>2000</v>
      </c>
      <c r="T226">
        <v>2000</v>
      </c>
      <c r="U226">
        <v>2000</v>
      </c>
      <c r="V226">
        <v>2000</v>
      </c>
      <c r="W226">
        <v>2000</v>
      </c>
      <c r="X226">
        <v>2025.7</v>
      </c>
      <c r="Y226">
        <v>2315</v>
      </c>
      <c r="Z226">
        <v>2604.4</v>
      </c>
      <c r="AA226">
        <v>2893.8</v>
      </c>
      <c r="AB226">
        <v>3183.2</v>
      </c>
      <c r="AC226">
        <v>3472.6</v>
      </c>
      <c r="AD226">
        <v>3761.9</v>
      </c>
      <c r="AE226">
        <v>4051.3</v>
      </c>
      <c r="AF226">
        <v>4340.7</v>
      </c>
      <c r="AG226">
        <v>4630.1000000000004</v>
      </c>
      <c r="AH226">
        <v>4919.5</v>
      </c>
      <c r="AI226">
        <v>5208.8</v>
      </c>
      <c r="AJ226">
        <v>5498.2</v>
      </c>
      <c r="AK226">
        <v>5787.6</v>
      </c>
      <c r="AL226">
        <v>5787.6</v>
      </c>
      <c r="AM226">
        <v>5787.6</v>
      </c>
      <c r="AN226">
        <v>5787.6</v>
      </c>
      <c r="AO226">
        <v>5787.6</v>
      </c>
      <c r="AP226">
        <v>5787.6</v>
      </c>
      <c r="AQ226">
        <v>5787.6</v>
      </c>
      <c r="AR226">
        <v>5787.6</v>
      </c>
      <c r="AS226">
        <v>5787.6</v>
      </c>
      <c r="AT226">
        <v>5787.6</v>
      </c>
      <c r="AU226">
        <v>5787.6</v>
      </c>
      <c r="AV226">
        <v>5787.6</v>
      </c>
      <c r="AW226">
        <v>5787.6</v>
      </c>
      <c r="AX226">
        <v>5787.6</v>
      </c>
      <c r="AY226">
        <v>5787.6</v>
      </c>
      <c r="AZ226">
        <v>5787.6</v>
      </c>
      <c r="BA226">
        <v>5787.6</v>
      </c>
      <c r="BB226">
        <v>5787.6</v>
      </c>
      <c r="BC226">
        <v>5787.6</v>
      </c>
      <c r="BD226">
        <v>5787.6</v>
      </c>
      <c r="BE226">
        <v>5787.6</v>
      </c>
      <c r="BF226">
        <v>5787.6</v>
      </c>
      <c r="BG226">
        <v>5787.6</v>
      </c>
      <c r="BH226">
        <v>5787.6</v>
      </c>
      <c r="BI226">
        <v>5787.6</v>
      </c>
      <c r="BJ226">
        <v>5787.6</v>
      </c>
      <c r="BK226">
        <v>5787.6</v>
      </c>
      <c r="BL226">
        <v>5787.6</v>
      </c>
      <c r="BM226">
        <v>5787.6</v>
      </c>
      <c r="BN226">
        <v>5787.6</v>
      </c>
      <c r="BO226">
        <v>5787.6</v>
      </c>
      <c r="BP226">
        <v>5787.6</v>
      </c>
      <c r="BQ226">
        <v>5787.6</v>
      </c>
      <c r="BR226">
        <v>5787.6</v>
      </c>
      <c r="BS226">
        <v>5787.6</v>
      </c>
      <c r="BT226">
        <v>5787.6</v>
      </c>
      <c r="BU226">
        <v>5787.6</v>
      </c>
      <c r="BV226">
        <v>5787.6</v>
      </c>
      <c r="BW226">
        <v>5787.6</v>
      </c>
      <c r="BX226">
        <v>5787.6</v>
      </c>
      <c r="BY226">
        <v>5787.6</v>
      </c>
      <c r="BZ226">
        <v>5787.6</v>
      </c>
      <c r="CA226">
        <v>5787.6</v>
      </c>
      <c r="CB226">
        <v>5787.6</v>
      </c>
      <c r="CC226">
        <v>5787.6</v>
      </c>
      <c r="CD226">
        <v>5787.6</v>
      </c>
      <c r="CE226">
        <v>5787.6</v>
      </c>
      <c r="CF226">
        <v>5787.6</v>
      </c>
      <c r="CG226">
        <v>5787.6</v>
      </c>
      <c r="CH226">
        <v>5787.6</v>
      </c>
      <c r="CI226">
        <v>5787.6</v>
      </c>
      <c r="CJ226">
        <v>5787.6</v>
      </c>
      <c r="CK226">
        <v>5787.6</v>
      </c>
      <c r="CL226">
        <v>5787.6</v>
      </c>
      <c r="CM226">
        <v>5787.6</v>
      </c>
      <c r="CN226">
        <v>5787.6</v>
      </c>
      <c r="CO226">
        <v>5787.6</v>
      </c>
      <c r="CP226">
        <v>5787.6</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Z226" s="343" t="s">
        <v>633</v>
      </c>
      <c r="EA226" t="s">
        <v>1010</v>
      </c>
      <c r="EB226">
        <v>1</v>
      </c>
      <c r="EC226">
        <v>8</v>
      </c>
      <c r="ED226" s="184" t="str">
        <f t="shared" si="11"/>
        <v>SDJ200108</v>
      </c>
      <c r="EE226">
        <v>289.39999999999998</v>
      </c>
      <c r="EF226">
        <v>10000</v>
      </c>
      <c r="EG226">
        <v>10000</v>
      </c>
      <c r="EH226">
        <v>10000</v>
      </c>
      <c r="EI226">
        <v>10000</v>
      </c>
      <c r="EJ226">
        <v>10000</v>
      </c>
      <c r="EK226">
        <v>10000</v>
      </c>
      <c r="EL226">
        <v>10000</v>
      </c>
      <c r="EM226">
        <v>10000</v>
      </c>
      <c r="EN226">
        <v>10000</v>
      </c>
      <c r="EO226">
        <v>10000</v>
      </c>
      <c r="EP226">
        <v>10000</v>
      </c>
      <c r="EQ226">
        <v>10000</v>
      </c>
      <c r="ER226">
        <v>10000</v>
      </c>
      <c r="ES226">
        <v>10000</v>
      </c>
      <c r="ET226">
        <v>10000</v>
      </c>
      <c r="EU226">
        <v>10000</v>
      </c>
      <c r="EV226">
        <v>10000</v>
      </c>
      <c r="EW226">
        <v>10000</v>
      </c>
      <c r="EX226">
        <v>10000</v>
      </c>
      <c r="EY226">
        <v>10000</v>
      </c>
      <c r="EZ226">
        <v>10000</v>
      </c>
      <c r="FA226">
        <v>10000</v>
      </c>
      <c r="FB226">
        <v>10000</v>
      </c>
      <c r="FC226">
        <v>10000</v>
      </c>
      <c r="FD226">
        <v>10000</v>
      </c>
      <c r="FE226">
        <v>10000</v>
      </c>
      <c r="FF226">
        <v>10000</v>
      </c>
      <c r="FG226">
        <v>10000</v>
      </c>
      <c r="FH226">
        <v>10000</v>
      </c>
      <c r="FI226">
        <v>10000</v>
      </c>
      <c r="FJ226">
        <v>10000</v>
      </c>
      <c r="FK226">
        <v>10000</v>
      </c>
      <c r="FL226">
        <v>10000</v>
      </c>
      <c r="FM226">
        <v>10000</v>
      </c>
      <c r="FN226">
        <v>10000</v>
      </c>
      <c r="FO226">
        <v>10000</v>
      </c>
      <c r="FP226">
        <v>10000</v>
      </c>
      <c r="FQ226">
        <v>10000</v>
      </c>
      <c r="FR226">
        <v>10000</v>
      </c>
      <c r="FS226">
        <v>10000</v>
      </c>
      <c r="FT226">
        <v>10000</v>
      </c>
      <c r="FU226">
        <v>10000</v>
      </c>
      <c r="FV226">
        <v>10000</v>
      </c>
      <c r="FW226">
        <v>10000</v>
      </c>
      <c r="FX226">
        <v>10000</v>
      </c>
      <c r="FY226">
        <v>10000</v>
      </c>
      <c r="FZ226">
        <v>10000</v>
      </c>
      <c r="GA226">
        <v>10000</v>
      </c>
      <c r="GB226">
        <v>10000</v>
      </c>
      <c r="GC226">
        <v>10000</v>
      </c>
      <c r="GD226">
        <v>10000</v>
      </c>
      <c r="GE226">
        <v>10000</v>
      </c>
      <c r="GF226">
        <v>10000</v>
      </c>
      <c r="GG226">
        <v>10000</v>
      </c>
      <c r="GH226">
        <v>10000</v>
      </c>
      <c r="GI226">
        <v>10000</v>
      </c>
      <c r="GJ226">
        <v>10000</v>
      </c>
      <c r="GK226">
        <v>10000</v>
      </c>
      <c r="GL226">
        <v>10000</v>
      </c>
      <c r="GM226">
        <v>10000</v>
      </c>
      <c r="GN226">
        <v>10000</v>
      </c>
      <c r="GO226">
        <v>10000</v>
      </c>
      <c r="GP226">
        <v>10000</v>
      </c>
      <c r="GQ226">
        <v>10000</v>
      </c>
      <c r="GR226">
        <v>10000</v>
      </c>
      <c r="GS226">
        <v>10000</v>
      </c>
      <c r="GT226">
        <v>10000</v>
      </c>
      <c r="GU226">
        <v>10000</v>
      </c>
      <c r="GV226">
        <v>10000</v>
      </c>
      <c r="GW226">
        <v>10000</v>
      </c>
      <c r="GX226">
        <v>10000</v>
      </c>
      <c r="GY226">
        <v>10000</v>
      </c>
      <c r="GZ226">
        <v>10000</v>
      </c>
      <c r="HA226">
        <v>10000</v>
      </c>
      <c r="HB226">
        <v>10000</v>
      </c>
      <c r="HC226">
        <v>10000</v>
      </c>
      <c r="HD226">
        <v>0</v>
      </c>
      <c r="HE226">
        <v>0</v>
      </c>
      <c r="HF226">
        <v>0</v>
      </c>
      <c r="HG226">
        <v>0</v>
      </c>
      <c r="HH226">
        <v>0</v>
      </c>
      <c r="HI226">
        <v>0</v>
      </c>
      <c r="HJ226">
        <v>0</v>
      </c>
      <c r="HK226">
        <v>0</v>
      </c>
      <c r="HL226">
        <v>0</v>
      </c>
      <c r="HM226">
        <v>0</v>
      </c>
      <c r="HN226">
        <v>0</v>
      </c>
      <c r="HO226">
        <v>0</v>
      </c>
      <c r="HP226">
        <v>0</v>
      </c>
      <c r="HQ226">
        <v>0</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c r="IK226">
        <v>0</v>
      </c>
    </row>
    <row r="227" spans="13:245" hidden="1">
      <c r="M227" s="343" t="s">
        <v>633</v>
      </c>
      <c r="N227" t="s">
        <v>1010</v>
      </c>
      <c r="O227">
        <v>1</v>
      </c>
      <c r="P227">
        <v>9</v>
      </c>
      <c r="Q227" s="184" t="str">
        <f t="shared" si="10"/>
        <v>SDJ200109</v>
      </c>
      <c r="R227">
        <v>294.7</v>
      </c>
      <c r="S227">
        <v>2000</v>
      </c>
      <c r="T227">
        <v>2000</v>
      </c>
      <c r="U227">
        <v>2000</v>
      </c>
      <c r="V227">
        <v>2000</v>
      </c>
      <c r="W227">
        <v>2000</v>
      </c>
      <c r="X227">
        <v>2062.8000000000002</v>
      </c>
      <c r="Y227">
        <v>2357.4</v>
      </c>
      <c r="Z227">
        <v>2652.1</v>
      </c>
      <c r="AA227">
        <v>2946.8</v>
      </c>
      <c r="AB227">
        <v>3241.5</v>
      </c>
      <c r="AC227">
        <v>3536.2</v>
      </c>
      <c r="AD227">
        <v>3830.8</v>
      </c>
      <c r="AE227">
        <v>4125.5</v>
      </c>
      <c r="AF227">
        <v>4420.2</v>
      </c>
      <c r="AG227">
        <v>4714.8999999999996</v>
      </c>
      <c r="AH227">
        <v>5009.6000000000004</v>
      </c>
      <c r="AI227">
        <v>5304.2</v>
      </c>
      <c r="AJ227">
        <v>5598.9</v>
      </c>
      <c r="AK227">
        <v>5893.6</v>
      </c>
      <c r="AL227">
        <v>5893.6</v>
      </c>
      <c r="AM227">
        <v>5893.6</v>
      </c>
      <c r="AN227">
        <v>5893.6</v>
      </c>
      <c r="AO227">
        <v>5893.6</v>
      </c>
      <c r="AP227">
        <v>5893.6</v>
      </c>
      <c r="AQ227">
        <v>5893.6</v>
      </c>
      <c r="AR227">
        <v>5893.6</v>
      </c>
      <c r="AS227">
        <v>5893.6</v>
      </c>
      <c r="AT227">
        <v>5893.6</v>
      </c>
      <c r="AU227">
        <v>5893.6</v>
      </c>
      <c r="AV227">
        <v>5893.6</v>
      </c>
      <c r="AW227">
        <v>5893.6</v>
      </c>
      <c r="AX227">
        <v>5893.6</v>
      </c>
      <c r="AY227">
        <v>5893.6</v>
      </c>
      <c r="AZ227">
        <v>5893.6</v>
      </c>
      <c r="BA227">
        <v>5893.6</v>
      </c>
      <c r="BB227">
        <v>5893.6</v>
      </c>
      <c r="BC227">
        <v>5893.6</v>
      </c>
      <c r="BD227">
        <v>5893.6</v>
      </c>
      <c r="BE227">
        <v>5893.6</v>
      </c>
      <c r="BF227">
        <v>5893.6</v>
      </c>
      <c r="BG227">
        <v>5893.6</v>
      </c>
      <c r="BH227">
        <v>5893.6</v>
      </c>
      <c r="BI227">
        <v>5893.6</v>
      </c>
      <c r="BJ227">
        <v>5893.6</v>
      </c>
      <c r="BK227">
        <v>5893.6</v>
      </c>
      <c r="BL227">
        <v>5893.6</v>
      </c>
      <c r="BM227">
        <v>5893.6</v>
      </c>
      <c r="BN227">
        <v>5893.6</v>
      </c>
      <c r="BO227">
        <v>5893.6</v>
      </c>
      <c r="BP227">
        <v>5893.6</v>
      </c>
      <c r="BQ227">
        <v>5893.6</v>
      </c>
      <c r="BR227">
        <v>5893.6</v>
      </c>
      <c r="BS227">
        <v>5893.6</v>
      </c>
      <c r="BT227">
        <v>5893.6</v>
      </c>
      <c r="BU227">
        <v>5893.6</v>
      </c>
      <c r="BV227">
        <v>5893.6</v>
      </c>
      <c r="BW227">
        <v>5893.6</v>
      </c>
      <c r="BX227">
        <v>5893.6</v>
      </c>
      <c r="BY227">
        <v>5893.6</v>
      </c>
      <c r="BZ227">
        <v>5893.6</v>
      </c>
      <c r="CA227">
        <v>5893.6</v>
      </c>
      <c r="CB227">
        <v>5893.6</v>
      </c>
      <c r="CC227">
        <v>5893.6</v>
      </c>
      <c r="CD227">
        <v>5893.6</v>
      </c>
      <c r="CE227">
        <v>5893.6</v>
      </c>
      <c r="CF227">
        <v>5893.6</v>
      </c>
      <c r="CG227">
        <v>5893.6</v>
      </c>
      <c r="CH227">
        <v>5893.6</v>
      </c>
      <c r="CI227">
        <v>5893.6</v>
      </c>
      <c r="CJ227">
        <v>5893.6</v>
      </c>
      <c r="CK227">
        <v>5893.6</v>
      </c>
      <c r="CL227">
        <v>5893.6</v>
      </c>
      <c r="CM227">
        <v>5893.6</v>
      </c>
      <c r="CN227">
        <v>5893.6</v>
      </c>
      <c r="CO227">
        <v>5893.6</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Z227" s="343" t="s">
        <v>633</v>
      </c>
      <c r="EA227" t="s">
        <v>1010</v>
      </c>
      <c r="EB227">
        <v>1</v>
      </c>
      <c r="EC227">
        <v>9</v>
      </c>
      <c r="ED227" s="184" t="str">
        <f t="shared" si="11"/>
        <v>SDJ200109</v>
      </c>
      <c r="EE227">
        <v>294.7</v>
      </c>
      <c r="EF227">
        <v>10000</v>
      </c>
      <c r="EG227">
        <v>10000</v>
      </c>
      <c r="EH227">
        <v>10000</v>
      </c>
      <c r="EI227">
        <v>10000</v>
      </c>
      <c r="EJ227">
        <v>10000</v>
      </c>
      <c r="EK227">
        <v>10000</v>
      </c>
      <c r="EL227">
        <v>10000</v>
      </c>
      <c r="EM227">
        <v>10000</v>
      </c>
      <c r="EN227">
        <v>10000</v>
      </c>
      <c r="EO227">
        <v>10000</v>
      </c>
      <c r="EP227">
        <v>10000</v>
      </c>
      <c r="EQ227">
        <v>10000</v>
      </c>
      <c r="ER227">
        <v>10000</v>
      </c>
      <c r="ES227">
        <v>10000</v>
      </c>
      <c r="ET227">
        <v>10000</v>
      </c>
      <c r="EU227">
        <v>10000</v>
      </c>
      <c r="EV227">
        <v>10000</v>
      </c>
      <c r="EW227">
        <v>10000</v>
      </c>
      <c r="EX227">
        <v>10000</v>
      </c>
      <c r="EY227">
        <v>10000</v>
      </c>
      <c r="EZ227">
        <v>10000</v>
      </c>
      <c r="FA227">
        <v>10000</v>
      </c>
      <c r="FB227">
        <v>10000</v>
      </c>
      <c r="FC227">
        <v>10000</v>
      </c>
      <c r="FD227">
        <v>10000</v>
      </c>
      <c r="FE227">
        <v>10000</v>
      </c>
      <c r="FF227">
        <v>10000</v>
      </c>
      <c r="FG227">
        <v>10000</v>
      </c>
      <c r="FH227">
        <v>10000</v>
      </c>
      <c r="FI227">
        <v>10000</v>
      </c>
      <c r="FJ227">
        <v>10000</v>
      </c>
      <c r="FK227">
        <v>10000</v>
      </c>
      <c r="FL227">
        <v>10000</v>
      </c>
      <c r="FM227">
        <v>10000</v>
      </c>
      <c r="FN227">
        <v>10000</v>
      </c>
      <c r="FO227">
        <v>10000</v>
      </c>
      <c r="FP227">
        <v>10000</v>
      </c>
      <c r="FQ227">
        <v>10000</v>
      </c>
      <c r="FR227">
        <v>10000</v>
      </c>
      <c r="FS227">
        <v>10000</v>
      </c>
      <c r="FT227">
        <v>10000</v>
      </c>
      <c r="FU227">
        <v>10000</v>
      </c>
      <c r="FV227">
        <v>10000</v>
      </c>
      <c r="FW227">
        <v>10000</v>
      </c>
      <c r="FX227">
        <v>10000</v>
      </c>
      <c r="FY227">
        <v>10000</v>
      </c>
      <c r="FZ227">
        <v>10000</v>
      </c>
      <c r="GA227">
        <v>10000</v>
      </c>
      <c r="GB227">
        <v>10000</v>
      </c>
      <c r="GC227">
        <v>10000</v>
      </c>
      <c r="GD227">
        <v>10000</v>
      </c>
      <c r="GE227">
        <v>10000</v>
      </c>
      <c r="GF227">
        <v>10000</v>
      </c>
      <c r="GG227">
        <v>10000</v>
      </c>
      <c r="GH227">
        <v>10000</v>
      </c>
      <c r="GI227">
        <v>10000</v>
      </c>
      <c r="GJ227">
        <v>10000</v>
      </c>
      <c r="GK227">
        <v>10000</v>
      </c>
      <c r="GL227">
        <v>10000</v>
      </c>
      <c r="GM227">
        <v>10000</v>
      </c>
      <c r="GN227">
        <v>10000</v>
      </c>
      <c r="GO227">
        <v>10000</v>
      </c>
      <c r="GP227">
        <v>10000</v>
      </c>
      <c r="GQ227">
        <v>10000</v>
      </c>
      <c r="GR227">
        <v>10000</v>
      </c>
      <c r="GS227">
        <v>10000</v>
      </c>
      <c r="GT227">
        <v>10000</v>
      </c>
      <c r="GU227">
        <v>10000</v>
      </c>
      <c r="GV227">
        <v>10000</v>
      </c>
      <c r="GW227">
        <v>10000</v>
      </c>
      <c r="GX227">
        <v>10000</v>
      </c>
      <c r="GY227">
        <v>10000</v>
      </c>
      <c r="GZ227">
        <v>10000</v>
      </c>
      <c r="HA227">
        <v>10000</v>
      </c>
      <c r="HB227">
        <v>10000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0</v>
      </c>
      <c r="IB227">
        <v>0</v>
      </c>
      <c r="IC227">
        <v>0</v>
      </c>
      <c r="ID227">
        <v>0</v>
      </c>
      <c r="IE227">
        <v>0</v>
      </c>
      <c r="IF227">
        <v>0</v>
      </c>
      <c r="IG227">
        <v>0</v>
      </c>
      <c r="IH227">
        <v>0</v>
      </c>
      <c r="II227">
        <v>0</v>
      </c>
      <c r="IJ227">
        <v>0</v>
      </c>
      <c r="IK227">
        <v>0</v>
      </c>
    </row>
    <row r="228" spans="13:245" hidden="1">
      <c r="M228" s="343" t="s">
        <v>633</v>
      </c>
      <c r="N228" t="s">
        <v>1010</v>
      </c>
      <c r="O228">
        <v>1</v>
      </c>
      <c r="P228">
        <v>10</v>
      </c>
      <c r="Q228" s="184" t="str">
        <f t="shared" si="10"/>
        <v>SDJ200110</v>
      </c>
      <c r="R228">
        <v>300</v>
      </c>
      <c r="S228">
        <v>2000</v>
      </c>
      <c r="T228">
        <v>2000</v>
      </c>
      <c r="U228">
        <v>2000</v>
      </c>
      <c r="V228">
        <v>2000</v>
      </c>
      <c r="W228">
        <v>2000</v>
      </c>
      <c r="X228">
        <v>2099.9</v>
      </c>
      <c r="Y228">
        <v>2399.8000000000002</v>
      </c>
      <c r="Z228">
        <v>2699.8</v>
      </c>
      <c r="AA228">
        <v>2999.8</v>
      </c>
      <c r="AB228">
        <v>3299.8</v>
      </c>
      <c r="AC228">
        <v>3599.8</v>
      </c>
      <c r="AD228">
        <v>3899.7</v>
      </c>
      <c r="AE228">
        <v>4199.7</v>
      </c>
      <c r="AF228">
        <v>4499.7</v>
      </c>
      <c r="AG228">
        <v>4799.7</v>
      </c>
      <c r="AH228">
        <v>5099.7</v>
      </c>
      <c r="AI228">
        <v>5399.6</v>
      </c>
      <c r="AJ228">
        <v>5699.6</v>
      </c>
      <c r="AK228">
        <v>5999.6</v>
      </c>
      <c r="AL228">
        <v>5999.6</v>
      </c>
      <c r="AM228">
        <v>5999.6</v>
      </c>
      <c r="AN228">
        <v>5999.6</v>
      </c>
      <c r="AO228">
        <v>5999.6</v>
      </c>
      <c r="AP228">
        <v>5999.6</v>
      </c>
      <c r="AQ228">
        <v>5999.6</v>
      </c>
      <c r="AR228">
        <v>5999.6</v>
      </c>
      <c r="AS228">
        <v>5999.6</v>
      </c>
      <c r="AT228">
        <v>5999.6</v>
      </c>
      <c r="AU228">
        <v>5999.6</v>
      </c>
      <c r="AV228">
        <v>5999.6</v>
      </c>
      <c r="AW228">
        <v>5999.6</v>
      </c>
      <c r="AX228">
        <v>5999.6</v>
      </c>
      <c r="AY228">
        <v>5999.6</v>
      </c>
      <c r="AZ228">
        <v>5999.6</v>
      </c>
      <c r="BA228">
        <v>5999.6</v>
      </c>
      <c r="BB228">
        <v>5999.6</v>
      </c>
      <c r="BC228">
        <v>5999.6</v>
      </c>
      <c r="BD228">
        <v>5999.6</v>
      </c>
      <c r="BE228">
        <v>5999.6</v>
      </c>
      <c r="BF228">
        <v>5999.6</v>
      </c>
      <c r="BG228">
        <v>5999.6</v>
      </c>
      <c r="BH228">
        <v>5999.6</v>
      </c>
      <c r="BI228">
        <v>5999.6</v>
      </c>
      <c r="BJ228">
        <v>5999.6</v>
      </c>
      <c r="BK228">
        <v>5999.6</v>
      </c>
      <c r="BL228">
        <v>5999.6</v>
      </c>
      <c r="BM228">
        <v>5999.6</v>
      </c>
      <c r="BN228">
        <v>5999.6</v>
      </c>
      <c r="BO228">
        <v>5999.6</v>
      </c>
      <c r="BP228">
        <v>5999.6</v>
      </c>
      <c r="BQ228">
        <v>5999.6</v>
      </c>
      <c r="BR228">
        <v>5999.6</v>
      </c>
      <c r="BS228">
        <v>5999.6</v>
      </c>
      <c r="BT228">
        <v>5999.6</v>
      </c>
      <c r="BU228">
        <v>5999.6</v>
      </c>
      <c r="BV228">
        <v>5999.6</v>
      </c>
      <c r="BW228">
        <v>5999.6</v>
      </c>
      <c r="BX228">
        <v>5999.6</v>
      </c>
      <c r="BY228">
        <v>5999.6</v>
      </c>
      <c r="BZ228">
        <v>5999.6</v>
      </c>
      <c r="CA228">
        <v>5999.6</v>
      </c>
      <c r="CB228">
        <v>5999.6</v>
      </c>
      <c r="CC228">
        <v>5999.6</v>
      </c>
      <c r="CD228">
        <v>5999.6</v>
      </c>
      <c r="CE228">
        <v>5999.6</v>
      </c>
      <c r="CF228">
        <v>5999.6</v>
      </c>
      <c r="CG228">
        <v>5999.6</v>
      </c>
      <c r="CH228">
        <v>5999.6</v>
      </c>
      <c r="CI228">
        <v>5999.6</v>
      </c>
      <c r="CJ228">
        <v>5999.6</v>
      </c>
      <c r="CK228">
        <v>5999.6</v>
      </c>
      <c r="CL228">
        <v>5999.6</v>
      </c>
      <c r="CM228">
        <v>5999.6</v>
      </c>
      <c r="CN228">
        <v>5999.6</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Z228" s="343" t="s">
        <v>633</v>
      </c>
      <c r="EA228" t="s">
        <v>1010</v>
      </c>
      <c r="EB228">
        <v>1</v>
      </c>
      <c r="EC228">
        <v>10</v>
      </c>
      <c r="ED228" s="184" t="str">
        <f t="shared" si="11"/>
        <v>SDJ200110</v>
      </c>
      <c r="EE228">
        <v>300</v>
      </c>
      <c r="EF228">
        <v>10000</v>
      </c>
      <c r="EG228">
        <v>10000</v>
      </c>
      <c r="EH228">
        <v>10000</v>
      </c>
      <c r="EI228">
        <v>10000</v>
      </c>
      <c r="EJ228">
        <v>10000</v>
      </c>
      <c r="EK228">
        <v>10000</v>
      </c>
      <c r="EL228">
        <v>10000</v>
      </c>
      <c r="EM228">
        <v>10000</v>
      </c>
      <c r="EN228">
        <v>10000</v>
      </c>
      <c r="EO228">
        <v>10000</v>
      </c>
      <c r="EP228">
        <v>10000</v>
      </c>
      <c r="EQ228">
        <v>10000</v>
      </c>
      <c r="ER228">
        <v>10000</v>
      </c>
      <c r="ES228">
        <v>10000</v>
      </c>
      <c r="ET228">
        <v>10000</v>
      </c>
      <c r="EU228">
        <v>10000</v>
      </c>
      <c r="EV228">
        <v>10000</v>
      </c>
      <c r="EW228">
        <v>10000</v>
      </c>
      <c r="EX228">
        <v>10000</v>
      </c>
      <c r="EY228">
        <v>10000</v>
      </c>
      <c r="EZ228">
        <v>10000</v>
      </c>
      <c r="FA228">
        <v>10000</v>
      </c>
      <c r="FB228">
        <v>10000</v>
      </c>
      <c r="FC228">
        <v>10000</v>
      </c>
      <c r="FD228">
        <v>10000</v>
      </c>
      <c r="FE228">
        <v>10000</v>
      </c>
      <c r="FF228">
        <v>10000</v>
      </c>
      <c r="FG228">
        <v>10000</v>
      </c>
      <c r="FH228">
        <v>10000</v>
      </c>
      <c r="FI228">
        <v>10000</v>
      </c>
      <c r="FJ228">
        <v>10000</v>
      </c>
      <c r="FK228">
        <v>10000</v>
      </c>
      <c r="FL228">
        <v>10000</v>
      </c>
      <c r="FM228">
        <v>10000</v>
      </c>
      <c r="FN228">
        <v>10000</v>
      </c>
      <c r="FO228">
        <v>10000</v>
      </c>
      <c r="FP228">
        <v>10000</v>
      </c>
      <c r="FQ228">
        <v>10000</v>
      </c>
      <c r="FR228">
        <v>10000</v>
      </c>
      <c r="FS228">
        <v>10000</v>
      </c>
      <c r="FT228">
        <v>10000</v>
      </c>
      <c r="FU228">
        <v>10000</v>
      </c>
      <c r="FV228">
        <v>10000</v>
      </c>
      <c r="FW228">
        <v>10000</v>
      </c>
      <c r="FX228">
        <v>10000</v>
      </c>
      <c r="FY228">
        <v>10000</v>
      </c>
      <c r="FZ228">
        <v>10000</v>
      </c>
      <c r="GA228">
        <v>10000</v>
      </c>
      <c r="GB228">
        <v>10000</v>
      </c>
      <c r="GC228">
        <v>10000</v>
      </c>
      <c r="GD228">
        <v>10000</v>
      </c>
      <c r="GE228">
        <v>10000</v>
      </c>
      <c r="GF228">
        <v>10000</v>
      </c>
      <c r="GG228">
        <v>10000</v>
      </c>
      <c r="GH228">
        <v>10000</v>
      </c>
      <c r="GI228">
        <v>10000</v>
      </c>
      <c r="GJ228">
        <v>10000</v>
      </c>
      <c r="GK228">
        <v>10000</v>
      </c>
      <c r="GL228">
        <v>10000</v>
      </c>
      <c r="GM228">
        <v>10000</v>
      </c>
      <c r="GN228">
        <v>10000</v>
      </c>
      <c r="GO228">
        <v>10000</v>
      </c>
      <c r="GP228">
        <v>10000</v>
      </c>
      <c r="GQ228">
        <v>10000</v>
      </c>
      <c r="GR228">
        <v>10000</v>
      </c>
      <c r="GS228">
        <v>10000</v>
      </c>
      <c r="GT228">
        <v>10000</v>
      </c>
      <c r="GU228">
        <v>10000</v>
      </c>
      <c r="GV228">
        <v>10000</v>
      </c>
      <c r="GW228">
        <v>10000</v>
      </c>
      <c r="GX228">
        <v>10000</v>
      </c>
      <c r="GY228">
        <v>10000</v>
      </c>
      <c r="GZ228">
        <v>10000</v>
      </c>
      <c r="HA228">
        <v>10000</v>
      </c>
      <c r="HB228">
        <v>0</v>
      </c>
      <c r="HC228">
        <v>0</v>
      </c>
      <c r="HD228">
        <v>0</v>
      </c>
      <c r="HE228">
        <v>0</v>
      </c>
      <c r="HF228">
        <v>0</v>
      </c>
      <c r="HG228">
        <v>0</v>
      </c>
      <c r="HH228">
        <v>0</v>
      </c>
      <c r="HI228">
        <v>0</v>
      </c>
      <c r="HJ228">
        <v>0</v>
      </c>
      <c r="HK228">
        <v>0</v>
      </c>
      <c r="HL228">
        <v>0</v>
      </c>
      <c r="HM228">
        <v>0</v>
      </c>
      <c r="HN228">
        <v>0</v>
      </c>
      <c r="HO228">
        <v>0</v>
      </c>
      <c r="HP228">
        <v>0</v>
      </c>
      <c r="HQ228">
        <v>0</v>
      </c>
      <c r="HR228">
        <v>0</v>
      </c>
      <c r="HS228">
        <v>0</v>
      </c>
      <c r="HT228">
        <v>0</v>
      </c>
      <c r="HU228">
        <v>0</v>
      </c>
      <c r="HV228">
        <v>0</v>
      </c>
      <c r="HW228">
        <v>0</v>
      </c>
      <c r="HX228">
        <v>0</v>
      </c>
      <c r="HY228">
        <v>0</v>
      </c>
      <c r="HZ228">
        <v>0</v>
      </c>
      <c r="IA228">
        <v>0</v>
      </c>
      <c r="IB228">
        <v>0</v>
      </c>
      <c r="IC228">
        <v>0</v>
      </c>
      <c r="ID228">
        <v>0</v>
      </c>
      <c r="IE228">
        <v>0</v>
      </c>
      <c r="IF228">
        <v>0</v>
      </c>
      <c r="IG228">
        <v>0</v>
      </c>
      <c r="IH228">
        <v>0</v>
      </c>
      <c r="II228">
        <v>0</v>
      </c>
      <c r="IJ228">
        <v>0</v>
      </c>
      <c r="IK228">
        <v>0</v>
      </c>
    </row>
    <row r="229" spans="13:245" hidden="1">
      <c r="M229" s="343" t="s">
        <v>633</v>
      </c>
      <c r="N229" t="s">
        <v>1010</v>
      </c>
      <c r="O229">
        <v>1</v>
      </c>
      <c r="P229">
        <v>11</v>
      </c>
      <c r="Q229" s="184" t="str">
        <f t="shared" si="10"/>
        <v>SDJ200111</v>
      </c>
      <c r="R229">
        <v>306.3</v>
      </c>
      <c r="S229">
        <v>2000</v>
      </c>
      <c r="T229">
        <v>2000</v>
      </c>
      <c r="U229">
        <v>2000</v>
      </c>
      <c r="V229">
        <v>2000</v>
      </c>
      <c r="W229">
        <v>2000</v>
      </c>
      <c r="X229">
        <v>2144.4</v>
      </c>
      <c r="Y229">
        <v>2450.6999999999998</v>
      </c>
      <c r="Z229">
        <v>2757.1</v>
      </c>
      <c r="AA229">
        <v>3063.4</v>
      </c>
      <c r="AB229">
        <v>3369.7</v>
      </c>
      <c r="AC229">
        <v>3676.1</v>
      </c>
      <c r="AD229">
        <v>3982.4</v>
      </c>
      <c r="AE229">
        <v>4288.8</v>
      </c>
      <c r="AF229">
        <v>4595.1000000000004</v>
      </c>
      <c r="AG229">
        <v>4901.3999999999996</v>
      </c>
      <c r="AH229">
        <v>5207.8</v>
      </c>
      <c r="AI229">
        <v>5514.1</v>
      </c>
      <c r="AJ229">
        <v>5820.5</v>
      </c>
      <c r="AK229">
        <v>6126.8</v>
      </c>
      <c r="AL229">
        <v>6126.8</v>
      </c>
      <c r="AM229">
        <v>6126.8</v>
      </c>
      <c r="AN229">
        <v>6126.8</v>
      </c>
      <c r="AO229">
        <v>6126.8</v>
      </c>
      <c r="AP229">
        <v>6126.8</v>
      </c>
      <c r="AQ229">
        <v>6126.8</v>
      </c>
      <c r="AR229">
        <v>6126.8</v>
      </c>
      <c r="AS229">
        <v>6126.8</v>
      </c>
      <c r="AT229">
        <v>6126.8</v>
      </c>
      <c r="AU229">
        <v>6126.8</v>
      </c>
      <c r="AV229">
        <v>6126.8</v>
      </c>
      <c r="AW229">
        <v>6126.8</v>
      </c>
      <c r="AX229">
        <v>6126.8</v>
      </c>
      <c r="AY229">
        <v>6126.8</v>
      </c>
      <c r="AZ229">
        <v>6126.8</v>
      </c>
      <c r="BA229">
        <v>6126.8</v>
      </c>
      <c r="BB229">
        <v>6126.8</v>
      </c>
      <c r="BC229">
        <v>6126.8</v>
      </c>
      <c r="BD229">
        <v>6126.8</v>
      </c>
      <c r="BE229">
        <v>6126.8</v>
      </c>
      <c r="BF229">
        <v>6126.8</v>
      </c>
      <c r="BG229">
        <v>6126.8</v>
      </c>
      <c r="BH229">
        <v>6126.8</v>
      </c>
      <c r="BI229">
        <v>6126.8</v>
      </c>
      <c r="BJ229">
        <v>6126.8</v>
      </c>
      <c r="BK229">
        <v>6126.8</v>
      </c>
      <c r="BL229">
        <v>6126.8</v>
      </c>
      <c r="BM229">
        <v>6126.8</v>
      </c>
      <c r="BN229">
        <v>6126.8</v>
      </c>
      <c r="BO229">
        <v>6126.8</v>
      </c>
      <c r="BP229">
        <v>6126.8</v>
      </c>
      <c r="BQ229">
        <v>6126.8</v>
      </c>
      <c r="BR229">
        <v>6126.8</v>
      </c>
      <c r="BS229">
        <v>6126.8</v>
      </c>
      <c r="BT229">
        <v>6126.8</v>
      </c>
      <c r="BU229">
        <v>6126.8</v>
      </c>
      <c r="BV229">
        <v>6126.8</v>
      </c>
      <c r="BW229">
        <v>6126.8</v>
      </c>
      <c r="BX229">
        <v>6126.8</v>
      </c>
      <c r="BY229">
        <v>6126.8</v>
      </c>
      <c r="BZ229">
        <v>6126.8</v>
      </c>
      <c r="CA229">
        <v>6126.8</v>
      </c>
      <c r="CB229">
        <v>6126.8</v>
      </c>
      <c r="CC229">
        <v>6126.8</v>
      </c>
      <c r="CD229">
        <v>6126.8</v>
      </c>
      <c r="CE229">
        <v>6126.8</v>
      </c>
      <c r="CF229">
        <v>6126.8</v>
      </c>
      <c r="CG229">
        <v>6126.8</v>
      </c>
      <c r="CH229">
        <v>6126.8</v>
      </c>
      <c r="CI229">
        <v>6126.8</v>
      </c>
      <c r="CJ229">
        <v>6126.8</v>
      </c>
      <c r="CK229">
        <v>6126.8</v>
      </c>
      <c r="CL229">
        <v>6126.8</v>
      </c>
      <c r="CM229">
        <v>6126.8</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Z229" s="343" t="s">
        <v>633</v>
      </c>
      <c r="EA229" t="s">
        <v>1010</v>
      </c>
      <c r="EB229">
        <v>1</v>
      </c>
      <c r="EC229">
        <v>11</v>
      </c>
      <c r="ED229" s="184" t="str">
        <f t="shared" si="11"/>
        <v>SDJ200111</v>
      </c>
      <c r="EE229">
        <v>306.3</v>
      </c>
      <c r="EF229">
        <v>10000</v>
      </c>
      <c r="EG229">
        <v>10000</v>
      </c>
      <c r="EH229">
        <v>10000</v>
      </c>
      <c r="EI229">
        <v>10000</v>
      </c>
      <c r="EJ229">
        <v>10000</v>
      </c>
      <c r="EK229">
        <v>10000</v>
      </c>
      <c r="EL229">
        <v>10000</v>
      </c>
      <c r="EM229">
        <v>10000</v>
      </c>
      <c r="EN229">
        <v>10000</v>
      </c>
      <c r="EO229">
        <v>10000</v>
      </c>
      <c r="EP229">
        <v>10000</v>
      </c>
      <c r="EQ229">
        <v>10000</v>
      </c>
      <c r="ER229">
        <v>10000</v>
      </c>
      <c r="ES229">
        <v>10000</v>
      </c>
      <c r="ET229">
        <v>10000</v>
      </c>
      <c r="EU229">
        <v>10000</v>
      </c>
      <c r="EV229">
        <v>10000</v>
      </c>
      <c r="EW229">
        <v>10000</v>
      </c>
      <c r="EX229">
        <v>10000</v>
      </c>
      <c r="EY229">
        <v>10000</v>
      </c>
      <c r="EZ229">
        <v>10000</v>
      </c>
      <c r="FA229">
        <v>10000</v>
      </c>
      <c r="FB229">
        <v>10000</v>
      </c>
      <c r="FC229">
        <v>10000</v>
      </c>
      <c r="FD229">
        <v>10000</v>
      </c>
      <c r="FE229">
        <v>10000</v>
      </c>
      <c r="FF229">
        <v>10000</v>
      </c>
      <c r="FG229">
        <v>10000</v>
      </c>
      <c r="FH229">
        <v>10000</v>
      </c>
      <c r="FI229">
        <v>10000</v>
      </c>
      <c r="FJ229">
        <v>10000</v>
      </c>
      <c r="FK229">
        <v>10000</v>
      </c>
      <c r="FL229">
        <v>10000</v>
      </c>
      <c r="FM229">
        <v>10000</v>
      </c>
      <c r="FN229">
        <v>10000</v>
      </c>
      <c r="FO229">
        <v>10000</v>
      </c>
      <c r="FP229">
        <v>10000</v>
      </c>
      <c r="FQ229">
        <v>10000</v>
      </c>
      <c r="FR229">
        <v>10000</v>
      </c>
      <c r="FS229">
        <v>10000</v>
      </c>
      <c r="FT229">
        <v>10000</v>
      </c>
      <c r="FU229">
        <v>10000</v>
      </c>
      <c r="FV229">
        <v>10000</v>
      </c>
      <c r="FW229">
        <v>10000</v>
      </c>
      <c r="FX229">
        <v>10000</v>
      </c>
      <c r="FY229">
        <v>10000</v>
      </c>
      <c r="FZ229">
        <v>10000</v>
      </c>
      <c r="GA229">
        <v>10000</v>
      </c>
      <c r="GB229">
        <v>10000</v>
      </c>
      <c r="GC229">
        <v>10000</v>
      </c>
      <c r="GD229">
        <v>10000</v>
      </c>
      <c r="GE229">
        <v>10000</v>
      </c>
      <c r="GF229">
        <v>10000</v>
      </c>
      <c r="GG229">
        <v>10000</v>
      </c>
      <c r="GH229">
        <v>10000</v>
      </c>
      <c r="GI229">
        <v>10000</v>
      </c>
      <c r="GJ229">
        <v>10000</v>
      </c>
      <c r="GK229">
        <v>10000</v>
      </c>
      <c r="GL229">
        <v>10000</v>
      </c>
      <c r="GM229">
        <v>10000</v>
      </c>
      <c r="GN229">
        <v>10000</v>
      </c>
      <c r="GO229">
        <v>10000</v>
      </c>
      <c r="GP229">
        <v>10000</v>
      </c>
      <c r="GQ229">
        <v>10000</v>
      </c>
      <c r="GR229">
        <v>10000</v>
      </c>
      <c r="GS229">
        <v>10000</v>
      </c>
      <c r="GT229">
        <v>10000</v>
      </c>
      <c r="GU229">
        <v>10000</v>
      </c>
      <c r="GV229">
        <v>10000</v>
      </c>
      <c r="GW229">
        <v>10000</v>
      </c>
      <c r="GX229">
        <v>10000</v>
      </c>
      <c r="GY229">
        <v>10000</v>
      </c>
      <c r="GZ229">
        <v>10000</v>
      </c>
      <c r="HA229">
        <v>0</v>
      </c>
      <c r="HB229">
        <v>0</v>
      </c>
      <c r="HC229">
        <v>0</v>
      </c>
      <c r="HD229">
        <v>0</v>
      </c>
      <c r="HE229">
        <v>0</v>
      </c>
      <c r="HF229">
        <v>0</v>
      </c>
      <c r="HG229">
        <v>0</v>
      </c>
      <c r="HH229">
        <v>0</v>
      </c>
      <c r="HI229">
        <v>0</v>
      </c>
      <c r="HJ229">
        <v>0</v>
      </c>
      <c r="HK229">
        <v>0</v>
      </c>
      <c r="HL229">
        <v>0</v>
      </c>
      <c r="HM229">
        <v>0</v>
      </c>
      <c r="HN229">
        <v>0</v>
      </c>
      <c r="HO229">
        <v>0</v>
      </c>
      <c r="HP229">
        <v>0</v>
      </c>
      <c r="HQ229">
        <v>0</v>
      </c>
      <c r="HR229">
        <v>0</v>
      </c>
      <c r="HS229">
        <v>0</v>
      </c>
      <c r="HT229">
        <v>0</v>
      </c>
      <c r="HU229">
        <v>0</v>
      </c>
      <c r="HV229">
        <v>0</v>
      </c>
      <c r="HW229">
        <v>0</v>
      </c>
      <c r="HX229">
        <v>0</v>
      </c>
      <c r="HY229">
        <v>0</v>
      </c>
      <c r="HZ229">
        <v>0</v>
      </c>
      <c r="IA229">
        <v>0</v>
      </c>
      <c r="IB229">
        <v>0</v>
      </c>
      <c r="IC229">
        <v>0</v>
      </c>
      <c r="ID229">
        <v>0</v>
      </c>
      <c r="IE229">
        <v>0</v>
      </c>
      <c r="IF229">
        <v>0</v>
      </c>
      <c r="IG229">
        <v>0</v>
      </c>
      <c r="IH229">
        <v>0</v>
      </c>
      <c r="II229">
        <v>0</v>
      </c>
      <c r="IJ229">
        <v>0</v>
      </c>
      <c r="IK229">
        <v>0</v>
      </c>
    </row>
    <row r="230" spans="13:245" hidden="1">
      <c r="M230" s="343" t="s">
        <v>633</v>
      </c>
      <c r="N230" t="s">
        <v>1010</v>
      </c>
      <c r="O230">
        <v>1</v>
      </c>
      <c r="P230">
        <v>12</v>
      </c>
      <c r="Q230" s="184" t="str">
        <f t="shared" si="10"/>
        <v>SDJ200112</v>
      </c>
      <c r="R230">
        <v>312.7</v>
      </c>
      <c r="S230">
        <v>2000</v>
      </c>
      <c r="T230">
        <v>2000</v>
      </c>
      <c r="U230">
        <v>2000</v>
      </c>
      <c r="V230">
        <v>2000</v>
      </c>
      <c r="W230">
        <v>2000</v>
      </c>
      <c r="X230">
        <v>2188.9</v>
      </c>
      <c r="Y230">
        <v>2501.6</v>
      </c>
      <c r="Z230">
        <v>2814.3</v>
      </c>
      <c r="AA230">
        <v>3127</v>
      </c>
      <c r="AB230">
        <v>3439.7</v>
      </c>
      <c r="AC230">
        <v>3752.4</v>
      </c>
      <c r="AD230">
        <v>4065.1</v>
      </c>
      <c r="AE230">
        <v>4377.8</v>
      </c>
      <c r="AF230">
        <v>4690.5</v>
      </c>
      <c r="AG230">
        <v>5003.2</v>
      </c>
      <c r="AH230">
        <v>5315.9</v>
      </c>
      <c r="AI230">
        <v>5628.6</v>
      </c>
      <c r="AJ230">
        <v>5941.3</v>
      </c>
      <c r="AK230">
        <v>6254</v>
      </c>
      <c r="AL230">
        <v>6254</v>
      </c>
      <c r="AM230">
        <v>6254</v>
      </c>
      <c r="AN230">
        <v>6254</v>
      </c>
      <c r="AO230">
        <v>6254</v>
      </c>
      <c r="AP230">
        <v>6254</v>
      </c>
      <c r="AQ230">
        <v>6254</v>
      </c>
      <c r="AR230">
        <v>6254</v>
      </c>
      <c r="AS230">
        <v>6254</v>
      </c>
      <c r="AT230">
        <v>6254</v>
      </c>
      <c r="AU230">
        <v>6254</v>
      </c>
      <c r="AV230">
        <v>6254</v>
      </c>
      <c r="AW230">
        <v>6254</v>
      </c>
      <c r="AX230">
        <v>6254</v>
      </c>
      <c r="AY230">
        <v>6254</v>
      </c>
      <c r="AZ230">
        <v>6254</v>
      </c>
      <c r="BA230">
        <v>6254</v>
      </c>
      <c r="BB230">
        <v>6254</v>
      </c>
      <c r="BC230">
        <v>6254</v>
      </c>
      <c r="BD230">
        <v>6254</v>
      </c>
      <c r="BE230">
        <v>6254</v>
      </c>
      <c r="BF230">
        <v>6254</v>
      </c>
      <c r="BG230">
        <v>6254</v>
      </c>
      <c r="BH230">
        <v>6254</v>
      </c>
      <c r="BI230">
        <v>6254</v>
      </c>
      <c r="BJ230">
        <v>6254</v>
      </c>
      <c r="BK230">
        <v>6254</v>
      </c>
      <c r="BL230">
        <v>6254</v>
      </c>
      <c r="BM230">
        <v>6254</v>
      </c>
      <c r="BN230">
        <v>6254</v>
      </c>
      <c r="BO230">
        <v>6254</v>
      </c>
      <c r="BP230">
        <v>6254</v>
      </c>
      <c r="BQ230">
        <v>6254</v>
      </c>
      <c r="BR230">
        <v>6254</v>
      </c>
      <c r="BS230">
        <v>6254</v>
      </c>
      <c r="BT230">
        <v>6254</v>
      </c>
      <c r="BU230">
        <v>6254</v>
      </c>
      <c r="BV230">
        <v>6254</v>
      </c>
      <c r="BW230">
        <v>6254</v>
      </c>
      <c r="BX230">
        <v>6254</v>
      </c>
      <c r="BY230">
        <v>6254</v>
      </c>
      <c r="BZ230">
        <v>6254</v>
      </c>
      <c r="CA230">
        <v>6254</v>
      </c>
      <c r="CB230">
        <v>6254</v>
      </c>
      <c r="CC230">
        <v>6254</v>
      </c>
      <c r="CD230">
        <v>6254</v>
      </c>
      <c r="CE230">
        <v>6254</v>
      </c>
      <c r="CF230">
        <v>6254</v>
      </c>
      <c r="CG230">
        <v>6254</v>
      </c>
      <c r="CH230">
        <v>6254</v>
      </c>
      <c r="CI230">
        <v>6254</v>
      </c>
      <c r="CJ230">
        <v>6254</v>
      </c>
      <c r="CK230">
        <v>6254</v>
      </c>
      <c r="CL230">
        <v>6254</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Z230" s="343" t="s">
        <v>633</v>
      </c>
      <c r="EA230" t="s">
        <v>1010</v>
      </c>
      <c r="EB230">
        <v>1</v>
      </c>
      <c r="EC230">
        <v>12</v>
      </c>
      <c r="ED230" s="184" t="str">
        <f t="shared" si="11"/>
        <v>SDJ200112</v>
      </c>
      <c r="EE230">
        <v>312.7</v>
      </c>
      <c r="EF230">
        <v>10000</v>
      </c>
      <c r="EG230">
        <v>10000</v>
      </c>
      <c r="EH230">
        <v>10000</v>
      </c>
      <c r="EI230">
        <v>10000</v>
      </c>
      <c r="EJ230">
        <v>10000</v>
      </c>
      <c r="EK230">
        <v>10000</v>
      </c>
      <c r="EL230">
        <v>10000</v>
      </c>
      <c r="EM230">
        <v>10000</v>
      </c>
      <c r="EN230">
        <v>10000</v>
      </c>
      <c r="EO230">
        <v>10000</v>
      </c>
      <c r="EP230">
        <v>10000</v>
      </c>
      <c r="EQ230">
        <v>10000</v>
      </c>
      <c r="ER230">
        <v>10000</v>
      </c>
      <c r="ES230">
        <v>10000</v>
      </c>
      <c r="ET230">
        <v>10000</v>
      </c>
      <c r="EU230">
        <v>10000</v>
      </c>
      <c r="EV230">
        <v>10000</v>
      </c>
      <c r="EW230">
        <v>10000</v>
      </c>
      <c r="EX230">
        <v>10000</v>
      </c>
      <c r="EY230">
        <v>10000</v>
      </c>
      <c r="EZ230">
        <v>10000</v>
      </c>
      <c r="FA230">
        <v>10000</v>
      </c>
      <c r="FB230">
        <v>10000</v>
      </c>
      <c r="FC230">
        <v>10000</v>
      </c>
      <c r="FD230">
        <v>10000</v>
      </c>
      <c r="FE230">
        <v>10000</v>
      </c>
      <c r="FF230">
        <v>10000</v>
      </c>
      <c r="FG230">
        <v>10000</v>
      </c>
      <c r="FH230">
        <v>10000</v>
      </c>
      <c r="FI230">
        <v>10000</v>
      </c>
      <c r="FJ230">
        <v>10000</v>
      </c>
      <c r="FK230">
        <v>10000</v>
      </c>
      <c r="FL230">
        <v>10000</v>
      </c>
      <c r="FM230">
        <v>10000</v>
      </c>
      <c r="FN230">
        <v>10000</v>
      </c>
      <c r="FO230">
        <v>10000</v>
      </c>
      <c r="FP230">
        <v>10000</v>
      </c>
      <c r="FQ230">
        <v>10000</v>
      </c>
      <c r="FR230">
        <v>10000</v>
      </c>
      <c r="FS230">
        <v>10000</v>
      </c>
      <c r="FT230">
        <v>10000</v>
      </c>
      <c r="FU230">
        <v>10000</v>
      </c>
      <c r="FV230">
        <v>10000</v>
      </c>
      <c r="FW230">
        <v>10000</v>
      </c>
      <c r="FX230">
        <v>10000</v>
      </c>
      <c r="FY230">
        <v>10000</v>
      </c>
      <c r="FZ230">
        <v>10000</v>
      </c>
      <c r="GA230">
        <v>10000</v>
      </c>
      <c r="GB230">
        <v>10000</v>
      </c>
      <c r="GC230">
        <v>10000</v>
      </c>
      <c r="GD230">
        <v>10000</v>
      </c>
      <c r="GE230">
        <v>10000</v>
      </c>
      <c r="GF230">
        <v>10000</v>
      </c>
      <c r="GG230">
        <v>10000</v>
      </c>
      <c r="GH230">
        <v>10000</v>
      </c>
      <c r="GI230">
        <v>10000</v>
      </c>
      <c r="GJ230">
        <v>10000</v>
      </c>
      <c r="GK230">
        <v>10000</v>
      </c>
      <c r="GL230">
        <v>10000</v>
      </c>
      <c r="GM230">
        <v>10000</v>
      </c>
      <c r="GN230">
        <v>10000</v>
      </c>
      <c r="GO230">
        <v>10000</v>
      </c>
      <c r="GP230">
        <v>10000</v>
      </c>
      <c r="GQ230">
        <v>10000</v>
      </c>
      <c r="GR230">
        <v>10000</v>
      </c>
      <c r="GS230">
        <v>10000</v>
      </c>
      <c r="GT230">
        <v>10000</v>
      </c>
      <c r="GU230">
        <v>10000</v>
      </c>
      <c r="GV230">
        <v>10000</v>
      </c>
      <c r="GW230">
        <v>10000</v>
      </c>
      <c r="GX230">
        <v>10000</v>
      </c>
      <c r="GY230">
        <v>10000</v>
      </c>
      <c r="GZ230">
        <v>0</v>
      </c>
      <c r="HA230">
        <v>0</v>
      </c>
      <c r="HB230">
        <v>0</v>
      </c>
      <c r="HC230">
        <v>0</v>
      </c>
      <c r="HD230">
        <v>0</v>
      </c>
      <c r="HE230">
        <v>0</v>
      </c>
      <c r="HF230">
        <v>0</v>
      </c>
      <c r="HG230">
        <v>0</v>
      </c>
      <c r="HH230">
        <v>0</v>
      </c>
      <c r="HI230">
        <v>0</v>
      </c>
      <c r="HJ230">
        <v>0</v>
      </c>
      <c r="HK230">
        <v>0</v>
      </c>
      <c r="HL230">
        <v>0</v>
      </c>
      <c r="HM230">
        <v>0</v>
      </c>
      <c r="HN230">
        <v>0</v>
      </c>
      <c r="HO230">
        <v>0</v>
      </c>
      <c r="HP230">
        <v>0</v>
      </c>
      <c r="HQ230">
        <v>0</v>
      </c>
      <c r="HR230">
        <v>0</v>
      </c>
      <c r="HS230">
        <v>0</v>
      </c>
      <c r="HT230">
        <v>0</v>
      </c>
      <c r="HU230">
        <v>0</v>
      </c>
      <c r="HV230">
        <v>0</v>
      </c>
      <c r="HW230">
        <v>0</v>
      </c>
      <c r="HX230">
        <v>0</v>
      </c>
      <c r="HY230">
        <v>0</v>
      </c>
      <c r="HZ230">
        <v>0</v>
      </c>
      <c r="IA230">
        <v>0</v>
      </c>
      <c r="IB230">
        <v>0</v>
      </c>
      <c r="IC230">
        <v>0</v>
      </c>
      <c r="ID230">
        <v>0</v>
      </c>
      <c r="IE230">
        <v>0</v>
      </c>
      <c r="IF230">
        <v>0</v>
      </c>
      <c r="IG230">
        <v>0</v>
      </c>
      <c r="IH230">
        <v>0</v>
      </c>
      <c r="II230">
        <v>0</v>
      </c>
      <c r="IJ230">
        <v>0</v>
      </c>
      <c r="IK230">
        <v>0</v>
      </c>
    </row>
    <row r="231" spans="13:245" hidden="1">
      <c r="M231" s="343" t="s">
        <v>633</v>
      </c>
      <c r="N231" t="s">
        <v>1010</v>
      </c>
      <c r="O231">
        <v>1</v>
      </c>
      <c r="P231">
        <v>13</v>
      </c>
      <c r="Q231" s="184" t="str">
        <f t="shared" si="10"/>
        <v>SDJ200113</v>
      </c>
      <c r="R231">
        <v>319.10000000000002</v>
      </c>
      <c r="S231">
        <v>2000</v>
      </c>
      <c r="T231">
        <v>2000</v>
      </c>
      <c r="U231">
        <v>2000</v>
      </c>
      <c r="V231">
        <v>2000</v>
      </c>
      <c r="W231">
        <v>2000</v>
      </c>
      <c r="X231">
        <v>2233.4</v>
      </c>
      <c r="Y231">
        <v>2552.5</v>
      </c>
      <c r="Z231">
        <v>2871.5</v>
      </c>
      <c r="AA231">
        <v>3190.6</v>
      </c>
      <c r="AB231">
        <v>3509.7</v>
      </c>
      <c r="AC231">
        <v>3828.7</v>
      </c>
      <c r="AD231">
        <v>4147.8</v>
      </c>
      <c r="AE231">
        <v>4466.8</v>
      </c>
      <c r="AF231">
        <v>4785.8999999999996</v>
      </c>
      <c r="AG231">
        <v>5105</v>
      </c>
      <c r="AH231">
        <v>5424</v>
      </c>
      <c r="AI231">
        <v>5743.1</v>
      </c>
      <c r="AJ231">
        <v>6062.1</v>
      </c>
      <c r="AK231">
        <v>6381.2</v>
      </c>
      <c r="AL231">
        <v>6381.2</v>
      </c>
      <c r="AM231">
        <v>6381.2</v>
      </c>
      <c r="AN231">
        <v>6381.2</v>
      </c>
      <c r="AO231">
        <v>6381.2</v>
      </c>
      <c r="AP231">
        <v>6381.2</v>
      </c>
      <c r="AQ231">
        <v>6381.2</v>
      </c>
      <c r="AR231">
        <v>6381.2</v>
      </c>
      <c r="AS231">
        <v>6381.2</v>
      </c>
      <c r="AT231">
        <v>6381.2</v>
      </c>
      <c r="AU231">
        <v>6381.2</v>
      </c>
      <c r="AV231">
        <v>6381.2</v>
      </c>
      <c r="AW231">
        <v>6381.2</v>
      </c>
      <c r="AX231">
        <v>6381.2</v>
      </c>
      <c r="AY231">
        <v>6381.2</v>
      </c>
      <c r="AZ231">
        <v>6381.2</v>
      </c>
      <c r="BA231">
        <v>6381.2</v>
      </c>
      <c r="BB231">
        <v>6381.2</v>
      </c>
      <c r="BC231">
        <v>6381.2</v>
      </c>
      <c r="BD231">
        <v>6381.2</v>
      </c>
      <c r="BE231">
        <v>6381.2</v>
      </c>
      <c r="BF231">
        <v>6381.2</v>
      </c>
      <c r="BG231">
        <v>6381.2</v>
      </c>
      <c r="BH231">
        <v>6381.2</v>
      </c>
      <c r="BI231">
        <v>6381.2</v>
      </c>
      <c r="BJ231">
        <v>6381.2</v>
      </c>
      <c r="BK231">
        <v>6381.2</v>
      </c>
      <c r="BL231">
        <v>6381.2</v>
      </c>
      <c r="BM231">
        <v>6381.2</v>
      </c>
      <c r="BN231">
        <v>6381.2</v>
      </c>
      <c r="BO231">
        <v>6381.2</v>
      </c>
      <c r="BP231">
        <v>6381.2</v>
      </c>
      <c r="BQ231">
        <v>6381.2</v>
      </c>
      <c r="BR231">
        <v>6381.2</v>
      </c>
      <c r="BS231">
        <v>6381.2</v>
      </c>
      <c r="BT231">
        <v>6381.2</v>
      </c>
      <c r="BU231">
        <v>6381.2</v>
      </c>
      <c r="BV231">
        <v>6381.2</v>
      </c>
      <c r="BW231">
        <v>6381.2</v>
      </c>
      <c r="BX231">
        <v>6381.2</v>
      </c>
      <c r="BY231">
        <v>6381.2</v>
      </c>
      <c r="BZ231">
        <v>6381.2</v>
      </c>
      <c r="CA231">
        <v>6381.2</v>
      </c>
      <c r="CB231">
        <v>6381.2</v>
      </c>
      <c r="CC231">
        <v>6381.2</v>
      </c>
      <c r="CD231">
        <v>6381.2</v>
      </c>
      <c r="CE231">
        <v>6381.2</v>
      </c>
      <c r="CF231">
        <v>6381.2</v>
      </c>
      <c r="CG231">
        <v>6381.2</v>
      </c>
      <c r="CH231">
        <v>6381.2</v>
      </c>
      <c r="CI231">
        <v>6381.2</v>
      </c>
      <c r="CJ231">
        <v>6381.2</v>
      </c>
      <c r="CK231">
        <v>6381.2</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Z231" s="343" t="s">
        <v>633</v>
      </c>
      <c r="EA231" t="s">
        <v>1010</v>
      </c>
      <c r="EB231">
        <v>1</v>
      </c>
      <c r="EC231">
        <v>13</v>
      </c>
      <c r="ED231" s="184" t="str">
        <f t="shared" si="11"/>
        <v>SDJ200113</v>
      </c>
      <c r="EE231">
        <v>319.10000000000002</v>
      </c>
      <c r="EF231">
        <v>10000</v>
      </c>
      <c r="EG231">
        <v>10000</v>
      </c>
      <c r="EH231">
        <v>10000</v>
      </c>
      <c r="EI231">
        <v>10000</v>
      </c>
      <c r="EJ231">
        <v>10000</v>
      </c>
      <c r="EK231">
        <v>10000</v>
      </c>
      <c r="EL231">
        <v>10000</v>
      </c>
      <c r="EM231">
        <v>10000</v>
      </c>
      <c r="EN231">
        <v>10000</v>
      </c>
      <c r="EO231">
        <v>10000</v>
      </c>
      <c r="EP231">
        <v>10000</v>
      </c>
      <c r="EQ231">
        <v>10000</v>
      </c>
      <c r="ER231">
        <v>10000</v>
      </c>
      <c r="ES231">
        <v>10000</v>
      </c>
      <c r="ET231">
        <v>10000</v>
      </c>
      <c r="EU231">
        <v>10000</v>
      </c>
      <c r="EV231">
        <v>10000</v>
      </c>
      <c r="EW231">
        <v>10000</v>
      </c>
      <c r="EX231">
        <v>10000</v>
      </c>
      <c r="EY231">
        <v>10000</v>
      </c>
      <c r="EZ231">
        <v>10000</v>
      </c>
      <c r="FA231">
        <v>10000</v>
      </c>
      <c r="FB231">
        <v>10000</v>
      </c>
      <c r="FC231">
        <v>10000</v>
      </c>
      <c r="FD231">
        <v>10000</v>
      </c>
      <c r="FE231">
        <v>10000</v>
      </c>
      <c r="FF231">
        <v>10000</v>
      </c>
      <c r="FG231">
        <v>10000</v>
      </c>
      <c r="FH231">
        <v>10000</v>
      </c>
      <c r="FI231">
        <v>10000</v>
      </c>
      <c r="FJ231">
        <v>10000</v>
      </c>
      <c r="FK231">
        <v>10000</v>
      </c>
      <c r="FL231">
        <v>10000</v>
      </c>
      <c r="FM231">
        <v>10000</v>
      </c>
      <c r="FN231">
        <v>10000</v>
      </c>
      <c r="FO231">
        <v>10000</v>
      </c>
      <c r="FP231">
        <v>10000</v>
      </c>
      <c r="FQ231">
        <v>10000</v>
      </c>
      <c r="FR231">
        <v>10000</v>
      </c>
      <c r="FS231">
        <v>10000</v>
      </c>
      <c r="FT231">
        <v>10000</v>
      </c>
      <c r="FU231">
        <v>10000</v>
      </c>
      <c r="FV231">
        <v>10000</v>
      </c>
      <c r="FW231">
        <v>10000</v>
      </c>
      <c r="FX231">
        <v>10000</v>
      </c>
      <c r="FY231">
        <v>10000</v>
      </c>
      <c r="FZ231">
        <v>10000</v>
      </c>
      <c r="GA231">
        <v>10000</v>
      </c>
      <c r="GB231">
        <v>10000</v>
      </c>
      <c r="GC231">
        <v>10000</v>
      </c>
      <c r="GD231">
        <v>10000</v>
      </c>
      <c r="GE231">
        <v>10000</v>
      </c>
      <c r="GF231">
        <v>10000</v>
      </c>
      <c r="GG231">
        <v>10000</v>
      </c>
      <c r="GH231">
        <v>10000</v>
      </c>
      <c r="GI231">
        <v>10000</v>
      </c>
      <c r="GJ231">
        <v>10000</v>
      </c>
      <c r="GK231">
        <v>10000</v>
      </c>
      <c r="GL231">
        <v>10000</v>
      </c>
      <c r="GM231">
        <v>10000</v>
      </c>
      <c r="GN231">
        <v>10000</v>
      </c>
      <c r="GO231">
        <v>10000</v>
      </c>
      <c r="GP231">
        <v>10000</v>
      </c>
      <c r="GQ231">
        <v>10000</v>
      </c>
      <c r="GR231">
        <v>10000</v>
      </c>
      <c r="GS231">
        <v>10000</v>
      </c>
      <c r="GT231">
        <v>10000</v>
      </c>
      <c r="GU231">
        <v>10000</v>
      </c>
      <c r="GV231">
        <v>10000</v>
      </c>
      <c r="GW231">
        <v>10000</v>
      </c>
      <c r="GX231">
        <v>10000</v>
      </c>
      <c r="GY231">
        <v>0</v>
      </c>
      <c r="GZ231">
        <v>0</v>
      </c>
      <c r="HA231">
        <v>0</v>
      </c>
      <c r="HB231">
        <v>0</v>
      </c>
      <c r="HC231">
        <v>0</v>
      </c>
      <c r="HD231">
        <v>0</v>
      </c>
      <c r="HE231">
        <v>0</v>
      </c>
      <c r="HF231">
        <v>0</v>
      </c>
      <c r="HG231">
        <v>0</v>
      </c>
      <c r="HH231">
        <v>0</v>
      </c>
      <c r="HI231">
        <v>0</v>
      </c>
      <c r="HJ231">
        <v>0</v>
      </c>
      <c r="HK231">
        <v>0</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v>
      </c>
      <c r="IF231">
        <v>0</v>
      </c>
      <c r="IG231">
        <v>0</v>
      </c>
      <c r="IH231">
        <v>0</v>
      </c>
      <c r="II231">
        <v>0</v>
      </c>
      <c r="IJ231">
        <v>0</v>
      </c>
      <c r="IK231">
        <v>0</v>
      </c>
    </row>
    <row r="232" spans="13:245" hidden="1">
      <c r="M232" s="343" t="s">
        <v>633</v>
      </c>
      <c r="N232" t="s">
        <v>1010</v>
      </c>
      <c r="O232">
        <v>1</v>
      </c>
      <c r="P232">
        <v>14</v>
      </c>
      <c r="Q232" s="184" t="str">
        <f t="shared" si="10"/>
        <v>SDJ200114</v>
      </c>
      <c r="R232">
        <v>325.39999999999998</v>
      </c>
      <c r="S232">
        <v>2000</v>
      </c>
      <c r="T232">
        <v>2000</v>
      </c>
      <c r="U232">
        <v>2000</v>
      </c>
      <c r="V232">
        <v>2000</v>
      </c>
      <c r="W232">
        <v>2000</v>
      </c>
      <c r="X232">
        <v>2277.9</v>
      </c>
      <c r="Y232">
        <v>2603.4</v>
      </c>
      <c r="Z232">
        <v>2928.8</v>
      </c>
      <c r="AA232">
        <v>3254.2</v>
      </c>
      <c r="AB232">
        <v>3579.6</v>
      </c>
      <c r="AC232">
        <v>3905</v>
      </c>
      <c r="AD232">
        <v>4230.5</v>
      </c>
      <c r="AE232">
        <v>4555.8999999999996</v>
      </c>
      <c r="AF232">
        <v>4881.3</v>
      </c>
      <c r="AG232">
        <v>5206.7</v>
      </c>
      <c r="AH232">
        <v>5532.1</v>
      </c>
      <c r="AI232">
        <v>5857.6</v>
      </c>
      <c r="AJ232">
        <v>6183</v>
      </c>
      <c r="AK232">
        <v>6508.4</v>
      </c>
      <c r="AL232">
        <v>6508.4</v>
      </c>
      <c r="AM232">
        <v>6508.4</v>
      </c>
      <c r="AN232">
        <v>6508.4</v>
      </c>
      <c r="AO232">
        <v>6508.4</v>
      </c>
      <c r="AP232">
        <v>6508.4</v>
      </c>
      <c r="AQ232">
        <v>6508.4</v>
      </c>
      <c r="AR232">
        <v>6508.4</v>
      </c>
      <c r="AS232">
        <v>6508.4</v>
      </c>
      <c r="AT232">
        <v>6508.4</v>
      </c>
      <c r="AU232">
        <v>6508.4</v>
      </c>
      <c r="AV232">
        <v>6508.4</v>
      </c>
      <c r="AW232">
        <v>6508.4</v>
      </c>
      <c r="AX232">
        <v>6508.4</v>
      </c>
      <c r="AY232">
        <v>6508.4</v>
      </c>
      <c r="AZ232">
        <v>6508.4</v>
      </c>
      <c r="BA232">
        <v>6508.4</v>
      </c>
      <c r="BB232">
        <v>6508.4</v>
      </c>
      <c r="BC232">
        <v>6508.4</v>
      </c>
      <c r="BD232">
        <v>6508.4</v>
      </c>
      <c r="BE232">
        <v>6508.4</v>
      </c>
      <c r="BF232">
        <v>6508.4</v>
      </c>
      <c r="BG232">
        <v>6508.4</v>
      </c>
      <c r="BH232">
        <v>6508.4</v>
      </c>
      <c r="BI232">
        <v>6508.4</v>
      </c>
      <c r="BJ232">
        <v>6508.4</v>
      </c>
      <c r="BK232">
        <v>6508.4</v>
      </c>
      <c r="BL232">
        <v>6508.4</v>
      </c>
      <c r="BM232">
        <v>6508.4</v>
      </c>
      <c r="BN232">
        <v>6508.4</v>
      </c>
      <c r="BO232">
        <v>6508.4</v>
      </c>
      <c r="BP232">
        <v>6508.4</v>
      </c>
      <c r="BQ232">
        <v>6508.4</v>
      </c>
      <c r="BR232">
        <v>6508.4</v>
      </c>
      <c r="BS232">
        <v>6508.4</v>
      </c>
      <c r="BT232">
        <v>6508.4</v>
      </c>
      <c r="BU232">
        <v>6508.4</v>
      </c>
      <c r="BV232">
        <v>6508.4</v>
      </c>
      <c r="BW232">
        <v>6508.4</v>
      </c>
      <c r="BX232">
        <v>6508.4</v>
      </c>
      <c r="BY232">
        <v>6508.4</v>
      </c>
      <c r="BZ232">
        <v>6508.4</v>
      </c>
      <c r="CA232">
        <v>6508.4</v>
      </c>
      <c r="CB232">
        <v>6508.4</v>
      </c>
      <c r="CC232">
        <v>6508.4</v>
      </c>
      <c r="CD232">
        <v>6508.4</v>
      </c>
      <c r="CE232">
        <v>6508.4</v>
      </c>
      <c r="CF232">
        <v>6508.4</v>
      </c>
      <c r="CG232">
        <v>6508.4</v>
      </c>
      <c r="CH232">
        <v>6508.4</v>
      </c>
      <c r="CI232">
        <v>6508.4</v>
      </c>
      <c r="CJ232">
        <v>6508.4</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Z232" s="343" t="s">
        <v>633</v>
      </c>
      <c r="EA232" t="s">
        <v>1010</v>
      </c>
      <c r="EB232">
        <v>1</v>
      </c>
      <c r="EC232">
        <v>14</v>
      </c>
      <c r="ED232" s="184" t="str">
        <f t="shared" si="11"/>
        <v>SDJ200114</v>
      </c>
      <c r="EE232">
        <v>325.39999999999998</v>
      </c>
      <c r="EF232">
        <v>10000</v>
      </c>
      <c r="EG232">
        <v>10000</v>
      </c>
      <c r="EH232">
        <v>10000</v>
      </c>
      <c r="EI232">
        <v>10000</v>
      </c>
      <c r="EJ232">
        <v>10000</v>
      </c>
      <c r="EK232">
        <v>10000</v>
      </c>
      <c r="EL232">
        <v>10000</v>
      </c>
      <c r="EM232">
        <v>10000</v>
      </c>
      <c r="EN232">
        <v>10000</v>
      </c>
      <c r="EO232">
        <v>10000</v>
      </c>
      <c r="EP232">
        <v>10000</v>
      </c>
      <c r="EQ232">
        <v>10000</v>
      </c>
      <c r="ER232">
        <v>10000</v>
      </c>
      <c r="ES232">
        <v>10000</v>
      </c>
      <c r="ET232">
        <v>10000</v>
      </c>
      <c r="EU232">
        <v>10000</v>
      </c>
      <c r="EV232">
        <v>10000</v>
      </c>
      <c r="EW232">
        <v>10000</v>
      </c>
      <c r="EX232">
        <v>10000</v>
      </c>
      <c r="EY232">
        <v>10000</v>
      </c>
      <c r="EZ232">
        <v>10000</v>
      </c>
      <c r="FA232">
        <v>10000</v>
      </c>
      <c r="FB232">
        <v>10000</v>
      </c>
      <c r="FC232">
        <v>10000</v>
      </c>
      <c r="FD232">
        <v>10000</v>
      </c>
      <c r="FE232">
        <v>10000</v>
      </c>
      <c r="FF232">
        <v>10000</v>
      </c>
      <c r="FG232">
        <v>10000</v>
      </c>
      <c r="FH232">
        <v>10000</v>
      </c>
      <c r="FI232">
        <v>10000</v>
      </c>
      <c r="FJ232">
        <v>10000</v>
      </c>
      <c r="FK232">
        <v>10000</v>
      </c>
      <c r="FL232">
        <v>10000</v>
      </c>
      <c r="FM232">
        <v>10000</v>
      </c>
      <c r="FN232">
        <v>10000</v>
      </c>
      <c r="FO232">
        <v>10000</v>
      </c>
      <c r="FP232">
        <v>10000</v>
      </c>
      <c r="FQ232">
        <v>10000</v>
      </c>
      <c r="FR232">
        <v>10000</v>
      </c>
      <c r="FS232">
        <v>10000</v>
      </c>
      <c r="FT232">
        <v>10000</v>
      </c>
      <c r="FU232">
        <v>10000</v>
      </c>
      <c r="FV232">
        <v>10000</v>
      </c>
      <c r="FW232">
        <v>10000</v>
      </c>
      <c r="FX232">
        <v>10000</v>
      </c>
      <c r="FY232">
        <v>10000</v>
      </c>
      <c r="FZ232">
        <v>10000</v>
      </c>
      <c r="GA232">
        <v>10000</v>
      </c>
      <c r="GB232">
        <v>10000</v>
      </c>
      <c r="GC232">
        <v>10000</v>
      </c>
      <c r="GD232">
        <v>10000</v>
      </c>
      <c r="GE232">
        <v>10000</v>
      </c>
      <c r="GF232">
        <v>10000</v>
      </c>
      <c r="GG232">
        <v>10000</v>
      </c>
      <c r="GH232">
        <v>10000</v>
      </c>
      <c r="GI232">
        <v>10000</v>
      </c>
      <c r="GJ232">
        <v>10000</v>
      </c>
      <c r="GK232">
        <v>10000</v>
      </c>
      <c r="GL232">
        <v>10000</v>
      </c>
      <c r="GM232">
        <v>10000</v>
      </c>
      <c r="GN232">
        <v>10000</v>
      </c>
      <c r="GO232">
        <v>10000</v>
      </c>
      <c r="GP232">
        <v>10000</v>
      </c>
      <c r="GQ232">
        <v>10000</v>
      </c>
      <c r="GR232">
        <v>10000</v>
      </c>
      <c r="GS232">
        <v>10000</v>
      </c>
      <c r="GT232">
        <v>10000</v>
      </c>
      <c r="GU232">
        <v>10000</v>
      </c>
      <c r="GV232">
        <v>10000</v>
      </c>
      <c r="GW232">
        <v>10000</v>
      </c>
      <c r="GX232">
        <v>0</v>
      </c>
      <c r="GY232">
        <v>0</v>
      </c>
      <c r="GZ232">
        <v>0</v>
      </c>
      <c r="HA232">
        <v>0</v>
      </c>
      <c r="HB232">
        <v>0</v>
      </c>
      <c r="HC232">
        <v>0</v>
      </c>
      <c r="HD232">
        <v>0</v>
      </c>
      <c r="HE232">
        <v>0</v>
      </c>
      <c r="HF232">
        <v>0</v>
      </c>
      <c r="HG232">
        <v>0</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0</v>
      </c>
      <c r="ID232">
        <v>0</v>
      </c>
      <c r="IE232">
        <v>0</v>
      </c>
      <c r="IF232">
        <v>0</v>
      </c>
      <c r="IG232">
        <v>0</v>
      </c>
      <c r="IH232">
        <v>0</v>
      </c>
      <c r="II232">
        <v>0</v>
      </c>
      <c r="IJ232">
        <v>0</v>
      </c>
      <c r="IK232">
        <v>0</v>
      </c>
    </row>
    <row r="233" spans="13:245" hidden="1">
      <c r="M233" s="343" t="s">
        <v>633</v>
      </c>
      <c r="N233" t="s">
        <v>1010</v>
      </c>
      <c r="O233">
        <v>1</v>
      </c>
      <c r="P233">
        <v>15</v>
      </c>
      <c r="Q233" s="184" t="str">
        <f t="shared" si="10"/>
        <v>SDJ200115</v>
      </c>
      <c r="R233">
        <v>332.8</v>
      </c>
      <c r="S233">
        <v>2000</v>
      </c>
      <c r="T233">
        <v>2000</v>
      </c>
      <c r="U233">
        <v>2000</v>
      </c>
      <c r="V233">
        <v>2000</v>
      </c>
      <c r="W233">
        <v>2000</v>
      </c>
      <c r="X233">
        <v>2329.9</v>
      </c>
      <c r="Y233">
        <v>2662.7</v>
      </c>
      <c r="Z233">
        <v>2995.6</v>
      </c>
      <c r="AA233">
        <v>3328.4</v>
      </c>
      <c r="AB233">
        <v>3661.2</v>
      </c>
      <c r="AC233">
        <v>3994.1</v>
      </c>
      <c r="AD233">
        <v>4326.8999999999996</v>
      </c>
      <c r="AE233">
        <v>4659.8</v>
      </c>
      <c r="AF233">
        <v>4992.6000000000004</v>
      </c>
      <c r="AG233">
        <v>5325.4</v>
      </c>
      <c r="AH233">
        <v>5658.3</v>
      </c>
      <c r="AI233">
        <v>5991.1</v>
      </c>
      <c r="AJ233">
        <v>6324</v>
      </c>
      <c r="AK233">
        <v>6656.8</v>
      </c>
      <c r="AL233">
        <v>6656.8</v>
      </c>
      <c r="AM233">
        <v>6656.8</v>
      </c>
      <c r="AN233">
        <v>6656.8</v>
      </c>
      <c r="AO233">
        <v>6656.8</v>
      </c>
      <c r="AP233">
        <v>6656.8</v>
      </c>
      <c r="AQ233">
        <v>6656.8</v>
      </c>
      <c r="AR233">
        <v>6656.8</v>
      </c>
      <c r="AS233">
        <v>6656.8</v>
      </c>
      <c r="AT233">
        <v>6656.8</v>
      </c>
      <c r="AU233">
        <v>6656.8</v>
      </c>
      <c r="AV233">
        <v>6656.8</v>
      </c>
      <c r="AW233">
        <v>6656.8</v>
      </c>
      <c r="AX233">
        <v>6656.8</v>
      </c>
      <c r="AY233">
        <v>6656.8</v>
      </c>
      <c r="AZ233">
        <v>6656.8</v>
      </c>
      <c r="BA233">
        <v>6656.8</v>
      </c>
      <c r="BB233">
        <v>6656.8</v>
      </c>
      <c r="BC233">
        <v>6656.8</v>
      </c>
      <c r="BD233">
        <v>6656.8</v>
      </c>
      <c r="BE233">
        <v>6656.8</v>
      </c>
      <c r="BF233">
        <v>6656.8</v>
      </c>
      <c r="BG233">
        <v>6656.8</v>
      </c>
      <c r="BH233">
        <v>6656.8</v>
      </c>
      <c r="BI233">
        <v>6656.8</v>
      </c>
      <c r="BJ233">
        <v>6656.8</v>
      </c>
      <c r="BK233">
        <v>6656.8</v>
      </c>
      <c r="BL233">
        <v>6656.8</v>
      </c>
      <c r="BM233">
        <v>6656.8</v>
      </c>
      <c r="BN233">
        <v>6656.8</v>
      </c>
      <c r="BO233">
        <v>6656.8</v>
      </c>
      <c r="BP233">
        <v>6656.8</v>
      </c>
      <c r="BQ233">
        <v>6656.8</v>
      </c>
      <c r="BR233">
        <v>6656.8</v>
      </c>
      <c r="BS233">
        <v>6656.8</v>
      </c>
      <c r="BT233">
        <v>6656.8</v>
      </c>
      <c r="BU233">
        <v>6656.8</v>
      </c>
      <c r="BV233">
        <v>6656.8</v>
      </c>
      <c r="BW233">
        <v>6656.8</v>
      </c>
      <c r="BX233">
        <v>6656.8</v>
      </c>
      <c r="BY233">
        <v>6656.8</v>
      </c>
      <c r="BZ233">
        <v>6656.8</v>
      </c>
      <c r="CA233">
        <v>6656.8</v>
      </c>
      <c r="CB233">
        <v>6656.8</v>
      </c>
      <c r="CC233">
        <v>6656.8</v>
      </c>
      <c r="CD233">
        <v>6656.8</v>
      </c>
      <c r="CE233">
        <v>6656.8</v>
      </c>
      <c r="CF233">
        <v>6656.8</v>
      </c>
      <c r="CG233">
        <v>6656.8</v>
      </c>
      <c r="CH233">
        <v>6656.8</v>
      </c>
      <c r="CI233">
        <v>6656.8</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Z233" s="343" t="s">
        <v>633</v>
      </c>
      <c r="EA233" t="s">
        <v>1010</v>
      </c>
      <c r="EB233">
        <v>1</v>
      </c>
      <c r="EC233">
        <v>15</v>
      </c>
      <c r="ED233" s="184" t="str">
        <f t="shared" si="11"/>
        <v>SDJ200115</v>
      </c>
      <c r="EE233">
        <v>332.8</v>
      </c>
      <c r="EF233">
        <v>10000</v>
      </c>
      <c r="EG233">
        <v>10000</v>
      </c>
      <c r="EH233">
        <v>10000</v>
      </c>
      <c r="EI233">
        <v>10000</v>
      </c>
      <c r="EJ233">
        <v>10000</v>
      </c>
      <c r="EK233">
        <v>10000</v>
      </c>
      <c r="EL233">
        <v>10000</v>
      </c>
      <c r="EM233">
        <v>10000</v>
      </c>
      <c r="EN233">
        <v>10000</v>
      </c>
      <c r="EO233">
        <v>10000</v>
      </c>
      <c r="EP233">
        <v>10000</v>
      </c>
      <c r="EQ233">
        <v>10000</v>
      </c>
      <c r="ER233">
        <v>10000</v>
      </c>
      <c r="ES233">
        <v>10000</v>
      </c>
      <c r="ET233">
        <v>10000</v>
      </c>
      <c r="EU233">
        <v>10000</v>
      </c>
      <c r="EV233">
        <v>10000</v>
      </c>
      <c r="EW233">
        <v>10000</v>
      </c>
      <c r="EX233">
        <v>10000</v>
      </c>
      <c r="EY233">
        <v>10000</v>
      </c>
      <c r="EZ233">
        <v>10000</v>
      </c>
      <c r="FA233">
        <v>10000</v>
      </c>
      <c r="FB233">
        <v>10000</v>
      </c>
      <c r="FC233">
        <v>10000</v>
      </c>
      <c r="FD233">
        <v>10000</v>
      </c>
      <c r="FE233">
        <v>10000</v>
      </c>
      <c r="FF233">
        <v>10000</v>
      </c>
      <c r="FG233">
        <v>10000</v>
      </c>
      <c r="FH233">
        <v>10000</v>
      </c>
      <c r="FI233">
        <v>10000</v>
      </c>
      <c r="FJ233">
        <v>10000</v>
      </c>
      <c r="FK233">
        <v>10000</v>
      </c>
      <c r="FL233">
        <v>10000</v>
      </c>
      <c r="FM233">
        <v>10000</v>
      </c>
      <c r="FN233">
        <v>10000</v>
      </c>
      <c r="FO233">
        <v>10000</v>
      </c>
      <c r="FP233">
        <v>10000</v>
      </c>
      <c r="FQ233">
        <v>10000</v>
      </c>
      <c r="FR233">
        <v>10000</v>
      </c>
      <c r="FS233">
        <v>10000</v>
      </c>
      <c r="FT233">
        <v>10000</v>
      </c>
      <c r="FU233">
        <v>10000</v>
      </c>
      <c r="FV233">
        <v>10000</v>
      </c>
      <c r="FW233">
        <v>10000</v>
      </c>
      <c r="FX233">
        <v>10000</v>
      </c>
      <c r="FY233">
        <v>10000</v>
      </c>
      <c r="FZ233">
        <v>10000</v>
      </c>
      <c r="GA233">
        <v>10000</v>
      </c>
      <c r="GB233">
        <v>10000</v>
      </c>
      <c r="GC233">
        <v>10000</v>
      </c>
      <c r="GD233">
        <v>10000</v>
      </c>
      <c r="GE233">
        <v>10000</v>
      </c>
      <c r="GF233">
        <v>10000</v>
      </c>
      <c r="GG233">
        <v>10000</v>
      </c>
      <c r="GH233">
        <v>10000</v>
      </c>
      <c r="GI233">
        <v>10000</v>
      </c>
      <c r="GJ233">
        <v>10000</v>
      </c>
      <c r="GK233">
        <v>10000</v>
      </c>
      <c r="GL233">
        <v>10000</v>
      </c>
      <c r="GM233">
        <v>10000</v>
      </c>
      <c r="GN233">
        <v>10000</v>
      </c>
      <c r="GO233">
        <v>10000</v>
      </c>
      <c r="GP233">
        <v>10000</v>
      </c>
      <c r="GQ233">
        <v>10000</v>
      </c>
      <c r="GR233">
        <v>10000</v>
      </c>
      <c r="GS233">
        <v>10000</v>
      </c>
      <c r="GT233">
        <v>10000</v>
      </c>
      <c r="GU233">
        <v>10000</v>
      </c>
      <c r="GV233">
        <v>10000</v>
      </c>
      <c r="GW233">
        <v>0</v>
      </c>
      <c r="GX233">
        <v>0</v>
      </c>
      <c r="GY233">
        <v>0</v>
      </c>
      <c r="GZ233">
        <v>0</v>
      </c>
      <c r="HA233">
        <v>0</v>
      </c>
      <c r="HB233">
        <v>0</v>
      </c>
      <c r="HC233">
        <v>0</v>
      </c>
      <c r="HD233">
        <v>0</v>
      </c>
      <c r="HE233">
        <v>0</v>
      </c>
      <c r="HF233">
        <v>0</v>
      </c>
      <c r="HG233">
        <v>0</v>
      </c>
      <c r="HH233">
        <v>0</v>
      </c>
      <c r="HI233">
        <v>0</v>
      </c>
      <c r="HJ233">
        <v>0</v>
      </c>
      <c r="HK233">
        <v>0</v>
      </c>
      <c r="HL233">
        <v>0</v>
      </c>
      <c r="HM233">
        <v>0</v>
      </c>
      <c r="HN233">
        <v>0</v>
      </c>
      <c r="HO233">
        <v>0</v>
      </c>
      <c r="HP233">
        <v>0</v>
      </c>
      <c r="HQ233">
        <v>0</v>
      </c>
      <c r="HR233">
        <v>0</v>
      </c>
      <c r="HS233">
        <v>0</v>
      </c>
      <c r="HT233">
        <v>0</v>
      </c>
      <c r="HU233">
        <v>0</v>
      </c>
      <c r="HV233">
        <v>0</v>
      </c>
      <c r="HW233">
        <v>0</v>
      </c>
      <c r="HX233">
        <v>0</v>
      </c>
      <c r="HY233">
        <v>0</v>
      </c>
      <c r="HZ233">
        <v>0</v>
      </c>
      <c r="IA233">
        <v>0</v>
      </c>
      <c r="IB233">
        <v>0</v>
      </c>
      <c r="IC233">
        <v>0</v>
      </c>
      <c r="ID233">
        <v>0</v>
      </c>
      <c r="IE233">
        <v>0</v>
      </c>
      <c r="IF233">
        <v>0</v>
      </c>
      <c r="IG233">
        <v>0</v>
      </c>
      <c r="IH233">
        <v>0</v>
      </c>
      <c r="II233">
        <v>0</v>
      </c>
      <c r="IJ233">
        <v>0</v>
      </c>
      <c r="IK233">
        <v>0</v>
      </c>
    </row>
    <row r="234" spans="13:245" hidden="1">
      <c r="M234" s="343" t="s">
        <v>633</v>
      </c>
      <c r="N234" t="s">
        <v>1010</v>
      </c>
      <c r="O234">
        <v>1</v>
      </c>
      <c r="P234">
        <v>16</v>
      </c>
      <c r="Q234" s="184" t="str">
        <f t="shared" si="10"/>
        <v>SDJ200116</v>
      </c>
      <c r="R234">
        <v>340.3</v>
      </c>
      <c r="S234">
        <v>2000</v>
      </c>
      <c r="T234">
        <v>2000</v>
      </c>
      <c r="U234">
        <v>2000</v>
      </c>
      <c r="V234">
        <v>2000</v>
      </c>
      <c r="W234">
        <v>2041.6</v>
      </c>
      <c r="X234">
        <v>2381.8000000000002</v>
      </c>
      <c r="Y234">
        <v>2722.1</v>
      </c>
      <c r="Z234">
        <v>3062.3</v>
      </c>
      <c r="AA234">
        <v>3402.6</v>
      </c>
      <c r="AB234">
        <v>3742.9</v>
      </c>
      <c r="AC234">
        <v>4083.1</v>
      </c>
      <c r="AD234">
        <v>4423.3999999999996</v>
      </c>
      <c r="AE234">
        <v>4763.6000000000004</v>
      </c>
      <c r="AF234">
        <v>5103.8999999999996</v>
      </c>
      <c r="AG234">
        <v>5444.2</v>
      </c>
      <c r="AH234">
        <v>5784.4</v>
      </c>
      <c r="AI234">
        <v>6124.7</v>
      </c>
      <c r="AJ234">
        <v>6464.9</v>
      </c>
      <c r="AK234">
        <v>6805.2</v>
      </c>
      <c r="AL234">
        <v>6805.2</v>
      </c>
      <c r="AM234">
        <v>6805.2</v>
      </c>
      <c r="AN234">
        <v>6805.2</v>
      </c>
      <c r="AO234">
        <v>6805.2</v>
      </c>
      <c r="AP234">
        <v>6805.2</v>
      </c>
      <c r="AQ234">
        <v>6805.2</v>
      </c>
      <c r="AR234">
        <v>6805.2</v>
      </c>
      <c r="AS234">
        <v>6805.2</v>
      </c>
      <c r="AT234">
        <v>6805.2</v>
      </c>
      <c r="AU234">
        <v>6805.2</v>
      </c>
      <c r="AV234">
        <v>6805.2</v>
      </c>
      <c r="AW234">
        <v>6805.2</v>
      </c>
      <c r="AX234">
        <v>6805.2</v>
      </c>
      <c r="AY234">
        <v>6805.2</v>
      </c>
      <c r="AZ234">
        <v>6805.2</v>
      </c>
      <c r="BA234">
        <v>6805.2</v>
      </c>
      <c r="BB234">
        <v>6805.2</v>
      </c>
      <c r="BC234">
        <v>6805.2</v>
      </c>
      <c r="BD234">
        <v>6805.2</v>
      </c>
      <c r="BE234">
        <v>6805.2</v>
      </c>
      <c r="BF234">
        <v>6805.2</v>
      </c>
      <c r="BG234">
        <v>6805.2</v>
      </c>
      <c r="BH234">
        <v>6805.2</v>
      </c>
      <c r="BI234">
        <v>6805.2</v>
      </c>
      <c r="BJ234">
        <v>6805.2</v>
      </c>
      <c r="BK234">
        <v>6805.2</v>
      </c>
      <c r="BL234">
        <v>6805.2</v>
      </c>
      <c r="BM234">
        <v>6805.2</v>
      </c>
      <c r="BN234">
        <v>6805.2</v>
      </c>
      <c r="BO234">
        <v>6805.2</v>
      </c>
      <c r="BP234">
        <v>6805.2</v>
      </c>
      <c r="BQ234">
        <v>6805.2</v>
      </c>
      <c r="BR234">
        <v>6805.2</v>
      </c>
      <c r="BS234">
        <v>6805.2</v>
      </c>
      <c r="BT234">
        <v>6805.2</v>
      </c>
      <c r="BU234">
        <v>6805.2</v>
      </c>
      <c r="BV234">
        <v>6805.2</v>
      </c>
      <c r="BW234">
        <v>6805.2</v>
      </c>
      <c r="BX234">
        <v>6805.2</v>
      </c>
      <c r="BY234">
        <v>6805.2</v>
      </c>
      <c r="BZ234">
        <v>6805.2</v>
      </c>
      <c r="CA234">
        <v>6805.2</v>
      </c>
      <c r="CB234">
        <v>6805.2</v>
      </c>
      <c r="CC234">
        <v>6805.2</v>
      </c>
      <c r="CD234">
        <v>6805.2</v>
      </c>
      <c r="CE234">
        <v>6805.2</v>
      </c>
      <c r="CF234">
        <v>6805.2</v>
      </c>
      <c r="CG234">
        <v>6805.2</v>
      </c>
      <c r="CH234">
        <v>6805.2</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Z234" s="343" t="s">
        <v>633</v>
      </c>
      <c r="EA234" t="s">
        <v>1010</v>
      </c>
      <c r="EB234">
        <v>1</v>
      </c>
      <c r="EC234">
        <v>16</v>
      </c>
      <c r="ED234" s="184" t="str">
        <f t="shared" si="11"/>
        <v>SDJ200116</v>
      </c>
      <c r="EE234">
        <v>340.3</v>
      </c>
      <c r="EF234">
        <v>10000</v>
      </c>
      <c r="EG234">
        <v>10000</v>
      </c>
      <c r="EH234">
        <v>10000</v>
      </c>
      <c r="EI234">
        <v>10000</v>
      </c>
      <c r="EJ234">
        <v>10000</v>
      </c>
      <c r="EK234">
        <v>10000</v>
      </c>
      <c r="EL234">
        <v>10000</v>
      </c>
      <c r="EM234">
        <v>10000</v>
      </c>
      <c r="EN234">
        <v>10000</v>
      </c>
      <c r="EO234">
        <v>10000</v>
      </c>
      <c r="EP234">
        <v>10000</v>
      </c>
      <c r="EQ234">
        <v>10000</v>
      </c>
      <c r="ER234">
        <v>10000</v>
      </c>
      <c r="ES234">
        <v>10000</v>
      </c>
      <c r="ET234">
        <v>10000</v>
      </c>
      <c r="EU234">
        <v>10000</v>
      </c>
      <c r="EV234">
        <v>10000</v>
      </c>
      <c r="EW234">
        <v>10000</v>
      </c>
      <c r="EX234">
        <v>10000</v>
      </c>
      <c r="EY234">
        <v>10000</v>
      </c>
      <c r="EZ234">
        <v>10000</v>
      </c>
      <c r="FA234">
        <v>10000</v>
      </c>
      <c r="FB234">
        <v>10000</v>
      </c>
      <c r="FC234">
        <v>10000</v>
      </c>
      <c r="FD234">
        <v>10000</v>
      </c>
      <c r="FE234">
        <v>10000</v>
      </c>
      <c r="FF234">
        <v>10000</v>
      </c>
      <c r="FG234">
        <v>10000</v>
      </c>
      <c r="FH234">
        <v>10000</v>
      </c>
      <c r="FI234">
        <v>10000</v>
      </c>
      <c r="FJ234">
        <v>10000</v>
      </c>
      <c r="FK234">
        <v>10000</v>
      </c>
      <c r="FL234">
        <v>10000</v>
      </c>
      <c r="FM234">
        <v>10000</v>
      </c>
      <c r="FN234">
        <v>10000</v>
      </c>
      <c r="FO234">
        <v>10000</v>
      </c>
      <c r="FP234">
        <v>10000</v>
      </c>
      <c r="FQ234">
        <v>10000</v>
      </c>
      <c r="FR234">
        <v>10000</v>
      </c>
      <c r="FS234">
        <v>10000</v>
      </c>
      <c r="FT234">
        <v>10000</v>
      </c>
      <c r="FU234">
        <v>10000</v>
      </c>
      <c r="FV234">
        <v>10000</v>
      </c>
      <c r="FW234">
        <v>10000</v>
      </c>
      <c r="FX234">
        <v>10000</v>
      </c>
      <c r="FY234">
        <v>10000</v>
      </c>
      <c r="FZ234">
        <v>10000</v>
      </c>
      <c r="GA234">
        <v>10000</v>
      </c>
      <c r="GB234">
        <v>10000</v>
      </c>
      <c r="GC234">
        <v>10000</v>
      </c>
      <c r="GD234">
        <v>10000</v>
      </c>
      <c r="GE234">
        <v>10000</v>
      </c>
      <c r="GF234">
        <v>10000</v>
      </c>
      <c r="GG234">
        <v>10000</v>
      </c>
      <c r="GH234">
        <v>10000</v>
      </c>
      <c r="GI234">
        <v>10000</v>
      </c>
      <c r="GJ234">
        <v>10000</v>
      </c>
      <c r="GK234">
        <v>10000</v>
      </c>
      <c r="GL234">
        <v>10000</v>
      </c>
      <c r="GM234">
        <v>10000</v>
      </c>
      <c r="GN234">
        <v>10000</v>
      </c>
      <c r="GO234">
        <v>10000</v>
      </c>
      <c r="GP234">
        <v>10000</v>
      </c>
      <c r="GQ234">
        <v>10000</v>
      </c>
      <c r="GR234">
        <v>10000</v>
      </c>
      <c r="GS234">
        <v>10000</v>
      </c>
      <c r="GT234">
        <v>10000</v>
      </c>
      <c r="GU234">
        <v>10000</v>
      </c>
      <c r="GV234">
        <v>0</v>
      </c>
      <c r="GW234">
        <v>0</v>
      </c>
      <c r="GX234">
        <v>0</v>
      </c>
      <c r="GY234">
        <v>0</v>
      </c>
      <c r="GZ234">
        <v>0</v>
      </c>
      <c r="HA234">
        <v>0</v>
      </c>
      <c r="HB234">
        <v>0</v>
      </c>
      <c r="HC234">
        <v>0</v>
      </c>
      <c r="HD234">
        <v>0</v>
      </c>
      <c r="HE234">
        <v>0</v>
      </c>
      <c r="HF234">
        <v>0</v>
      </c>
      <c r="HG234">
        <v>0</v>
      </c>
      <c r="HH234">
        <v>0</v>
      </c>
      <c r="HI234">
        <v>0</v>
      </c>
      <c r="HJ234">
        <v>0</v>
      </c>
      <c r="HK234">
        <v>0</v>
      </c>
      <c r="HL234">
        <v>0</v>
      </c>
      <c r="HM234">
        <v>0</v>
      </c>
      <c r="HN234">
        <v>0</v>
      </c>
      <c r="HO234">
        <v>0</v>
      </c>
      <c r="HP234">
        <v>0</v>
      </c>
      <c r="HQ234">
        <v>0</v>
      </c>
      <c r="HR234">
        <v>0</v>
      </c>
      <c r="HS234">
        <v>0</v>
      </c>
      <c r="HT234">
        <v>0</v>
      </c>
      <c r="HU234">
        <v>0</v>
      </c>
      <c r="HV234">
        <v>0</v>
      </c>
      <c r="HW234">
        <v>0</v>
      </c>
      <c r="HX234">
        <v>0</v>
      </c>
      <c r="HY234">
        <v>0</v>
      </c>
      <c r="HZ234">
        <v>0</v>
      </c>
      <c r="IA234">
        <v>0</v>
      </c>
      <c r="IB234">
        <v>0</v>
      </c>
      <c r="IC234">
        <v>0</v>
      </c>
      <c r="ID234">
        <v>0</v>
      </c>
      <c r="IE234">
        <v>0</v>
      </c>
      <c r="IF234">
        <v>0</v>
      </c>
      <c r="IG234">
        <v>0</v>
      </c>
      <c r="IH234">
        <v>0</v>
      </c>
      <c r="II234">
        <v>0</v>
      </c>
      <c r="IJ234">
        <v>0</v>
      </c>
      <c r="IK234">
        <v>0</v>
      </c>
    </row>
    <row r="235" spans="13:245" hidden="1">
      <c r="M235" s="343" t="s">
        <v>633</v>
      </c>
      <c r="N235" t="s">
        <v>1010</v>
      </c>
      <c r="O235">
        <v>1</v>
      </c>
      <c r="P235">
        <v>17</v>
      </c>
      <c r="Q235" s="184" t="str">
        <f t="shared" si="10"/>
        <v>SDJ200117</v>
      </c>
      <c r="R235">
        <v>347.7</v>
      </c>
      <c r="S235">
        <v>2000</v>
      </c>
      <c r="T235">
        <v>2000</v>
      </c>
      <c r="U235">
        <v>2000</v>
      </c>
      <c r="V235">
        <v>2000</v>
      </c>
      <c r="W235">
        <v>2086.1</v>
      </c>
      <c r="X235">
        <v>2433.8000000000002</v>
      </c>
      <c r="Y235">
        <v>2781.4</v>
      </c>
      <c r="Z235">
        <v>3129.1</v>
      </c>
      <c r="AA235">
        <v>3476.8</v>
      </c>
      <c r="AB235">
        <v>3824.5</v>
      </c>
      <c r="AC235">
        <v>4172.2</v>
      </c>
      <c r="AD235">
        <v>4519.8</v>
      </c>
      <c r="AE235">
        <v>4867.5</v>
      </c>
      <c r="AF235">
        <v>5215.2</v>
      </c>
      <c r="AG235">
        <v>5562.9</v>
      </c>
      <c r="AH235">
        <v>5910.6</v>
      </c>
      <c r="AI235">
        <v>6258.2</v>
      </c>
      <c r="AJ235">
        <v>6605.9</v>
      </c>
      <c r="AK235">
        <v>6953.6</v>
      </c>
      <c r="AL235">
        <v>6953.6</v>
      </c>
      <c r="AM235">
        <v>6953.6</v>
      </c>
      <c r="AN235">
        <v>6953.6</v>
      </c>
      <c r="AO235">
        <v>6953.6</v>
      </c>
      <c r="AP235">
        <v>6953.6</v>
      </c>
      <c r="AQ235">
        <v>6953.6</v>
      </c>
      <c r="AR235">
        <v>6953.6</v>
      </c>
      <c r="AS235">
        <v>6953.6</v>
      </c>
      <c r="AT235">
        <v>6953.6</v>
      </c>
      <c r="AU235">
        <v>6953.6</v>
      </c>
      <c r="AV235">
        <v>6953.6</v>
      </c>
      <c r="AW235">
        <v>6953.6</v>
      </c>
      <c r="AX235">
        <v>6953.6</v>
      </c>
      <c r="AY235">
        <v>6953.6</v>
      </c>
      <c r="AZ235">
        <v>6953.6</v>
      </c>
      <c r="BA235">
        <v>6953.6</v>
      </c>
      <c r="BB235">
        <v>6953.6</v>
      </c>
      <c r="BC235">
        <v>6953.6</v>
      </c>
      <c r="BD235">
        <v>6953.6</v>
      </c>
      <c r="BE235">
        <v>6953.6</v>
      </c>
      <c r="BF235">
        <v>6953.6</v>
      </c>
      <c r="BG235">
        <v>6953.6</v>
      </c>
      <c r="BH235">
        <v>6953.6</v>
      </c>
      <c r="BI235">
        <v>6953.6</v>
      </c>
      <c r="BJ235">
        <v>6953.6</v>
      </c>
      <c r="BK235">
        <v>6953.6</v>
      </c>
      <c r="BL235">
        <v>6953.6</v>
      </c>
      <c r="BM235">
        <v>6953.6</v>
      </c>
      <c r="BN235">
        <v>6953.6</v>
      </c>
      <c r="BO235">
        <v>6953.6</v>
      </c>
      <c r="BP235">
        <v>6953.6</v>
      </c>
      <c r="BQ235">
        <v>6953.6</v>
      </c>
      <c r="BR235">
        <v>6953.6</v>
      </c>
      <c r="BS235">
        <v>6953.6</v>
      </c>
      <c r="BT235">
        <v>6953.6</v>
      </c>
      <c r="BU235">
        <v>6953.6</v>
      </c>
      <c r="BV235">
        <v>6953.6</v>
      </c>
      <c r="BW235">
        <v>6953.6</v>
      </c>
      <c r="BX235">
        <v>6953.6</v>
      </c>
      <c r="BY235">
        <v>6953.6</v>
      </c>
      <c r="BZ235">
        <v>6953.6</v>
      </c>
      <c r="CA235">
        <v>6953.6</v>
      </c>
      <c r="CB235">
        <v>6953.6</v>
      </c>
      <c r="CC235">
        <v>6953.6</v>
      </c>
      <c r="CD235">
        <v>6953.6</v>
      </c>
      <c r="CE235">
        <v>6953.6</v>
      </c>
      <c r="CF235">
        <v>6953.6</v>
      </c>
      <c r="CG235">
        <v>6953.6</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Z235" s="343" t="s">
        <v>633</v>
      </c>
      <c r="EA235" t="s">
        <v>1010</v>
      </c>
      <c r="EB235">
        <v>1</v>
      </c>
      <c r="EC235">
        <v>17</v>
      </c>
      <c r="ED235" s="184" t="str">
        <f t="shared" si="11"/>
        <v>SDJ200117</v>
      </c>
      <c r="EE235">
        <v>347.7</v>
      </c>
      <c r="EF235">
        <v>10000</v>
      </c>
      <c r="EG235">
        <v>10000</v>
      </c>
      <c r="EH235">
        <v>10000</v>
      </c>
      <c r="EI235">
        <v>10000</v>
      </c>
      <c r="EJ235">
        <v>10000</v>
      </c>
      <c r="EK235">
        <v>10000</v>
      </c>
      <c r="EL235">
        <v>10000</v>
      </c>
      <c r="EM235">
        <v>10000</v>
      </c>
      <c r="EN235">
        <v>10000</v>
      </c>
      <c r="EO235">
        <v>10000</v>
      </c>
      <c r="EP235">
        <v>10000</v>
      </c>
      <c r="EQ235">
        <v>10000</v>
      </c>
      <c r="ER235">
        <v>10000</v>
      </c>
      <c r="ES235">
        <v>10000</v>
      </c>
      <c r="ET235">
        <v>10000</v>
      </c>
      <c r="EU235">
        <v>10000</v>
      </c>
      <c r="EV235">
        <v>10000</v>
      </c>
      <c r="EW235">
        <v>10000</v>
      </c>
      <c r="EX235">
        <v>10000</v>
      </c>
      <c r="EY235">
        <v>10000</v>
      </c>
      <c r="EZ235">
        <v>10000</v>
      </c>
      <c r="FA235">
        <v>10000</v>
      </c>
      <c r="FB235">
        <v>10000</v>
      </c>
      <c r="FC235">
        <v>10000</v>
      </c>
      <c r="FD235">
        <v>10000</v>
      </c>
      <c r="FE235">
        <v>10000</v>
      </c>
      <c r="FF235">
        <v>10000</v>
      </c>
      <c r="FG235">
        <v>10000</v>
      </c>
      <c r="FH235">
        <v>10000</v>
      </c>
      <c r="FI235">
        <v>10000</v>
      </c>
      <c r="FJ235">
        <v>10000</v>
      </c>
      <c r="FK235">
        <v>10000</v>
      </c>
      <c r="FL235">
        <v>10000</v>
      </c>
      <c r="FM235">
        <v>10000</v>
      </c>
      <c r="FN235">
        <v>10000</v>
      </c>
      <c r="FO235">
        <v>10000</v>
      </c>
      <c r="FP235">
        <v>10000</v>
      </c>
      <c r="FQ235">
        <v>10000</v>
      </c>
      <c r="FR235">
        <v>10000</v>
      </c>
      <c r="FS235">
        <v>10000</v>
      </c>
      <c r="FT235">
        <v>10000</v>
      </c>
      <c r="FU235">
        <v>10000</v>
      </c>
      <c r="FV235">
        <v>10000</v>
      </c>
      <c r="FW235">
        <v>10000</v>
      </c>
      <c r="FX235">
        <v>10000</v>
      </c>
      <c r="FY235">
        <v>10000</v>
      </c>
      <c r="FZ235">
        <v>10000</v>
      </c>
      <c r="GA235">
        <v>10000</v>
      </c>
      <c r="GB235">
        <v>10000</v>
      </c>
      <c r="GC235">
        <v>10000</v>
      </c>
      <c r="GD235">
        <v>10000</v>
      </c>
      <c r="GE235">
        <v>10000</v>
      </c>
      <c r="GF235">
        <v>10000</v>
      </c>
      <c r="GG235">
        <v>10000</v>
      </c>
      <c r="GH235">
        <v>10000</v>
      </c>
      <c r="GI235">
        <v>10000</v>
      </c>
      <c r="GJ235">
        <v>10000</v>
      </c>
      <c r="GK235">
        <v>10000</v>
      </c>
      <c r="GL235">
        <v>10000</v>
      </c>
      <c r="GM235">
        <v>10000</v>
      </c>
      <c r="GN235">
        <v>10000</v>
      </c>
      <c r="GO235">
        <v>10000</v>
      </c>
      <c r="GP235">
        <v>10000</v>
      </c>
      <c r="GQ235">
        <v>10000</v>
      </c>
      <c r="GR235">
        <v>10000</v>
      </c>
      <c r="GS235">
        <v>10000</v>
      </c>
      <c r="GT235">
        <v>10000</v>
      </c>
      <c r="GU235">
        <v>0</v>
      </c>
      <c r="GV235">
        <v>0</v>
      </c>
      <c r="GW235">
        <v>0</v>
      </c>
      <c r="GX235">
        <v>0</v>
      </c>
      <c r="GY235">
        <v>0</v>
      </c>
      <c r="GZ235">
        <v>0</v>
      </c>
      <c r="HA235">
        <v>0</v>
      </c>
      <c r="HB235">
        <v>0</v>
      </c>
      <c r="HC235">
        <v>0</v>
      </c>
      <c r="HD235">
        <v>0</v>
      </c>
      <c r="HE235">
        <v>0</v>
      </c>
      <c r="HF235">
        <v>0</v>
      </c>
      <c r="HG235">
        <v>0</v>
      </c>
      <c r="HH235">
        <v>0</v>
      </c>
      <c r="HI235">
        <v>0</v>
      </c>
      <c r="HJ235">
        <v>0</v>
      </c>
      <c r="HK235">
        <v>0</v>
      </c>
      <c r="HL235">
        <v>0</v>
      </c>
      <c r="HM235">
        <v>0</v>
      </c>
      <c r="HN235">
        <v>0</v>
      </c>
      <c r="HO235">
        <v>0</v>
      </c>
      <c r="HP235">
        <v>0</v>
      </c>
      <c r="HQ235">
        <v>0</v>
      </c>
      <c r="HR235">
        <v>0</v>
      </c>
      <c r="HS235">
        <v>0</v>
      </c>
      <c r="HT235">
        <v>0</v>
      </c>
      <c r="HU235">
        <v>0</v>
      </c>
      <c r="HV235">
        <v>0</v>
      </c>
      <c r="HW235">
        <v>0</v>
      </c>
      <c r="HX235">
        <v>0</v>
      </c>
      <c r="HY235">
        <v>0</v>
      </c>
      <c r="HZ235">
        <v>0</v>
      </c>
      <c r="IA235">
        <v>0</v>
      </c>
      <c r="IB235">
        <v>0</v>
      </c>
      <c r="IC235">
        <v>0</v>
      </c>
      <c r="ID235">
        <v>0</v>
      </c>
      <c r="IE235">
        <v>0</v>
      </c>
      <c r="IF235">
        <v>0</v>
      </c>
      <c r="IG235">
        <v>0</v>
      </c>
      <c r="IH235">
        <v>0</v>
      </c>
      <c r="II235">
        <v>0</v>
      </c>
      <c r="IJ235">
        <v>0</v>
      </c>
      <c r="IK235">
        <v>0</v>
      </c>
    </row>
    <row r="236" spans="13:245" hidden="1">
      <c r="M236" s="343" t="s">
        <v>633</v>
      </c>
      <c r="N236" t="s">
        <v>1010</v>
      </c>
      <c r="O236">
        <v>1</v>
      </c>
      <c r="P236">
        <v>18</v>
      </c>
      <c r="Q236" s="184" t="str">
        <f t="shared" si="10"/>
        <v>SDJ200118</v>
      </c>
      <c r="R236">
        <v>355.1</v>
      </c>
      <c r="S236">
        <v>2000</v>
      </c>
      <c r="T236">
        <v>2000</v>
      </c>
      <c r="U236">
        <v>2000</v>
      </c>
      <c r="V236">
        <v>2000</v>
      </c>
      <c r="W236">
        <v>2130.6</v>
      </c>
      <c r="X236">
        <v>2485.6999999999998</v>
      </c>
      <c r="Y236">
        <v>2840.8</v>
      </c>
      <c r="Z236">
        <v>3195.9</v>
      </c>
      <c r="AA236">
        <v>3551</v>
      </c>
      <c r="AB236">
        <v>3906.1</v>
      </c>
      <c r="AC236">
        <v>4261.2</v>
      </c>
      <c r="AD236">
        <v>4616.3</v>
      </c>
      <c r="AE236">
        <v>4971.3999999999996</v>
      </c>
      <c r="AF236">
        <v>5326.5</v>
      </c>
      <c r="AG236">
        <v>5681.6</v>
      </c>
      <c r="AH236">
        <v>6036.7</v>
      </c>
      <c r="AI236">
        <v>6391.8</v>
      </c>
      <c r="AJ236">
        <v>6746.9</v>
      </c>
      <c r="AK236">
        <v>7102</v>
      </c>
      <c r="AL236">
        <v>7102</v>
      </c>
      <c r="AM236">
        <v>7102</v>
      </c>
      <c r="AN236">
        <v>7102</v>
      </c>
      <c r="AO236">
        <v>7102</v>
      </c>
      <c r="AP236">
        <v>7102</v>
      </c>
      <c r="AQ236">
        <v>7102</v>
      </c>
      <c r="AR236">
        <v>7102</v>
      </c>
      <c r="AS236">
        <v>7102</v>
      </c>
      <c r="AT236">
        <v>7102</v>
      </c>
      <c r="AU236">
        <v>7102</v>
      </c>
      <c r="AV236">
        <v>7102</v>
      </c>
      <c r="AW236">
        <v>7102</v>
      </c>
      <c r="AX236">
        <v>7102</v>
      </c>
      <c r="AY236">
        <v>7102</v>
      </c>
      <c r="AZ236">
        <v>7102</v>
      </c>
      <c r="BA236">
        <v>7102</v>
      </c>
      <c r="BB236">
        <v>7102</v>
      </c>
      <c r="BC236">
        <v>7102</v>
      </c>
      <c r="BD236">
        <v>7102</v>
      </c>
      <c r="BE236">
        <v>7102</v>
      </c>
      <c r="BF236">
        <v>7102</v>
      </c>
      <c r="BG236">
        <v>7102</v>
      </c>
      <c r="BH236">
        <v>7102</v>
      </c>
      <c r="BI236">
        <v>7102</v>
      </c>
      <c r="BJ236">
        <v>7102</v>
      </c>
      <c r="BK236">
        <v>7102</v>
      </c>
      <c r="BL236">
        <v>7102</v>
      </c>
      <c r="BM236">
        <v>7102</v>
      </c>
      <c r="BN236">
        <v>7102</v>
      </c>
      <c r="BO236">
        <v>7102</v>
      </c>
      <c r="BP236">
        <v>7102</v>
      </c>
      <c r="BQ236">
        <v>7102</v>
      </c>
      <c r="BR236">
        <v>7102</v>
      </c>
      <c r="BS236">
        <v>7102</v>
      </c>
      <c r="BT236">
        <v>7102</v>
      </c>
      <c r="BU236">
        <v>7102</v>
      </c>
      <c r="BV236">
        <v>7102</v>
      </c>
      <c r="BW236">
        <v>7102</v>
      </c>
      <c r="BX236">
        <v>7102</v>
      </c>
      <c r="BY236">
        <v>7102</v>
      </c>
      <c r="BZ236">
        <v>7102</v>
      </c>
      <c r="CA236">
        <v>7102</v>
      </c>
      <c r="CB236">
        <v>7102</v>
      </c>
      <c r="CC236">
        <v>7102</v>
      </c>
      <c r="CD236">
        <v>7102</v>
      </c>
      <c r="CE236">
        <v>7102</v>
      </c>
      <c r="CF236">
        <v>7102</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Z236" s="343" t="s">
        <v>633</v>
      </c>
      <c r="EA236" t="s">
        <v>1010</v>
      </c>
      <c r="EB236">
        <v>1</v>
      </c>
      <c r="EC236">
        <v>18</v>
      </c>
      <c r="ED236" s="184" t="str">
        <f t="shared" si="11"/>
        <v>SDJ200118</v>
      </c>
      <c r="EE236">
        <v>355.1</v>
      </c>
      <c r="EF236">
        <v>10000</v>
      </c>
      <c r="EG236">
        <v>10000</v>
      </c>
      <c r="EH236">
        <v>10000</v>
      </c>
      <c r="EI236">
        <v>10000</v>
      </c>
      <c r="EJ236">
        <v>10000</v>
      </c>
      <c r="EK236">
        <v>10000</v>
      </c>
      <c r="EL236">
        <v>10000</v>
      </c>
      <c r="EM236">
        <v>10000</v>
      </c>
      <c r="EN236">
        <v>10000</v>
      </c>
      <c r="EO236">
        <v>10000</v>
      </c>
      <c r="EP236">
        <v>10000</v>
      </c>
      <c r="EQ236">
        <v>10000</v>
      </c>
      <c r="ER236">
        <v>10000</v>
      </c>
      <c r="ES236">
        <v>10000</v>
      </c>
      <c r="ET236">
        <v>10000</v>
      </c>
      <c r="EU236">
        <v>10000</v>
      </c>
      <c r="EV236">
        <v>10000</v>
      </c>
      <c r="EW236">
        <v>10000</v>
      </c>
      <c r="EX236">
        <v>10000</v>
      </c>
      <c r="EY236">
        <v>10000</v>
      </c>
      <c r="EZ236">
        <v>10000</v>
      </c>
      <c r="FA236">
        <v>10000</v>
      </c>
      <c r="FB236">
        <v>10000</v>
      </c>
      <c r="FC236">
        <v>10000</v>
      </c>
      <c r="FD236">
        <v>10000</v>
      </c>
      <c r="FE236">
        <v>10000</v>
      </c>
      <c r="FF236">
        <v>10000</v>
      </c>
      <c r="FG236">
        <v>10000</v>
      </c>
      <c r="FH236">
        <v>10000</v>
      </c>
      <c r="FI236">
        <v>10000</v>
      </c>
      <c r="FJ236">
        <v>10000</v>
      </c>
      <c r="FK236">
        <v>10000</v>
      </c>
      <c r="FL236">
        <v>10000</v>
      </c>
      <c r="FM236">
        <v>10000</v>
      </c>
      <c r="FN236">
        <v>10000</v>
      </c>
      <c r="FO236">
        <v>10000</v>
      </c>
      <c r="FP236">
        <v>10000</v>
      </c>
      <c r="FQ236">
        <v>10000</v>
      </c>
      <c r="FR236">
        <v>10000</v>
      </c>
      <c r="FS236">
        <v>10000</v>
      </c>
      <c r="FT236">
        <v>10000</v>
      </c>
      <c r="FU236">
        <v>10000</v>
      </c>
      <c r="FV236">
        <v>10000</v>
      </c>
      <c r="FW236">
        <v>10000</v>
      </c>
      <c r="FX236">
        <v>10000</v>
      </c>
      <c r="FY236">
        <v>10000</v>
      </c>
      <c r="FZ236">
        <v>10000</v>
      </c>
      <c r="GA236">
        <v>10000</v>
      </c>
      <c r="GB236">
        <v>10000</v>
      </c>
      <c r="GC236">
        <v>10000</v>
      </c>
      <c r="GD236">
        <v>10000</v>
      </c>
      <c r="GE236">
        <v>10000</v>
      </c>
      <c r="GF236">
        <v>10000</v>
      </c>
      <c r="GG236">
        <v>10000</v>
      </c>
      <c r="GH236">
        <v>10000</v>
      </c>
      <c r="GI236">
        <v>10000</v>
      </c>
      <c r="GJ236">
        <v>10000</v>
      </c>
      <c r="GK236">
        <v>10000</v>
      </c>
      <c r="GL236">
        <v>10000</v>
      </c>
      <c r="GM236">
        <v>10000</v>
      </c>
      <c r="GN236">
        <v>10000</v>
      </c>
      <c r="GO236">
        <v>10000</v>
      </c>
      <c r="GP236">
        <v>10000</v>
      </c>
      <c r="GQ236">
        <v>10000</v>
      </c>
      <c r="GR236">
        <v>10000</v>
      </c>
      <c r="GS236">
        <v>10000</v>
      </c>
      <c r="GT236">
        <v>0</v>
      </c>
      <c r="GU236">
        <v>0</v>
      </c>
      <c r="GV236">
        <v>0</v>
      </c>
      <c r="GW236">
        <v>0</v>
      </c>
      <c r="GX236">
        <v>0</v>
      </c>
      <c r="GY236">
        <v>0</v>
      </c>
      <c r="GZ236">
        <v>0</v>
      </c>
      <c r="HA236">
        <v>0</v>
      </c>
      <c r="HB236">
        <v>0</v>
      </c>
      <c r="HC236">
        <v>0</v>
      </c>
      <c r="HD236">
        <v>0</v>
      </c>
      <c r="HE236">
        <v>0</v>
      </c>
      <c r="HF236">
        <v>0</v>
      </c>
      <c r="HG236">
        <v>0</v>
      </c>
      <c r="HH236">
        <v>0</v>
      </c>
      <c r="HI236">
        <v>0</v>
      </c>
      <c r="HJ236">
        <v>0</v>
      </c>
      <c r="HK236">
        <v>0</v>
      </c>
      <c r="HL236">
        <v>0</v>
      </c>
      <c r="HM236">
        <v>0</v>
      </c>
      <c r="HN236">
        <v>0</v>
      </c>
      <c r="HO236">
        <v>0</v>
      </c>
      <c r="HP236">
        <v>0</v>
      </c>
      <c r="HQ236">
        <v>0</v>
      </c>
      <c r="HR236">
        <v>0</v>
      </c>
      <c r="HS236">
        <v>0</v>
      </c>
      <c r="HT236">
        <v>0</v>
      </c>
      <c r="HU236">
        <v>0</v>
      </c>
      <c r="HV236">
        <v>0</v>
      </c>
      <c r="HW236">
        <v>0</v>
      </c>
      <c r="HX236">
        <v>0</v>
      </c>
      <c r="HY236">
        <v>0</v>
      </c>
      <c r="HZ236">
        <v>0</v>
      </c>
      <c r="IA236">
        <v>0</v>
      </c>
      <c r="IB236">
        <v>0</v>
      </c>
      <c r="IC236">
        <v>0</v>
      </c>
      <c r="ID236">
        <v>0</v>
      </c>
      <c r="IE236">
        <v>0</v>
      </c>
      <c r="IF236">
        <v>0</v>
      </c>
      <c r="IG236">
        <v>0</v>
      </c>
      <c r="IH236">
        <v>0</v>
      </c>
      <c r="II236">
        <v>0</v>
      </c>
      <c r="IJ236">
        <v>0</v>
      </c>
      <c r="IK236">
        <v>0</v>
      </c>
    </row>
    <row r="237" spans="13:245" hidden="1">
      <c r="M237" s="343" t="s">
        <v>633</v>
      </c>
      <c r="N237" t="s">
        <v>1010</v>
      </c>
      <c r="O237">
        <v>1</v>
      </c>
      <c r="P237">
        <v>19</v>
      </c>
      <c r="Q237" s="184" t="str">
        <f t="shared" si="10"/>
        <v>SDJ200119</v>
      </c>
      <c r="R237">
        <v>362.5</v>
      </c>
      <c r="S237">
        <v>2000</v>
      </c>
      <c r="T237">
        <v>2000</v>
      </c>
      <c r="U237">
        <v>2000</v>
      </c>
      <c r="V237">
        <v>2000</v>
      </c>
      <c r="W237">
        <v>2175.1</v>
      </c>
      <c r="X237">
        <v>2537.6</v>
      </c>
      <c r="Y237">
        <v>2900.2</v>
      </c>
      <c r="Z237">
        <v>3262.7</v>
      </c>
      <c r="AA237">
        <v>3625.2</v>
      </c>
      <c r="AB237">
        <v>3987.7</v>
      </c>
      <c r="AC237">
        <v>4350.2</v>
      </c>
      <c r="AD237">
        <v>4712.8</v>
      </c>
      <c r="AE237">
        <v>5075.3</v>
      </c>
      <c r="AF237">
        <v>5437.8</v>
      </c>
      <c r="AG237">
        <v>5800.3</v>
      </c>
      <c r="AH237">
        <v>6162.8</v>
      </c>
      <c r="AI237">
        <v>6525.4</v>
      </c>
      <c r="AJ237">
        <v>6887.9</v>
      </c>
      <c r="AK237">
        <v>7250.4</v>
      </c>
      <c r="AL237">
        <v>7250.4</v>
      </c>
      <c r="AM237">
        <v>7250.4</v>
      </c>
      <c r="AN237">
        <v>7250.4</v>
      </c>
      <c r="AO237">
        <v>7250.4</v>
      </c>
      <c r="AP237">
        <v>7250.4</v>
      </c>
      <c r="AQ237">
        <v>7250.4</v>
      </c>
      <c r="AR237">
        <v>7250.4</v>
      </c>
      <c r="AS237">
        <v>7250.4</v>
      </c>
      <c r="AT237">
        <v>7250.4</v>
      </c>
      <c r="AU237">
        <v>7250.4</v>
      </c>
      <c r="AV237">
        <v>7250.4</v>
      </c>
      <c r="AW237">
        <v>7250.4</v>
      </c>
      <c r="AX237">
        <v>7250.4</v>
      </c>
      <c r="AY237">
        <v>7250.4</v>
      </c>
      <c r="AZ237">
        <v>7250.4</v>
      </c>
      <c r="BA237">
        <v>7250.4</v>
      </c>
      <c r="BB237">
        <v>7250.4</v>
      </c>
      <c r="BC237">
        <v>7250.4</v>
      </c>
      <c r="BD237">
        <v>7250.4</v>
      </c>
      <c r="BE237">
        <v>7250.4</v>
      </c>
      <c r="BF237">
        <v>7250.4</v>
      </c>
      <c r="BG237">
        <v>7250.4</v>
      </c>
      <c r="BH237">
        <v>7250.4</v>
      </c>
      <c r="BI237">
        <v>7250.4</v>
      </c>
      <c r="BJ237">
        <v>7250.4</v>
      </c>
      <c r="BK237">
        <v>7250.4</v>
      </c>
      <c r="BL237">
        <v>7250.4</v>
      </c>
      <c r="BM237">
        <v>7250.4</v>
      </c>
      <c r="BN237">
        <v>7250.4</v>
      </c>
      <c r="BO237">
        <v>7250.4</v>
      </c>
      <c r="BP237">
        <v>7250.4</v>
      </c>
      <c r="BQ237">
        <v>7250.4</v>
      </c>
      <c r="BR237">
        <v>7250.4</v>
      </c>
      <c r="BS237">
        <v>7250.4</v>
      </c>
      <c r="BT237">
        <v>7250.4</v>
      </c>
      <c r="BU237">
        <v>7250.4</v>
      </c>
      <c r="BV237">
        <v>7250.4</v>
      </c>
      <c r="BW237">
        <v>7250.4</v>
      </c>
      <c r="BX237">
        <v>7250.4</v>
      </c>
      <c r="BY237">
        <v>7250.4</v>
      </c>
      <c r="BZ237">
        <v>7250.4</v>
      </c>
      <c r="CA237">
        <v>7250.4</v>
      </c>
      <c r="CB237">
        <v>7250.4</v>
      </c>
      <c r="CC237">
        <v>7250.4</v>
      </c>
      <c r="CD237">
        <v>7250.4</v>
      </c>
      <c r="CE237">
        <v>7250.4</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Z237" s="343" t="s">
        <v>633</v>
      </c>
      <c r="EA237" t="s">
        <v>1010</v>
      </c>
      <c r="EB237">
        <v>1</v>
      </c>
      <c r="EC237">
        <v>19</v>
      </c>
      <c r="ED237" s="184" t="str">
        <f t="shared" si="11"/>
        <v>SDJ200119</v>
      </c>
      <c r="EE237">
        <v>362.5</v>
      </c>
      <c r="EF237">
        <v>10000</v>
      </c>
      <c r="EG237">
        <v>10000</v>
      </c>
      <c r="EH237">
        <v>10000</v>
      </c>
      <c r="EI237">
        <v>10000</v>
      </c>
      <c r="EJ237">
        <v>10000</v>
      </c>
      <c r="EK237">
        <v>10000</v>
      </c>
      <c r="EL237">
        <v>10000</v>
      </c>
      <c r="EM237">
        <v>10000</v>
      </c>
      <c r="EN237">
        <v>10000</v>
      </c>
      <c r="EO237">
        <v>10000</v>
      </c>
      <c r="EP237">
        <v>10000</v>
      </c>
      <c r="EQ237">
        <v>10000</v>
      </c>
      <c r="ER237">
        <v>10000</v>
      </c>
      <c r="ES237">
        <v>10000</v>
      </c>
      <c r="ET237">
        <v>10000</v>
      </c>
      <c r="EU237">
        <v>10000</v>
      </c>
      <c r="EV237">
        <v>10000</v>
      </c>
      <c r="EW237">
        <v>10000</v>
      </c>
      <c r="EX237">
        <v>10000</v>
      </c>
      <c r="EY237">
        <v>10000</v>
      </c>
      <c r="EZ237">
        <v>10000</v>
      </c>
      <c r="FA237">
        <v>10000</v>
      </c>
      <c r="FB237">
        <v>10000</v>
      </c>
      <c r="FC237">
        <v>10000</v>
      </c>
      <c r="FD237">
        <v>10000</v>
      </c>
      <c r="FE237">
        <v>10000</v>
      </c>
      <c r="FF237">
        <v>10000</v>
      </c>
      <c r="FG237">
        <v>10000</v>
      </c>
      <c r="FH237">
        <v>10000</v>
      </c>
      <c r="FI237">
        <v>10000</v>
      </c>
      <c r="FJ237">
        <v>10000</v>
      </c>
      <c r="FK237">
        <v>10000</v>
      </c>
      <c r="FL237">
        <v>10000</v>
      </c>
      <c r="FM237">
        <v>10000</v>
      </c>
      <c r="FN237">
        <v>10000</v>
      </c>
      <c r="FO237">
        <v>10000</v>
      </c>
      <c r="FP237">
        <v>10000</v>
      </c>
      <c r="FQ237">
        <v>10000</v>
      </c>
      <c r="FR237">
        <v>10000</v>
      </c>
      <c r="FS237">
        <v>10000</v>
      </c>
      <c r="FT237">
        <v>10000</v>
      </c>
      <c r="FU237">
        <v>10000</v>
      </c>
      <c r="FV237">
        <v>10000</v>
      </c>
      <c r="FW237">
        <v>10000</v>
      </c>
      <c r="FX237">
        <v>10000</v>
      </c>
      <c r="FY237">
        <v>10000</v>
      </c>
      <c r="FZ237">
        <v>10000</v>
      </c>
      <c r="GA237">
        <v>10000</v>
      </c>
      <c r="GB237">
        <v>10000</v>
      </c>
      <c r="GC237">
        <v>10000</v>
      </c>
      <c r="GD237">
        <v>10000</v>
      </c>
      <c r="GE237">
        <v>10000</v>
      </c>
      <c r="GF237">
        <v>10000</v>
      </c>
      <c r="GG237">
        <v>10000</v>
      </c>
      <c r="GH237">
        <v>10000</v>
      </c>
      <c r="GI237">
        <v>10000</v>
      </c>
      <c r="GJ237">
        <v>10000</v>
      </c>
      <c r="GK237">
        <v>10000</v>
      </c>
      <c r="GL237">
        <v>10000</v>
      </c>
      <c r="GM237">
        <v>10000</v>
      </c>
      <c r="GN237">
        <v>10000</v>
      </c>
      <c r="GO237">
        <v>10000</v>
      </c>
      <c r="GP237">
        <v>10000</v>
      </c>
      <c r="GQ237">
        <v>10000</v>
      </c>
      <c r="GR237">
        <v>10000</v>
      </c>
      <c r="GS237">
        <v>0</v>
      </c>
      <c r="GT237">
        <v>0</v>
      </c>
      <c r="GU237">
        <v>0</v>
      </c>
      <c r="GV237">
        <v>0</v>
      </c>
      <c r="GW237">
        <v>0</v>
      </c>
      <c r="GX237">
        <v>0</v>
      </c>
      <c r="GY237">
        <v>0</v>
      </c>
      <c r="GZ237">
        <v>0</v>
      </c>
      <c r="HA237">
        <v>0</v>
      </c>
      <c r="HB237">
        <v>0</v>
      </c>
      <c r="HC237">
        <v>0</v>
      </c>
      <c r="HD237">
        <v>0</v>
      </c>
      <c r="HE237">
        <v>0</v>
      </c>
      <c r="HF237">
        <v>0</v>
      </c>
      <c r="HG237">
        <v>0</v>
      </c>
      <c r="HH237">
        <v>0</v>
      </c>
      <c r="HI237">
        <v>0</v>
      </c>
      <c r="HJ237">
        <v>0</v>
      </c>
      <c r="HK237">
        <v>0</v>
      </c>
      <c r="HL237">
        <v>0</v>
      </c>
      <c r="HM237">
        <v>0</v>
      </c>
      <c r="HN237">
        <v>0</v>
      </c>
      <c r="HO237">
        <v>0</v>
      </c>
      <c r="HP237">
        <v>0</v>
      </c>
      <c r="HQ237">
        <v>0</v>
      </c>
      <c r="HR237">
        <v>0</v>
      </c>
      <c r="HS237">
        <v>0</v>
      </c>
      <c r="HT237">
        <v>0</v>
      </c>
      <c r="HU237">
        <v>0</v>
      </c>
      <c r="HV237">
        <v>0</v>
      </c>
      <c r="HW237">
        <v>0</v>
      </c>
      <c r="HX237">
        <v>0</v>
      </c>
      <c r="HY237">
        <v>0</v>
      </c>
      <c r="HZ237">
        <v>0</v>
      </c>
      <c r="IA237">
        <v>0</v>
      </c>
      <c r="IB237">
        <v>0</v>
      </c>
      <c r="IC237">
        <v>0</v>
      </c>
      <c r="ID237">
        <v>0</v>
      </c>
      <c r="IE237">
        <v>0</v>
      </c>
      <c r="IF237">
        <v>0</v>
      </c>
      <c r="IG237">
        <v>0</v>
      </c>
      <c r="IH237">
        <v>0</v>
      </c>
      <c r="II237">
        <v>0</v>
      </c>
      <c r="IJ237">
        <v>0</v>
      </c>
      <c r="IK237">
        <v>0</v>
      </c>
    </row>
    <row r="238" spans="13:245" hidden="1">
      <c r="M238" s="343" t="s">
        <v>633</v>
      </c>
      <c r="N238" t="s">
        <v>1010</v>
      </c>
      <c r="O238">
        <v>1</v>
      </c>
      <c r="P238">
        <v>20</v>
      </c>
      <c r="Q238" s="184" t="str">
        <f t="shared" si="10"/>
        <v>SDJ200120</v>
      </c>
      <c r="R238">
        <v>369.9</v>
      </c>
      <c r="S238">
        <v>2000</v>
      </c>
      <c r="T238">
        <v>2000</v>
      </c>
      <c r="U238">
        <v>2000</v>
      </c>
      <c r="V238">
        <v>2000</v>
      </c>
      <c r="W238">
        <v>2219.6</v>
      </c>
      <c r="X238">
        <v>2589.6</v>
      </c>
      <c r="Y238">
        <v>2959.5</v>
      </c>
      <c r="Z238">
        <v>3329.5</v>
      </c>
      <c r="AA238">
        <v>3699.4</v>
      </c>
      <c r="AB238">
        <v>4069.3</v>
      </c>
      <c r="AC238">
        <v>4439.3</v>
      </c>
      <c r="AD238">
        <v>4809.2</v>
      </c>
      <c r="AE238">
        <v>5179.2</v>
      </c>
      <c r="AF238">
        <v>5549.1</v>
      </c>
      <c r="AG238">
        <v>5919</v>
      </c>
      <c r="AH238">
        <v>6289</v>
      </c>
      <c r="AI238">
        <v>6658.9</v>
      </c>
      <c r="AJ238">
        <v>7028.9</v>
      </c>
      <c r="AK238">
        <v>7398.8</v>
      </c>
      <c r="AL238">
        <v>7398.8</v>
      </c>
      <c r="AM238">
        <v>7398.8</v>
      </c>
      <c r="AN238">
        <v>7398.8</v>
      </c>
      <c r="AO238">
        <v>7398.8</v>
      </c>
      <c r="AP238">
        <v>7398.8</v>
      </c>
      <c r="AQ238">
        <v>7398.8</v>
      </c>
      <c r="AR238">
        <v>7398.8</v>
      </c>
      <c r="AS238">
        <v>7398.8</v>
      </c>
      <c r="AT238">
        <v>7398.8</v>
      </c>
      <c r="AU238">
        <v>7398.8</v>
      </c>
      <c r="AV238">
        <v>7398.8</v>
      </c>
      <c r="AW238">
        <v>7398.8</v>
      </c>
      <c r="AX238">
        <v>7398.8</v>
      </c>
      <c r="AY238">
        <v>7398.8</v>
      </c>
      <c r="AZ238">
        <v>7398.8</v>
      </c>
      <c r="BA238">
        <v>7398.8</v>
      </c>
      <c r="BB238">
        <v>7398.8</v>
      </c>
      <c r="BC238">
        <v>7398.8</v>
      </c>
      <c r="BD238">
        <v>7398.8</v>
      </c>
      <c r="BE238">
        <v>7398.8</v>
      </c>
      <c r="BF238">
        <v>7398.8</v>
      </c>
      <c r="BG238">
        <v>7398.8</v>
      </c>
      <c r="BH238">
        <v>7398.8</v>
      </c>
      <c r="BI238">
        <v>7398.8</v>
      </c>
      <c r="BJ238">
        <v>7398.8</v>
      </c>
      <c r="BK238">
        <v>7398.8</v>
      </c>
      <c r="BL238">
        <v>7398.8</v>
      </c>
      <c r="BM238">
        <v>7398.8</v>
      </c>
      <c r="BN238">
        <v>7398.8</v>
      </c>
      <c r="BO238">
        <v>7398.8</v>
      </c>
      <c r="BP238">
        <v>7398.8</v>
      </c>
      <c r="BQ238">
        <v>7398.8</v>
      </c>
      <c r="BR238">
        <v>7398.8</v>
      </c>
      <c r="BS238">
        <v>7398.8</v>
      </c>
      <c r="BT238">
        <v>7398.8</v>
      </c>
      <c r="BU238">
        <v>7398.8</v>
      </c>
      <c r="BV238">
        <v>7398.8</v>
      </c>
      <c r="BW238">
        <v>7398.8</v>
      </c>
      <c r="BX238">
        <v>7398.8</v>
      </c>
      <c r="BY238">
        <v>7398.8</v>
      </c>
      <c r="BZ238">
        <v>7398.8</v>
      </c>
      <c r="CA238">
        <v>7398.8</v>
      </c>
      <c r="CB238">
        <v>7398.8</v>
      </c>
      <c r="CC238">
        <v>7398.8</v>
      </c>
      <c r="CD238">
        <v>7398.8</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Z238" s="343" t="s">
        <v>633</v>
      </c>
      <c r="EA238" t="s">
        <v>1010</v>
      </c>
      <c r="EB238">
        <v>1</v>
      </c>
      <c r="EC238">
        <v>20</v>
      </c>
      <c r="ED238" s="184" t="str">
        <f t="shared" si="11"/>
        <v>SDJ200120</v>
      </c>
      <c r="EE238">
        <v>369.9</v>
      </c>
      <c r="EF238">
        <v>10000</v>
      </c>
      <c r="EG238">
        <v>10000</v>
      </c>
      <c r="EH238">
        <v>10000</v>
      </c>
      <c r="EI238">
        <v>10000</v>
      </c>
      <c r="EJ238">
        <v>10000</v>
      </c>
      <c r="EK238">
        <v>10000</v>
      </c>
      <c r="EL238">
        <v>10000</v>
      </c>
      <c r="EM238">
        <v>10000</v>
      </c>
      <c r="EN238">
        <v>10000</v>
      </c>
      <c r="EO238">
        <v>10000</v>
      </c>
      <c r="EP238">
        <v>10000</v>
      </c>
      <c r="EQ238">
        <v>10000</v>
      </c>
      <c r="ER238">
        <v>10000</v>
      </c>
      <c r="ES238">
        <v>10000</v>
      </c>
      <c r="ET238">
        <v>10000</v>
      </c>
      <c r="EU238">
        <v>10000</v>
      </c>
      <c r="EV238">
        <v>10000</v>
      </c>
      <c r="EW238">
        <v>10000</v>
      </c>
      <c r="EX238">
        <v>10000</v>
      </c>
      <c r="EY238">
        <v>10000</v>
      </c>
      <c r="EZ238">
        <v>10000</v>
      </c>
      <c r="FA238">
        <v>10000</v>
      </c>
      <c r="FB238">
        <v>10000</v>
      </c>
      <c r="FC238">
        <v>10000</v>
      </c>
      <c r="FD238">
        <v>10000</v>
      </c>
      <c r="FE238">
        <v>10000</v>
      </c>
      <c r="FF238">
        <v>10000</v>
      </c>
      <c r="FG238">
        <v>10000</v>
      </c>
      <c r="FH238">
        <v>10000</v>
      </c>
      <c r="FI238">
        <v>10000</v>
      </c>
      <c r="FJ238">
        <v>10000</v>
      </c>
      <c r="FK238">
        <v>10000</v>
      </c>
      <c r="FL238">
        <v>10000</v>
      </c>
      <c r="FM238">
        <v>10000</v>
      </c>
      <c r="FN238">
        <v>10000</v>
      </c>
      <c r="FO238">
        <v>10000</v>
      </c>
      <c r="FP238">
        <v>10000</v>
      </c>
      <c r="FQ238">
        <v>10000</v>
      </c>
      <c r="FR238">
        <v>10000</v>
      </c>
      <c r="FS238">
        <v>10000</v>
      </c>
      <c r="FT238">
        <v>10000</v>
      </c>
      <c r="FU238">
        <v>10000</v>
      </c>
      <c r="FV238">
        <v>10000</v>
      </c>
      <c r="FW238">
        <v>10000</v>
      </c>
      <c r="FX238">
        <v>10000</v>
      </c>
      <c r="FY238">
        <v>10000</v>
      </c>
      <c r="FZ238">
        <v>10000</v>
      </c>
      <c r="GA238">
        <v>10000</v>
      </c>
      <c r="GB238">
        <v>10000</v>
      </c>
      <c r="GC238">
        <v>10000</v>
      </c>
      <c r="GD238">
        <v>10000</v>
      </c>
      <c r="GE238">
        <v>10000</v>
      </c>
      <c r="GF238">
        <v>10000</v>
      </c>
      <c r="GG238">
        <v>10000</v>
      </c>
      <c r="GH238">
        <v>10000</v>
      </c>
      <c r="GI238">
        <v>10000</v>
      </c>
      <c r="GJ238">
        <v>10000</v>
      </c>
      <c r="GK238">
        <v>10000</v>
      </c>
      <c r="GL238">
        <v>10000</v>
      </c>
      <c r="GM238">
        <v>10000</v>
      </c>
      <c r="GN238">
        <v>10000</v>
      </c>
      <c r="GO238">
        <v>10000</v>
      </c>
      <c r="GP238">
        <v>10000</v>
      </c>
      <c r="GQ238">
        <v>10000</v>
      </c>
      <c r="GR238">
        <v>0</v>
      </c>
      <c r="GS238">
        <v>0</v>
      </c>
      <c r="GT238">
        <v>0</v>
      </c>
      <c r="GU238">
        <v>0</v>
      </c>
      <c r="GV238">
        <v>0</v>
      </c>
      <c r="GW238">
        <v>0</v>
      </c>
      <c r="GX238">
        <v>0</v>
      </c>
      <c r="GY238">
        <v>0</v>
      </c>
      <c r="GZ238">
        <v>0</v>
      </c>
      <c r="HA238">
        <v>0</v>
      </c>
      <c r="HB238">
        <v>0</v>
      </c>
      <c r="HC238">
        <v>0</v>
      </c>
      <c r="HD238">
        <v>0</v>
      </c>
      <c r="HE238">
        <v>0</v>
      </c>
      <c r="HF238">
        <v>0</v>
      </c>
      <c r="HG238">
        <v>0</v>
      </c>
      <c r="HH238">
        <v>0</v>
      </c>
      <c r="HI238">
        <v>0</v>
      </c>
      <c r="HJ238">
        <v>0</v>
      </c>
      <c r="HK238">
        <v>0</v>
      </c>
      <c r="HL238">
        <v>0</v>
      </c>
      <c r="HM238">
        <v>0</v>
      </c>
      <c r="HN238">
        <v>0</v>
      </c>
      <c r="HO238">
        <v>0</v>
      </c>
      <c r="HP238">
        <v>0</v>
      </c>
      <c r="HQ238">
        <v>0</v>
      </c>
      <c r="HR238">
        <v>0</v>
      </c>
      <c r="HS238">
        <v>0</v>
      </c>
      <c r="HT238">
        <v>0</v>
      </c>
      <c r="HU238">
        <v>0</v>
      </c>
      <c r="HV238">
        <v>0</v>
      </c>
      <c r="HW238">
        <v>0</v>
      </c>
      <c r="HX238">
        <v>0</v>
      </c>
      <c r="HY238">
        <v>0</v>
      </c>
      <c r="HZ238">
        <v>0</v>
      </c>
      <c r="IA238">
        <v>0</v>
      </c>
      <c r="IB238">
        <v>0</v>
      </c>
      <c r="IC238">
        <v>0</v>
      </c>
      <c r="ID238">
        <v>0</v>
      </c>
      <c r="IE238">
        <v>0</v>
      </c>
      <c r="IF238">
        <v>0</v>
      </c>
      <c r="IG238">
        <v>0</v>
      </c>
      <c r="IH238">
        <v>0</v>
      </c>
      <c r="II238">
        <v>0</v>
      </c>
      <c r="IJ238">
        <v>0</v>
      </c>
      <c r="IK238">
        <v>0</v>
      </c>
    </row>
    <row r="239" spans="13:245" hidden="1">
      <c r="M239" s="343" t="s">
        <v>633</v>
      </c>
      <c r="N239" t="s">
        <v>1010</v>
      </c>
      <c r="O239">
        <v>1</v>
      </c>
      <c r="P239">
        <v>21</v>
      </c>
      <c r="Q239" s="184" t="str">
        <f t="shared" si="10"/>
        <v>SDJ200121</v>
      </c>
      <c r="R239">
        <v>377.4</v>
      </c>
      <c r="S239">
        <v>2000</v>
      </c>
      <c r="T239">
        <v>2000</v>
      </c>
      <c r="U239">
        <v>2000</v>
      </c>
      <c r="V239">
        <v>2000</v>
      </c>
      <c r="W239">
        <v>2264.1999999999998</v>
      </c>
      <c r="X239">
        <v>2641.5</v>
      </c>
      <c r="Y239">
        <v>3018.9</v>
      </c>
      <c r="Z239">
        <v>3396.2</v>
      </c>
      <c r="AA239">
        <v>3773.6</v>
      </c>
      <c r="AB239">
        <v>4151</v>
      </c>
      <c r="AC239">
        <v>4528.3</v>
      </c>
      <c r="AD239">
        <v>4905.7</v>
      </c>
      <c r="AE239">
        <v>5283</v>
      </c>
      <c r="AF239">
        <v>5660.4</v>
      </c>
      <c r="AG239">
        <v>6037.8</v>
      </c>
      <c r="AH239">
        <v>6415.1</v>
      </c>
      <c r="AI239">
        <v>6792.5</v>
      </c>
      <c r="AJ239">
        <v>7169.8</v>
      </c>
      <c r="AK239">
        <v>7547.2</v>
      </c>
      <c r="AL239">
        <v>7547.2</v>
      </c>
      <c r="AM239">
        <v>7547.2</v>
      </c>
      <c r="AN239">
        <v>7547.2</v>
      </c>
      <c r="AO239">
        <v>7547.2</v>
      </c>
      <c r="AP239">
        <v>7547.2</v>
      </c>
      <c r="AQ239">
        <v>7547.2</v>
      </c>
      <c r="AR239">
        <v>7547.2</v>
      </c>
      <c r="AS239">
        <v>7547.2</v>
      </c>
      <c r="AT239">
        <v>7547.2</v>
      </c>
      <c r="AU239">
        <v>7547.2</v>
      </c>
      <c r="AV239">
        <v>7547.2</v>
      </c>
      <c r="AW239">
        <v>7547.2</v>
      </c>
      <c r="AX239">
        <v>7547.2</v>
      </c>
      <c r="AY239">
        <v>7547.2</v>
      </c>
      <c r="AZ239">
        <v>7547.2</v>
      </c>
      <c r="BA239">
        <v>7547.2</v>
      </c>
      <c r="BB239">
        <v>7547.2</v>
      </c>
      <c r="BC239">
        <v>7547.2</v>
      </c>
      <c r="BD239">
        <v>7547.2</v>
      </c>
      <c r="BE239">
        <v>7547.2</v>
      </c>
      <c r="BF239">
        <v>7547.2</v>
      </c>
      <c r="BG239">
        <v>7547.2</v>
      </c>
      <c r="BH239">
        <v>7547.2</v>
      </c>
      <c r="BI239">
        <v>7547.2</v>
      </c>
      <c r="BJ239">
        <v>7547.2</v>
      </c>
      <c r="BK239">
        <v>7547.2</v>
      </c>
      <c r="BL239">
        <v>7547.2</v>
      </c>
      <c r="BM239">
        <v>7547.2</v>
      </c>
      <c r="BN239">
        <v>7547.2</v>
      </c>
      <c r="BO239">
        <v>7547.2</v>
      </c>
      <c r="BP239">
        <v>7547.2</v>
      </c>
      <c r="BQ239">
        <v>7547.2</v>
      </c>
      <c r="BR239">
        <v>7547.2</v>
      </c>
      <c r="BS239">
        <v>7547.2</v>
      </c>
      <c r="BT239">
        <v>7547.2</v>
      </c>
      <c r="BU239">
        <v>7547.2</v>
      </c>
      <c r="BV239">
        <v>7547.2</v>
      </c>
      <c r="BW239">
        <v>7547.2</v>
      </c>
      <c r="BX239">
        <v>7547.2</v>
      </c>
      <c r="BY239">
        <v>7547.2</v>
      </c>
      <c r="BZ239">
        <v>7547.2</v>
      </c>
      <c r="CA239">
        <v>7547.2</v>
      </c>
      <c r="CB239">
        <v>7547.2</v>
      </c>
      <c r="CC239">
        <v>7547.2</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Z239" s="343" t="s">
        <v>633</v>
      </c>
      <c r="EA239" t="s">
        <v>1010</v>
      </c>
      <c r="EB239">
        <v>1</v>
      </c>
      <c r="EC239">
        <v>21</v>
      </c>
      <c r="ED239" s="184" t="str">
        <f t="shared" si="11"/>
        <v>SDJ200121</v>
      </c>
      <c r="EE239">
        <v>377.4</v>
      </c>
      <c r="EF239">
        <v>10000</v>
      </c>
      <c r="EG239">
        <v>10000</v>
      </c>
      <c r="EH239">
        <v>10000</v>
      </c>
      <c r="EI239">
        <v>10000</v>
      </c>
      <c r="EJ239">
        <v>10000</v>
      </c>
      <c r="EK239">
        <v>10000</v>
      </c>
      <c r="EL239">
        <v>10000</v>
      </c>
      <c r="EM239">
        <v>10000</v>
      </c>
      <c r="EN239">
        <v>10000</v>
      </c>
      <c r="EO239">
        <v>10000</v>
      </c>
      <c r="EP239">
        <v>10000</v>
      </c>
      <c r="EQ239">
        <v>10000</v>
      </c>
      <c r="ER239">
        <v>10000</v>
      </c>
      <c r="ES239">
        <v>10000</v>
      </c>
      <c r="ET239">
        <v>10000</v>
      </c>
      <c r="EU239">
        <v>10000</v>
      </c>
      <c r="EV239">
        <v>10000</v>
      </c>
      <c r="EW239">
        <v>10000</v>
      </c>
      <c r="EX239">
        <v>10000</v>
      </c>
      <c r="EY239">
        <v>10000</v>
      </c>
      <c r="EZ239">
        <v>10000</v>
      </c>
      <c r="FA239">
        <v>10000</v>
      </c>
      <c r="FB239">
        <v>10000</v>
      </c>
      <c r="FC239">
        <v>10000</v>
      </c>
      <c r="FD239">
        <v>10000</v>
      </c>
      <c r="FE239">
        <v>10000</v>
      </c>
      <c r="FF239">
        <v>10000</v>
      </c>
      <c r="FG239">
        <v>10000</v>
      </c>
      <c r="FH239">
        <v>10000</v>
      </c>
      <c r="FI239">
        <v>10000</v>
      </c>
      <c r="FJ239">
        <v>10000</v>
      </c>
      <c r="FK239">
        <v>10000</v>
      </c>
      <c r="FL239">
        <v>10000</v>
      </c>
      <c r="FM239">
        <v>10000</v>
      </c>
      <c r="FN239">
        <v>10000</v>
      </c>
      <c r="FO239">
        <v>10000</v>
      </c>
      <c r="FP239">
        <v>10000</v>
      </c>
      <c r="FQ239">
        <v>10000</v>
      </c>
      <c r="FR239">
        <v>10000</v>
      </c>
      <c r="FS239">
        <v>10000</v>
      </c>
      <c r="FT239">
        <v>10000</v>
      </c>
      <c r="FU239">
        <v>10000</v>
      </c>
      <c r="FV239">
        <v>10000</v>
      </c>
      <c r="FW239">
        <v>10000</v>
      </c>
      <c r="FX239">
        <v>10000</v>
      </c>
      <c r="FY239">
        <v>10000</v>
      </c>
      <c r="FZ239">
        <v>10000</v>
      </c>
      <c r="GA239">
        <v>10000</v>
      </c>
      <c r="GB239">
        <v>10000</v>
      </c>
      <c r="GC239">
        <v>10000</v>
      </c>
      <c r="GD239">
        <v>10000</v>
      </c>
      <c r="GE239">
        <v>10000</v>
      </c>
      <c r="GF239">
        <v>10000</v>
      </c>
      <c r="GG239">
        <v>10000</v>
      </c>
      <c r="GH239">
        <v>10000</v>
      </c>
      <c r="GI239">
        <v>10000</v>
      </c>
      <c r="GJ239">
        <v>10000</v>
      </c>
      <c r="GK239">
        <v>10000</v>
      </c>
      <c r="GL239">
        <v>10000</v>
      </c>
      <c r="GM239">
        <v>10000</v>
      </c>
      <c r="GN239">
        <v>10000</v>
      </c>
      <c r="GO239">
        <v>10000</v>
      </c>
      <c r="GP239">
        <v>10000</v>
      </c>
      <c r="GQ239">
        <v>0</v>
      </c>
      <c r="GR239">
        <v>0</v>
      </c>
      <c r="GS239">
        <v>0</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0</v>
      </c>
      <c r="HP239">
        <v>0</v>
      </c>
      <c r="HQ239">
        <v>0</v>
      </c>
      <c r="HR239">
        <v>0</v>
      </c>
      <c r="HS239">
        <v>0</v>
      </c>
      <c r="HT239">
        <v>0</v>
      </c>
      <c r="HU239">
        <v>0</v>
      </c>
      <c r="HV239">
        <v>0</v>
      </c>
      <c r="HW239">
        <v>0</v>
      </c>
      <c r="HX239">
        <v>0</v>
      </c>
      <c r="HY239">
        <v>0</v>
      </c>
      <c r="HZ239">
        <v>0</v>
      </c>
      <c r="IA239">
        <v>0</v>
      </c>
      <c r="IB239">
        <v>0</v>
      </c>
      <c r="IC239">
        <v>0</v>
      </c>
      <c r="ID239">
        <v>0</v>
      </c>
      <c r="IE239">
        <v>0</v>
      </c>
      <c r="IF239">
        <v>0</v>
      </c>
      <c r="IG239">
        <v>0</v>
      </c>
      <c r="IH239">
        <v>0</v>
      </c>
      <c r="II239">
        <v>0</v>
      </c>
      <c r="IJ239">
        <v>0</v>
      </c>
      <c r="IK239">
        <v>0</v>
      </c>
    </row>
    <row r="240" spans="13:245" hidden="1">
      <c r="M240" s="343" t="s">
        <v>633</v>
      </c>
      <c r="N240" t="s">
        <v>1010</v>
      </c>
      <c r="O240">
        <v>1</v>
      </c>
      <c r="P240">
        <v>22</v>
      </c>
      <c r="Q240" s="184" t="str">
        <f t="shared" si="10"/>
        <v>SDJ200122</v>
      </c>
      <c r="R240">
        <v>384.8</v>
      </c>
      <c r="S240">
        <v>2000</v>
      </c>
      <c r="T240">
        <v>2000</v>
      </c>
      <c r="U240">
        <v>2000</v>
      </c>
      <c r="V240">
        <v>2000</v>
      </c>
      <c r="W240">
        <v>2308.6999999999998</v>
      </c>
      <c r="X240">
        <v>2693.5</v>
      </c>
      <c r="Y240">
        <v>3078.2</v>
      </c>
      <c r="Z240">
        <v>3463</v>
      </c>
      <c r="AA240">
        <v>3847.8</v>
      </c>
      <c r="AB240">
        <v>4232.6000000000004</v>
      </c>
      <c r="AC240">
        <v>4617.3999999999996</v>
      </c>
      <c r="AD240">
        <v>5002.1000000000004</v>
      </c>
      <c r="AE240">
        <v>5386.9</v>
      </c>
      <c r="AF240">
        <v>5771.7</v>
      </c>
      <c r="AG240">
        <v>6156.5</v>
      </c>
      <c r="AH240">
        <v>6541.3</v>
      </c>
      <c r="AI240">
        <v>6926</v>
      </c>
      <c r="AJ240">
        <v>7310.8</v>
      </c>
      <c r="AK240">
        <v>7695.6</v>
      </c>
      <c r="AL240">
        <v>7695.6</v>
      </c>
      <c r="AM240">
        <v>7695.6</v>
      </c>
      <c r="AN240">
        <v>7695.6</v>
      </c>
      <c r="AO240">
        <v>7695.6</v>
      </c>
      <c r="AP240">
        <v>7695.6</v>
      </c>
      <c r="AQ240">
        <v>7695.6</v>
      </c>
      <c r="AR240">
        <v>7695.6</v>
      </c>
      <c r="AS240">
        <v>7695.6</v>
      </c>
      <c r="AT240">
        <v>7695.6</v>
      </c>
      <c r="AU240">
        <v>7695.6</v>
      </c>
      <c r="AV240">
        <v>7695.6</v>
      </c>
      <c r="AW240">
        <v>7695.6</v>
      </c>
      <c r="AX240">
        <v>7695.6</v>
      </c>
      <c r="AY240">
        <v>7695.6</v>
      </c>
      <c r="AZ240">
        <v>7695.6</v>
      </c>
      <c r="BA240">
        <v>7695.6</v>
      </c>
      <c r="BB240">
        <v>7695.6</v>
      </c>
      <c r="BC240">
        <v>7695.6</v>
      </c>
      <c r="BD240">
        <v>7695.6</v>
      </c>
      <c r="BE240">
        <v>7695.6</v>
      </c>
      <c r="BF240">
        <v>7695.6</v>
      </c>
      <c r="BG240">
        <v>7695.6</v>
      </c>
      <c r="BH240">
        <v>7695.6</v>
      </c>
      <c r="BI240">
        <v>7695.6</v>
      </c>
      <c r="BJ240">
        <v>7695.6</v>
      </c>
      <c r="BK240">
        <v>7695.6</v>
      </c>
      <c r="BL240">
        <v>7695.6</v>
      </c>
      <c r="BM240">
        <v>7695.6</v>
      </c>
      <c r="BN240">
        <v>7695.6</v>
      </c>
      <c r="BO240">
        <v>7695.6</v>
      </c>
      <c r="BP240">
        <v>7695.6</v>
      </c>
      <c r="BQ240">
        <v>7695.6</v>
      </c>
      <c r="BR240">
        <v>7695.6</v>
      </c>
      <c r="BS240">
        <v>7695.6</v>
      </c>
      <c r="BT240">
        <v>7695.6</v>
      </c>
      <c r="BU240">
        <v>7695.6</v>
      </c>
      <c r="BV240">
        <v>7695.6</v>
      </c>
      <c r="BW240">
        <v>7695.6</v>
      </c>
      <c r="BX240">
        <v>7695.6</v>
      </c>
      <c r="BY240">
        <v>7695.6</v>
      </c>
      <c r="BZ240">
        <v>7695.6</v>
      </c>
      <c r="CA240">
        <v>7695.6</v>
      </c>
      <c r="CB240">
        <v>7695.6</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Z240" s="343" t="s">
        <v>633</v>
      </c>
      <c r="EA240" t="s">
        <v>1010</v>
      </c>
      <c r="EB240">
        <v>1</v>
      </c>
      <c r="EC240">
        <v>22</v>
      </c>
      <c r="ED240" s="184" t="str">
        <f t="shared" si="11"/>
        <v>SDJ200122</v>
      </c>
      <c r="EE240">
        <v>384.8</v>
      </c>
      <c r="EF240">
        <v>10000</v>
      </c>
      <c r="EG240">
        <v>10000</v>
      </c>
      <c r="EH240">
        <v>10000</v>
      </c>
      <c r="EI240">
        <v>10000</v>
      </c>
      <c r="EJ240">
        <v>10000</v>
      </c>
      <c r="EK240">
        <v>10000</v>
      </c>
      <c r="EL240">
        <v>10000</v>
      </c>
      <c r="EM240">
        <v>10000</v>
      </c>
      <c r="EN240">
        <v>10000</v>
      </c>
      <c r="EO240">
        <v>10000</v>
      </c>
      <c r="EP240">
        <v>10000</v>
      </c>
      <c r="EQ240">
        <v>10000</v>
      </c>
      <c r="ER240">
        <v>10000</v>
      </c>
      <c r="ES240">
        <v>10000</v>
      </c>
      <c r="ET240">
        <v>10000</v>
      </c>
      <c r="EU240">
        <v>10000</v>
      </c>
      <c r="EV240">
        <v>10000</v>
      </c>
      <c r="EW240">
        <v>10000</v>
      </c>
      <c r="EX240">
        <v>10000</v>
      </c>
      <c r="EY240">
        <v>10000</v>
      </c>
      <c r="EZ240">
        <v>10000</v>
      </c>
      <c r="FA240">
        <v>10000</v>
      </c>
      <c r="FB240">
        <v>10000</v>
      </c>
      <c r="FC240">
        <v>10000</v>
      </c>
      <c r="FD240">
        <v>10000</v>
      </c>
      <c r="FE240">
        <v>10000</v>
      </c>
      <c r="FF240">
        <v>10000</v>
      </c>
      <c r="FG240">
        <v>10000</v>
      </c>
      <c r="FH240">
        <v>10000</v>
      </c>
      <c r="FI240">
        <v>10000</v>
      </c>
      <c r="FJ240">
        <v>10000</v>
      </c>
      <c r="FK240">
        <v>10000</v>
      </c>
      <c r="FL240">
        <v>10000</v>
      </c>
      <c r="FM240">
        <v>10000</v>
      </c>
      <c r="FN240">
        <v>10000</v>
      </c>
      <c r="FO240">
        <v>10000</v>
      </c>
      <c r="FP240">
        <v>10000</v>
      </c>
      <c r="FQ240">
        <v>10000</v>
      </c>
      <c r="FR240">
        <v>10000</v>
      </c>
      <c r="FS240">
        <v>10000</v>
      </c>
      <c r="FT240">
        <v>10000</v>
      </c>
      <c r="FU240">
        <v>10000</v>
      </c>
      <c r="FV240">
        <v>10000</v>
      </c>
      <c r="FW240">
        <v>10000</v>
      </c>
      <c r="FX240">
        <v>10000</v>
      </c>
      <c r="FY240">
        <v>10000</v>
      </c>
      <c r="FZ240">
        <v>10000</v>
      </c>
      <c r="GA240">
        <v>10000</v>
      </c>
      <c r="GB240">
        <v>10000</v>
      </c>
      <c r="GC240">
        <v>10000</v>
      </c>
      <c r="GD240">
        <v>10000</v>
      </c>
      <c r="GE240">
        <v>10000</v>
      </c>
      <c r="GF240">
        <v>10000</v>
      </c>
      <c r="GG240">
        <v>10000</v>
      </c>
      <c r="GH240">
        <v>10000</v>
      </c>
      <c r="GI240">
        <v>10000</v>
      </c>
      <c r="GJ240">
        <v>10000</v>
      </c>
      <c r="GK240">
        <v>10000</v>
      </c>
      <c r="GL240">
        <v>10000</v>
      </c>
      <c r="GM240">
        <v>10000</v>
      </c>
      <c r="GN240">
        <v>10000</v>
      </c>
      <c r="GO240">
        <v>10000</v>
      </c>
      <c r="GP240">
        <v>0</v>
      </c>
      <c r="GQ240">
        <v>0</v>
      </c>
      <c r="GR240">
        <v>0</v>
      </c>
      <c r="GS240">
        <v>0</v>
      </c>
      <c r="GT240">
        <v>0</v>
      </c>
      <c r="GU240">
        <v>0</v>
      </c>
      <c r="GV240">
        <v>0</v>
      </c>
      <c r="GW240">
        <v>0</v>
      </c>
      <c r="GX240">
        <v>0</v>
      </c>
      <c r="GY240">
        <v>0</v>
      </c>
      <c r="GZ240">
        <v>0</v>
      </c>
      <c r="HA240">
        <v>0</v>
      </c>
      <c r="HB240">
        <v>0</v>
      </c>
      <c r="HC240">
        <v>0</v>
      </c>
      <c r="HD240">
        <v>0</v>
      </c>
      <c r="HE240">
        <v>0</v>
      </c>
      <c r="HF240">
        <v>0</v>
      </c>
      <c r="HG240">
        <v>0</v>
      </c>
      <c r="HH240">
        <v>0</v>
      </c>
      <c r="HI240">
        <v>0</v>
      </c>
      <c r="HJ240">
        <v>0</v>
      </c>
      <c r="HK240">
        <v>0</v>
      </c>
      <c r="HL240">
        <v>0</v>
      </c>
      <c r="HM240">
        <v>0</v>
      </c>
      <c r="HN240">
        <v>0</v>
      </c>
      <c r="HO240">
        <v>0</v>
      </c>
      <c r="HP240">
        <v>0</v>
      </c>
      <c r="HQ240">
        <v>0</v>
      </c>
      <c r="HR240">
        <v>0</v>
      </c>
      <c r="HS240">
        <v>0</v>
      </c>
      <c r="HT240">
        <v>0</v>
      </c>
      <c r="HU240">
        <v>0</v>
      </c>
      <c r="HV240">
        <v>0</v>
      </c>
      <c r="HW240">
        <v>0</v>
      </c>
      <c r="HX240">
        <v>0</v>
      </c>
      <c r="HY240">
        <v>0</v>
      </c>
      <c r="HZ240">
        <v>0</v>
      </c>
      <c r="IA240">
        <v>0</v>
      </c>
      <c r="IB240">
        <v>0</v>
      </c>
      <c r="IC240">
        <v>0</v>
      </c>
      <c r="ID240">
        <v>0</v>
      </c>
      <c r="IE240">
        <v>0</v>
      </c>
      <c r="IF240">
        <v>0</v>
      </c>
      <c r="IG240">
        <v>0</v>
      </c>
      <c r="IH240">
        <v>0</v>
      </c>
      <c r="II240">
        <v>0</v>
      </c>
      <c r="IJ240">
        <v>0</v>
      </c>
      <c r="IK240">
        <v>0</v>
      </c>
    </row>
    <row r="241" spans="13:245" hidden="1">
      <c r="M241" s="343" t="s">
        <v>633</v>
      </c>
      <c r="N241" t="s">
        <v>1010</v>
      </c>
      <c r="O241">
        <v>1</v>
      </c>
      <c r="P241">
        <v>23</v>
      </c>
      <c r="Q241" s="184" t="str">
        <f t="shared" si="10"/>
        <v>SDJ200123</v>
      </c>
      <c r="R241">
        <v>392.2</v>
      </c>
      <c r="S241">
        <v>2000</v>
      </c>
      <c r="T241">
        <v>2000</v>
      </c>
      <c r="U241">
        <v>2000</v>
      </c>
      <c r="V241">
        <v>2000</v>
      </c>
      <c r="W241">
        <v>2353.1999999999998</v>
      </c>
      <c r="X241">
        <v>2745.4</v>
      </c>
      <c r="Y241">
        <v>3137.6</v>
      </c>
      <c r="Z241">
        <v>3529.8</v>
      </c>
      <c r="AA241">
        <v>3922</v>
      </c>
      <c r="AB241">
        <v>4314.2</v>
      </c>
      <c r="AC241">
        <v>4706.3999999999996</v>
      </c>
      <c r="AD241">
        <v>5098.6000000000004</v>
      </c>
      <c r="AE241">
        <v>5490.8</v>
      </c>
      <c r="AF241">
        <v>5883</v>
      </c>
      <c r="AG241">
        <v>6275.2</v>
      </c>
      <c r="AH241">
        <v>6667.4</v>
      </c>
      <c r="AI241">
        <v>7059.6</v>
      </c>
      <c r="AJ241">
        <v>7451.8</v>
      </c>
      <c r="AK241">
        <v>7844</v>
      </c>
      <c r="AL241">
        <v>7844</v>
      </c>
      <c r="AM241">
        <v>7844</v>
      </c>
      <c r="AN241">
        <v>7844</v>
      </c>
      <c r="AO241">
        <v>7844</v>
      </c>
      <c r="AP241">
        <v>7844</v>
      </c>
      <c r="AQ241">
        <v>7844</v>
      </c>
      <c r="AR241">
        <v>7844</v>
      </c>
      <c r="AS241">
        <v>7844</v>
      </c>
      <c r="AT241">
        <v>7844</v>
      </c>
      <c r="AU241">
        <v>7844</v>
      </c>
      <c r="AV241">
        <v>7844</v>
      </c>
      <c r="AW241">
        <v>7844</v>
      </c>
      <c r="AX241">
        <v>7844</v>
      </c>
      <c r="AY241">
        <v>7844</v>
      </c>
      <c r="AZ241">
        <v>7844</v>
      </c>
      <c r="BA241">
        <v>7844</v>
      </c>
      <c r="BB241">
        <v>7844</v>
      </c>
      <c r="BC241">
        <v>7844</v>
      </c>
      <c r="BD241">
        <v>7844</v>
      </c>
      <c r="BE241">
        <v>7844</v>
      </c>
      <c r="BF241">
        <v>7844</v>
      </c>
      <c r="BG241">
        <v>7844</v>
      </c>
      <c r="BH241">
        <v>7844</v>
      </c>
      <c r="BI241">
        <v>7844</v>
      </c>
      <c r="BJ241">
        <v>7844</v>
      </c>
      <c r="BK241">
        <v>7844</v>
      </c>
      <c r="BL241">
        <v>7844</v>
      </c>
      <c r="BM241">
        <v>7844</v>
      </c>
      <c r="BN241">
        <v>7844</v>
      </c>
      <c r="BO241">
        <v>7844</v>
      </c>
      <c r="BP241">
        <v>7844</v>
      </c>
      <c r="BQ241">
        <v>7844</v>
      </c>
      <c r="BR241">
        <v>7844</v>
      </c>
      <c r="BS241">
        <v>7844</v>
      </c>
      <c r="BT241">
        <v>7844</v>
      </c>
      <c r="BU241">
        <v>7844</v>
      </c>
      <c r="BV241">
        <v>7844</v>
      </c>
      <c r="BW241">
        <v>7844</v>
      </c>
      <c r="BX241">
        <v>7844</v>
      </c>
      <c r="BY241">
        <v>7844</v>
      </c>
      <c r="BZ241">
        <v>7844</v>
      </c>
      <c r="CA241">
        <v>7844</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Z241" s="343" t="s">
        <v>633</v>
      </c>
      <c r="EA241" t="s">
        <v>1010</v>
      </c>
      <c r="EB241">
        <v>1</v>
      </c>
      <c r="EC241">
        <v>23</v>
      </c>
      <c r="ED241" s="184" t="str">
        <f t="shared" si="11"/>
        <v>SDJ200123</v>
      </c>
      <c r="EE241">
        <v>392.2</v>
      </c>
      <c r="EF241">
        <v>10000</v>
      </c>
      <c r="EG241">
        <v>10000</v>
      </c>
      <c r="EH241">
        <v>10000</v>
      </c>
      <c r="EI241">
        <v>10000</v>
      </c>
      <c r="EJ241">
        <v>10000</v>
      </c>
      <c r="EK241">
        <v>10000</v>
      </c>
      <c r="EL241">
        <v>10000</v>
      </c>
      <c r="EM241">
        <v>10000</v>
      </c>
      <c r="EN241">
        <v>10000</v>
      </c>
      <c r="EO241">
        <v>10000</v>
      </c>
      <c r="EP241">
        <v>10000</v>
      </c>
      <c r="EQ241">
        <v>10000</v>
      </c>
      <c r="ER241">
        <v>10000</v>
      </c>
      <c r="ES241">
        <v>10000</v>
      </c>
      <c r="ET241">
        <v>10000</v>
      </c>
      <c r="EU241">
        <v>10000</v>
      </c>
      <c r="EV241">
        <v>10000</v>
      </c>
      <c r="EW241">
        <v>10000</v>
      </c>
      <c r="EX241">
        <v>10000</v>
      </c>
      <c r="EY241">
        <v>10000</v>
      </c>
      <c r="EZ241">
        <v>10000</v>
      </c>
      <c r="FA241">
        <v>10000</v>
      </c>
      <c r="FB241">
        <v>10000</v>
      </c>
      <c r="FC241">
        <v>10000</v>
      </c>
      <c r="FD241">
        <v>10000</v>
      </c>
      <c r="FE241">
        <v>10000</v>
      </c>
      <c r="FF241">
        <v>10000</v>
      </c>
      <c r="FG241">
        <v>10000</v>
      </c>
      <c r="FH241">
        <v>10000</v>
      </c>
      <c r="FI241">
        <v>10000</v>
      </c>
      <c r="FJ241">
        <v>10000</v>
      </c>
      <c r="FK241">
        <v>10000</v>
      </c>
      <c r="FL241">
        <v>10000</v>
      </c>
      <c r="FM241">
        <v>10000</v>
      </c>
      <c r="FN241">
        <v>10000</v>
      </c>
      <c r="FO241">
        <v>10000</v>
      </c>
      <c r="FP241">
        <v>10000</v>
      </c>
      <c r="FQ241">
        <v>10000</v>
      </c>
      <c r="FR241">
        <v>10000</v>
      </c>
      <c r="FS241">
        <v>10000</v>
      </c>
      <c r="FT241">
        <v>10000</v>
      </c>
      <c r="FU241">
        <v>10000</v>
      </c>
      <c r="FV241">
        <v>10000</v>
      </c>
      <c r="FW241">
        <v>10000</v>
      </c>
      <c r="FX241">
        <v>10000</v>
      </c>
      <c r="FY241">
        <v>10000</v>
      </c>
      <c r="FZ241">
        <v>10000</v>
      </c>
      <c r="GA241">
        <v>10000</v>
      </c>
      <c r="GB241">
        <v>10000</v>
      </c>
      <c r="GC241">
        <v>10000</v>
      </c>
      <c r="GD241">
        <v>10000</v>
      </c>
      <c r="GE241">
        <v>10000</v>
      </c>
      <c r="GF241">
        <v>10000</v>
      </c>
      <c r="GG241">
        <v>10000</v>
      </c>
      <c r="GH241">
        <v>10000</v>
      </c>
      <c r="GI241">
        <v>10000</v>
      </c>
      <c r="GJ241">
        <v>10000</v>
      </c>
      <c r="GK241">
        <v>10000</v>
      </c>
      <c r="GL241">
        <v>10000</v>
      </c>
      <c r="GM241">
        <v>10000</v>
      </c>
      <c r="GN241">
        <v>10000</v>
      </c>
      <c r="GO241">
        <v>0</v>
      </c>
      <c r="GP241">
        <v>0</v>
      </c>
      <c r="GQ241">
        <v>0</v>
      </c>
      <c r="GR241">
        <v>0</v>
      </c>
      <c r="GS241">
        <v>0</v>
      </c>
      <c r="GT241">
        <v>0</v>
      </c>
      <c r="GU241">
        <v>0</v>
      </c>
      <c r="GV241">
        <v>0</v>
      </c>
      <c r="GW241">
        <v>0</v>
      </c>
      <c r="GX241">
        <v>0</v>
      </c>
      <c r="GY241">
        <v>0</v>
      </c>
      <c r="GZ241">
        <v>0</v>
      </c>
      <c r="HA241">
        <v>0</v>
      </c>
      <c r="HB241">
        <v>0</v>
      </c>
      <c r="HC241">
        <v>0</v>
      </c>
      <c r="HD241">
        <v>0</v>
      </c>
      <c r="HE241">
        <v>0</v>
      </c>
      <c r="HF241">
        <v>0</v>
      </c>
      <c r="HG241">
        <v>0</v>
      </c>
      <c r="HH241">
        <v>0</v>
      </c>
      <c r="HI241">
        <v>0</v>
      </c>
      <c r="HJ241">
        <v>0</v>
      </c>
      <c r="HK241">
        <v>0</v>
      </c>
      <c r="HL241">
        <v>0</v>
      </c>
      <c r="HM241">
        <v>0</v>
      </c>
      <c r="HN241">
        <v>0</v>
      </c>
      <c r="HO241">
        <v>0</v>
      </c>
      <c r="HP241">
        <v>0</v>
      </c>
      <c r="HQ241">
        <v>0</v>
      </c>
      <c r="HR241">
        <v>0</v>
      </c>
      <c r="HS241">
        <v>0</v>
      </c>
      <c r="HT241">
        <v>0</v>
      </c>
      <c r="HU241">
        <v>0</v>
      </c>
      <c r="HV241">
        <v>0</v>
      </c>
      <c r="HW241">
        <v>0</v>
      </c>
      <c r="HX241">
        <v>0</v>
      </c>
      <c r="HY241">
        <v>0</v>
      </c>
      <c r="HZ241">
        <v>0</v>
      </c>
      <c r="IA241">
        <v>0</v>
      </c>
      <c r="IB241">
        <v>0</v>
      </c>
      <c r="IC241">
        <v>0</v>
      </c>
      <c r="ID241">
        <v>0</v>
      </c>
      <c r="IE241">
        <v>0</v>
      </c>
      <c r="IF241">
        <v>0</v>
      </c>
      <c r="IG241">
        <v>0</v>
      </c>
      <c r="IH241">
        <v>0</v>
      </c>
      <c r="II241">
        <v>0</v>
      </c>
      <c r="IJ241">
        <v>0</v>
      </c>
      <c r="IK241">
        <v>0</v>
      </c>
    </row>
    <row r="242" spans="13:245" hidden="1">
      <c r="M242" s="343" t="s">
        <v>633</v>
      </c>
      <c r="N242" t="s">
        <v>1010</v>
      </c>
      <c r="O242">
        <v>1</v>
      </c>
      <c r="P242">
        <v>24</v>
      </c>
      <c r="Q242" s="184" t="str">
        <f t="shared" si="10"/>
        <v>SDJ200124</v>
      </c>
      <c r="R242">
        <v>399.6</v>
      </c>
      <c r="S242">
        <v>2000</v>
      </c>
      <c r="T242">
        <v>2000</v>
      </c>
      <c r="U242">
        <v>2000</v>
      </c>
      <c r="V242">
        <v>2000</v>
      </c>
      <c r="W242">
        <v>2397.6999999999998</v>
      </c>
      <c r="X242">
        <v>2797.3</v>
      </c>
      <c r="Y242">
        <v>3197</v>
      </c>
      <c r="Z242">
        <v>3596.6</v>
      </c>
      <c r="AA242">
        <v>3996.2</v>
      </c>
      <c r="AB242">
        <v>4395.8</v>
      </c>
      <c r="AC242">
        <v>4795.3999999999996</v>
      </c>
      <c r="AD242">
        <v>5195.1000000000004</v>
      </c>
      <c r="AE242">
        <v>5594.7</v>
      </c>
      <c r="AF242">
        <v>5994.3</v>
      </c>
      <c r="AG242">
        <v>6393.9</v>
      </c>
      <c r="AH242">
        <v>6793.5</v>
      </c>
      <c r="AI242">
        <v>7193.2</v>
      </c>
      <c r="AJ242">
        <v>7592.8</v>
      </c>
      <c r="AK242">
        <v>7992.4</v>
      </c>
      <c r="AL242">
        <v>7992.4</v>
      </c>
      <c r="AM242">
        <v>7992.4</v>
      </c>
      <c r="AN242">
        <v>7992.4</v>
      </c>
      <c r="AO242">
        <v>7992.4</v>
      </c>
      <c r="AP242">
        <v>7992.4</v>
      </c>
      <c r="AQ242">
        <v>7992.4</v>
      </c>
      <c r="AR242">
        <v>7992.4</v>
      </c>
      <c r="AS242">
        <v>7992.4</v>
      </c>
      <c r="AT242">
        <v>7992.4</v>
      </c>
      <c r="AU242">
        <v>7992.4</v>
      </c>
      <c r="AV242">
        <v>7992.4</v>
      </c>
      <c r="AW242">
        <v>7992.4</v>
      </c>
      <c r="AX242">
        <v>7992.4</v>
      </c>
      <c r="AY242">
        <v>7992.4</v>
      </c>
      <c r="AZ242">
        <v>7992.4</v>
      </c>
      <c r="BA242">
        <v>7992.4</v>
      </c>
      <c r="BB242">
        <v>7992.4</v>
      </c>
      <c r="BC242">
        <v>7992.4</v>
      </c>
      <c r="BD242">
        <v>7992.4</v>
      </c>
      <c r="BE242">
        <v>7992.4</v>
      </c>
      <c r="BF242">
        <v>7992.4</v>
      </c>
      <c r="BG242">
        <v>7992.4</v>
      </c>
      <c r="BH242">
        <v>7992.4</v>
      </c>
      <c r="BI242">
        <v>7992.4</v>
      </c>
      <c r="BJ242">
        <v>7992.4</v>
      </c>
      <c r="BK242">
        <v>7992.4</v>
      </c>
      <c r="BL242">
        <v>7992.4</v>
      </c>
      <c r="BM242">
        <v>7992.4</v>
      </c>
      <c r="BN242">
        <v>7992.4</v>
      </c>
      <c r="BO242">
        <v>7992.4</v>
      </c>
      <c r="BP242">
        <v>7992.4</v>
      </c>
      <c r="BQ242">
        <v>7992.4</v>
      </c>
      <c r="BR242">
        <v>7992.4</v>
      </c>
      <c r="BS242">
        <v>7992.4</v>
      </c>
      <c r="BT242">
        <v>7992.4</v>
      </c>
      <c r="BU242">
        <v>7992.4</v>
      </c>
      <c r="BV242">
        <v>7992.4</v>
      </c>
      <c r="BW242">
        <v>7992.4</v>
      </c>
      <c r="BX242">
        <v>7992.4</v>
      </c>
      <c r="BY242">
        <v>7992.4</v>
      </c>
      <c r="BZ242">
        <v>7992.4</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Z242" s="343" t="s">
        <v>633</v>
      </c>
      <c r="EA242" t="s">
        <v>1010</v>
      </c>
      <c r="EB242">
        <v>1</v>
      </c>
      <c r="EC242">
        <v>24</v>
      </c>
      <c r="ED242" s="184" t="str">
        <f t="shared" si="11"/>
        <v>SDJ200124</v>
      </c>
      <c r="EE242">
        <v>399.6</v>
      </c>
      <c r="EF242">
        <v>10000</v>
      </c>
      <c r="EG242">
        <v>10000</v>
      </c>
      <c r="EH242">
        <v>10000</v>
      </c>
      <c r="EI242">
        <v>10000</v>
      </c>
      <c r="EJ242">
        <v>10000</v>
      </c>
      <c r="EK242">
        <v>10000</v>
      </c>
      <c r="EL242">
        <v>10000</v>
      </c>
      <c r="EM242">
        <v>10000</v>
      </c>
      <c r="EN242">
        <v>10000</v>
      </c>
      <c r="EO242">
        <v>10000</v>
      </c>
      <c r="EP242">
        <v>10000</v>
      </c>
      <c r="EQ242">
        <v>10000</v>
      </c>
      <c r="ER242">
        <v>10000</v>
      </c>
      <c r="ES242">
        <v>10000</v>
      </c>
      <c r="ET242">
        <v>10000</v>
      </c>
      <c r="EU242">
        <v>10000</v>
      </c>
      <c r="EV242">
        <v>10000</v>
      </c>
      <c r="EW242">
        <v>10000</v>
      </c>
      <c r="EX242">
        <v>10000</v>
      </c>
      <c r="EY242">
        <v>10000</v>
      </c>
      <c r="EZ242">
        <v>10000</v>
      </c>
      <c r="FA242">
        <v>10000</v>
      </c>
      <c r="FB242">
        <v>10000</v>
      </c>
      <c r="FC242">
        <v>10000</v>
      </c>
      <c r="FD242">
        <v>10000</v>
      </c>
      <c r="FE242">
        <v>10000</v>
      </c>
      <c r="FF242">
        <v>10000</v>
      </c>
      <c r="FG242">
        <v>10000</v>
      </c>
      <c r="FH242">
        <v>10000</v>
      </c>
      <c r="FI242">
        <v>10000</v>
      </c>
      <c r="FJ242">
        <v>10000</v>
      </c>
      <c r="FK242">
        <v>10000</v>
      </c>
      <c r="FL242">
        <v>10000</v>
      </c>
      <c r="FM242">
        <v>10000</v>
      </c>
      <c r="FN242">
        <v>10000</v>
      </c>
      <c r="FO242">
        <v>10000</v>
      </c>
      <c r="FP242">
        <v>10000</v>
      </c>
      <c r="FQ242">
        <v>10000</v>
      </c>
      <c r="FR242">
        <v>10000</v>
      </c>
      <c r="FS242">
        <v>10000</v>
      </c>
      <c r="FT242">
        <v>10000</v>
      </c>
      <c r="FU242">
        <v>10000</v>
      </c>
      <c r="FV242">
        <v>10000</v>
      </c>
      <c r="FW242">
        <v>10000</v>
      </c>
      <c r="FX242">
        <v>10000</v>
      </c>
      <c r="FY242">
        <v>10000</v>
      </c>
      <c r="FZ242">
        <v>10000</v>
      </c>
      <c r="GA242">
        <v>10000</v>
      </c>
      <c r="GB242">
        <v>10000</v>
      </c>
      <c r="GC242">
        <v>10000</v>
      </c>
      <c r="GD242">
        <v>10000</v>
      </c>
      <c r="GE242">
        <v>10000</v>
      </c>
      <c r="GF242">
        <v>10000</v>
      </c>
      <c r="GG242">
        <v>10000</v>
      </c>
      <c r="GH242">
        <v>10000</v>
      </c>
      <c r="GI242">
        <v>10000</v>
      </c>
      <c r="GJ242">
        <v>10000</v>
      </c>
      <c r="GK242">
        <v>10000</v>
      </c>
      <c r="GL242">
        <v>10000</v>
      </c>
      <c r="GM242">
        <v>10000</v>
      </c>
      <c r="GN242">
        <v>0</v>
      </c>
      <c r="GO242">
        <v>0</v>
      </c>
      <c r="GP242">
        <v>0</v>
      </c>
      <c r="GQ242">
        <v>0</v>
      </c>
      <c r="GR242">
        <v>0</v>
      </c>
      <c r="GS242">
        <v>0</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0</v>
      </c>
      <c r="HW242">
        <v>0</v>
      </c>
      <c r="HX242">
        <v>0</v>
      </c>
      <c r="HY242">
        <v>0</v>
      </c>
      <c r="HZ242">
        <v>0</v>
      </c>
      <c r="IA242">
        <v>0</v>
      </c>
      <c r="IB242">
        <v>0</v>
      </c>
      <c r="IC242">
        <v>0</v>
      </c>
      <c r="ID242">
        <v>0</v>
      </c>
      <c r="IE242">
        <v>0</v>
      </c>
      <c r="IF242">
        <v>0</v>
      </c>
      <c r="IG242">
        <v>0</v>
      </c>
      <c r="IH242">
        <v>0</v>
      </c>
      <c r="II242">
        <v>0</v>
      </c>
      <c r="IJ242">
        <v>0</v>
      </c>
      <c r="IK242">
        <v>0</v>
      </c>
    </row>
    <row r="243" spans="13:245" hidden="1">
      <c r="M243" s="343" t="s">
        <v>633</v>
      </c>
      <c r="N243" t="s">
        <v>1010</v>
      </c>
      <c r="O243">
        <v>1</v>
      </c>
      <c r="P243">
        <v>25</v>
      </c>
      <c r="Q243" s="184" t="str">
        <f t="shared" si="10"/>
        <v>SDJ200125</v>
      </c>
      <c r="R243">
        <v>407</v>
      </c>
      <c r="S243">
        <v>2000</v>
      </c>
      <c r="T243">
        <v>2000</v>
      </c>
      <c r="U243">
        <v>2000</v>
      </c>
      <c r="V243">
        <v>2035.2</v>
      </c>
      <c r="W243">
        <v>2442.1999999999998</v>
      </c>
      <c r="X243">
        <v>2849.3</v>
      </c>
      <c r="Y243">
        <v>3256.3</v>
      </c>
      <c r="Z243">
        <v>3663.4</v>
      </c>
      <c r="AA243">
        <v>4070.4</v>
      </c>
      <c r="AB243">
        <v>4477.3999999999996</v>
      </c>
      <c r="AC243">
        <v>4884.5</v>
      </c>
      <c r="AD243">
        <v>5291.5</v>
      </c>
      <c r="AE243">
        <v>5698.6</v>
      </c>
      <c r="AF243">
        <v>6105.6</v>
      </c>
      <c r="AG243">
        <v>6512.6</v>
      </c>
      <c r="AH243">
        <v>6919.7</v>
      </c>
      <c r="AI243">
        <v>7326.7</v>
      </c>
      <c r="AJ243">
        <v>7733.8</v>
      </c>
      <c r="AK243">
        <v>8140.8</v>
      </c>
      <c r="AL243">
        <v>8140.8</v>
      </c>
      <c r="AM243">
        <v>8140.8</v>
      </c>
      <c r="AN243">
        <v>8140.8</v>
      </c>
      <c r="AO243">
        <v>8140.8</v>
      </c>
      <c r="AP243">
        <v>8140.8</v>
      </c>
      <c r="AQ243">
        <v>8140.8</v>
      </c>
      <c r="AR243">
        <v>8140.8</v>
      </c>
      <c r="AS243">
        <v>8140.8</v>
      </c>
      <c r="AT243">
        <v>8140.8</v>
      </c>
      <c r="AU243">
        <v>8140.8</v>
      </c>
      <c r="AV243">
        <v>8140.8</v>
      </c>
      <c r="AW243">
        <v>8140.8</v>
      </c>
      <c r="AX243">
        <v>8140.8</v>
      </c>
      <c r="AY243">
        <v>8140.8</v>
      </c>
      <c r="AZ243">
        <v>8140.8</v>
      </c>
      <c r="BA243">
        <v>8140.8</v>
      </c>
      <c r="BB243">
        <v>8140.8</v>
      </c>
      <c r="BC243">
        <v>8140.8</v>
      </c>
      <c r="BD243">
        <v>8140.8</v>
      </c>
      <c r="BE243">
        <v>8140.8</v>
      </c>
      <c r="BF243">
        <v>8140.8</v>
      </c>
      <c r="BG243">
        <v>8140.8</v>
      </c>
      <c r="BH243">
        <v>8140.8</v>
      </c>
      <c r="BI243">
        <v>8140.8</v>
      </c>
      <c r="BJ243">
        <v>8140.8</v>
      </c>
      <c r="BK243">
        <v>8140.8</v>
      </c>
      <c r="BL243">
        <v>8140.8</v>
      </c>
      <c r="BM243">
        <v>8140.8</v>
      </c>
      <c r="BN243">
        <v>8140.8</v>
      </c>
      <c r="BO243">
        <v>8140.8</v>
      </c>
      <c r="BP243">
        <v>8140.8</v>
      </c>
      <c r="BQ243">
        <v>8140.8</v>
      </c>
      <c r="BR243">
        <v>8140.8</v>
      </c>
      <c r="BS243">
        <v>8140.8</v>
      </c>
      <c r="BT243">
        <v>8140.8</v>
      </c>
      <c r="BU243">
        <v>8140.8</v>
      </c>
      <c r="BV243">
        <v>8140.8</v>
      </c>
      <c r="BW243">
        <v>8140.8</v>
      </c>
      <c r="BX243">
        <v>8140.8</v>
      </c>
      <c r="BY243">
        <v>8140.8</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Z243" s="343" t="s">
        <v>633</v>
      </c>
      <c r="EA243" t="s">
        <v>1010</v>
      </c>
      <c r="EB243">
        <v>1</v>
      </c>
      <c r="EC243">
        <v>25</v>
      </c>
      <c r="ED243" s="184" t="str">
        <f t="shared" si="11"/>
        <v>SDJ200125</v>
      </c>
      <c r="EE243">
        <v>407</v>
      </c>
      <c r="EF243">
        <v>10000</v>
      </c>
      <c r="EG243">
        <v>10000</v>
      </c>
      <c r="EH243">
        <v>10000</v>
      </c>
      <c r="EI243">
        <v>10000</v>
      </c>
      <c r="EJ243">
        <v>10000</v>
      </c>
      <c r="EK243">
        <v>10000</v>
      </c>
      <c r="EL243">
        <v>10000</v>
      </c>
      <c r="EM243">
        <v>10000</v>
      </c>
      <c r="EN243">
        <v>10000</v>
      </c>
      <c r="EO243">
        <v>10000</v>
      </c>
      <c r="EP243">
        <v>10000</v>
      </c>
      <c r="EQ243">
        <v>10000</v>
      </c>
      <c r="ER243">
        <v>10000</v>
      </c>
      <c r="ES243">
        <v>10000</v>
      </c>
      <c r="ET243">
        <v>10000</v>
      </c>
      <c r="EU243">
        <v>10000</v>
      </c>
      <c r="EV243">
        <v>10000</v>
      </c>
      <c r="EW243">
        <v>10000</v>
      </c>
      <c r="EX243">
        <v>10000</v>
      </c>
      <c r="EY243">
        <v>10000</v>
      </c>
      <c r="EZ243">
        <v>10000</v>
      </c>
      <c r="FA243">
        <v>10000</v>
      </c>
      <c r="FB243">
        <v>10000</v>
      </c>
      <c r="FC243">
        <v>10000</v>
      </c>
      <c r="FD243">
        <v>10000</v>
      </c>
      <c r="FE243">
        <v>10000</v>
      </c>
      <c r="FF243">
        <v>10000</v>
      </c>
      <c r="FG243">
        <v>10000</v>
      </c>
      <c r="FH243">
        <v>10000</v>
      </c>
      <c r="FI243">
        <v>10000</v>
      </c>
      <c r="FJ243">
        <v>10000</v>
      </c>
      <c r="FK243">
        <v>10000</v>
      </c>
      <c r="FL243">
        <v>10000</v>
      </c>
      <c r="FM243">
        <v>10000</v>
      </c>
      <c r="FN243">
        <v>10000</v>
      </c>
      <c r="FO243">
        <v>10000</v>
      </c>
      <c r="FP243">
        <v>10000</v>
      </c>
      <c r="FQ243">
        <v>10000</v>
      </c>
      <c r="FR243">
        <v>10000</v>
      </c>
      <c r="FS243">
        <v>10000</v>
      </c>
      <c r="FT243">
        <v>10000</v>
      </c>
      <c r="FU243">
        <v>10000</v>
      </c>
      <c r="FV243">
        <v>10000</v>
      </c>
      <c r="FW243">
        <v>10000</v>
      </c>
      <c r="FX243">
        <v>10000</v>
      </c>
      <c r="FY243">
        <v>10000</v>
      </c>
      <c r="FZ243">
        <v>10000</v>
      </c>
      <c r="GA243">
        <v>10000</v>
      </c>
      <c r="GB243">
        <v>10000</v>
      </c>
      <c r="GC243">
        <v>10000</v>
      </c>
      <c r="GD243">
        <v>10000</v>
      </c>
      <c r="GE243">
        <v>10000</v>
      </c>
      <c r="GF243">
        <v>10000</v>
      </c>
      <c r="GG243">
        <v>10000</v>
      </c>
      <c r="GH243">
        <v>10000</v>
      </c>
      <c r="GI243">
        <v>10000</v>
      </c>
      <c r="GJ243">
        <v>10000</v>
      </c>
      <c r="GK243">
        <v>10000</v>
      </c>
      <c r="GL243">
        <v>10000</v>
      </c>
      <c r="GM243">
        <v>0</v>
      </c>
      <c r="GN243">
        <v>0</v>
      </c>
      <c r="GO243">
        <v>0</v>
      </c>
      <c r="GP243">
        <v>0</v>
      </c>
      <c r="GQ243">
        <v>0</v>
      </c>
      <c r="GR243">
        <v>0</v>
      </c>
      <c r="GS243">
        <v>0</v>
      </c>
      <c r="GT243">
        <v>0</v>
      </c>
      <c r="GU243">
        <v>0</v>
      </c>
      <c r="GV243">
        <v>0</v>
      </c>
      <c r="GW243">
        <v>0</v>
      </c>
      <c r="GX243">
        <v>0</v>
      </c>
      <c r="GY243">
        <v>0</v>
      </c>
      <c r="GZ243">
        <v>0</v>
      </c>
      <c r="HA243">
        <v>0</v>
      </c>
      <c r="HB243">
        <v>0</v>
      </c>
      <c r="HC243">
        <v>0</v>
      </c>
      <c r="HD243">
        <v>0</v>
      </c>
      <c r="HE243">
        <v>0</v>
      </c>
      <c r="HF243">
        <v>0</v>
      </c>
      <c r="HG243">
        <v>0</v>
      </c>
      <c r="HH243">
        <v>0</v>
      </c>
      <c r="HI243">
        <v>0</v>
      </c>
      <c r="HJ243">
        <v>0</v>
      </c>
      <c r="HK243">
        <v>0</v>
      </c>
      <c r="HL243">
        <v>0</v>
      </c>
      <c r="HM243">
        <v>0</v>
      </c>
      <c r="HN243">
        <v>0</v>
      </c>
      <c r="HO243">
        <v>0</v>
      </c>
      <c r="HP243">
        <v>0</v>
      </c>
      <c r="HQ243">
        <v>0</v>
      </c>
      <c r="HR243">
        <v>0</v>
      </c>
      <c r="HS243">
        <v>0</v>
      </c>
      <c r="HT243">
        <v>0</v>
      </c>
      <c r="HU243">
        <v>0</v>
      </c>
      <c r="HV243">
        <v>0</v>
      </c>
      <c r="HW243">
        <v>0</v>
      </c>
      <c r="HX243">
        <v>0</v>
      </c>
      <c r="HY243">
        <v>0</v>
      </c>
      <c r="HZ243">
        <v>0</v>
      </c>
      <c r="IA243">
        <v>0</v>
      </c>
      <c r="IB243">
        <v>0</v>
      </c>
      <c r="IC243">
        <v>0</v>
      </c>
      <c r="ID243">
        <v>0</v>
      </c>
      <c r="IE243">
        <v>0</v>
      </c>
      <c r="IF243">
        <v>0</v>
      </c>
      <c r="IG243">
        <v>0</v>
      </c>
      <c r="IH243">
        <v>0</v>
      </c>
      <c r="II243">
        <v>0</v>
      </c>
      <c r="IJ243">
        <v>0</v>
      </c>
      <c r="IK243">
        <v>0</v>
      </c>
    </row>
    <row r="244" spans="13:245" hidden="1">
      <c r="M244" s="343" t="s">
        <v>633</v>
      </c>
      <c r="N244" t="s">
        <v>1010</v>
      </c>
      <c r="O244">
        <v>1</v>
      </c>
      <c r="P244">
        <v>26</v>
      </c>
      <c r="Q244" s="184" t="str">
        <f t="shared" si="10"/>
        <v>SDJ200126</v>
      </c>
      <c r="R244">
        <v>414.5</v>
      </c>
      <c r="S244">
        <v>2000</v>
      </c>
      <c r="T244">
        <v>2000</v>
      </c>
      <c r="U244">
        <v>2000</v>
      </c>
      <c r="V244">
        <v>2072.3000000000002</v>
      </c>
      <c r="W244">
        <v>2486.8000000000002</v>
      </c>
      <c r="X244">
        <v>2901.2</v>
      </c>
      <c r="Y244">
        <v>3315.7</v>
      </c>
      <c r="Z244">
        <v>3730.1</v>
      </c>
      <c r="AA244">
        <v>4144.6000000000004</v>
      </c>
      <c r="AB244">
        <v>4559.1000000000004</v>
      </c>
      <c r="AC244">
        <v>4973.5</v>
      </c>
      <c r="AD244">
        <v>5388</v>
      </c>
      <c r="AE244">
        <v>5802.4</v>
      </c>
      <c r="AF244">
        <v>6216.9</v>
      </c>
      <c r="AG244">
        <v>6631.4</v>
      </c>
      <c r="AH244">
        <v>7045.8</v>
      </c>
      <c r="AI244">
        <v>7460.3</v>
      </c>
      <c r="AJ244">
        <v>7874.7</v>
      </c>
      <c r="AK244">
        <v>8289.2000000000007</v>
      </c>
      <c r="AL244">
        <v>8289.2000000000007</v>
      </c>
      <c r="AM244">
        <v>8289.2000000000007</v>
      </c>
      <c r="AN244">
        <v>8289.2000000000007</v>
      </c>
      <c r="AO244">
        <v>8289.2000000000007</v>
      </c>
      <c r="AP244">
        <v>8289.2000000000007</v>
      </c>
      <c r="AQ244">
        <v>8289.2000000000007</v>
      </c>
      <c r="AR244">
        <v>8289.2000000000007</v>
      </c>
      <c r="AS244">
        <v>8289.2000000000007</v>
      </c>
      <c r="AT244">
        <v>8289.2000000000007</v>
      </c>
      <c r="AU244">
        <v>8289.2000000000007</v>
      </c>
      <c r="AV244">
        <v>8289.2000000000007</v>
      </c>
      <c r="AW244">
        <v>8289.2000000000007</v>
      </c>
      <c r="AX244">
        <v>8289.2000000000007</v>
      </c>
      <c r="AY244">
        <v>8289.2000000000007</v>
      </c>
      <c r="AZ244">
        <v>8289.2000000000007</v>
      </c>
      <c r="BA244">
        <v>8289.2000000000007</v>
      </c>
      <c r="BB244">
        <v>8289.2000000000007</v>
      </c>
      <c r="BC244">
        <v>8289.2000000000007</v>
      </c>
      <c r="BD244">
        <v>8289.2000000000007</v>
      </c>
      <c r="BE244">
        <v>8289.2000000000007</v>
      </c>
      <c r="BF244">
        <v>8289.2000000000007</v>
      </c>
      <c r="BG244">
        <v>8289.2000000000007</v>
      </c>
      <c r="BH244">
        <v>8289.2000000000007</v>
      </c>
      <c r="BI244">
        <v>8289.2000000000007</v>
      </c>
      <c r="BJ244">
        <v>8289.2000000000007</v>
      </c>
      <c r="BK244">
        <v>8289.2000000000007</v>
      </c>
      <c r="BL244">
        <v>8289.2000000000007</v>
      </c>
      <c r="BM244">
        <v>8289.2000000000007</v>
      </c>
      <c r="BN244">
        <v>8289.2000000000007</v>
      </c>
      <c r="BO244">
        <v>8289.2000000000007</v>
      </c>
      <c r="BP244">
        <v>8289.2000000000007</v>
      </c>
      <c r="BQ244">
        <v>8289.2000000000007</v>
      </c>
      <c r="BR244">
        <v>8289.2000000000007</v>
      </c>
      <c r="BS244">
        <v>8289.2000000000007</v>
      </c>
      <c r="BT244">
        <v>8289.2000000000007</v>
      </c>
      <c r="BU244">
        <v>8289.2000000000007</v>
      </c>
      <c r="BV244">
        <v>8289.2000000000007</v>
      </c>
      <c r="BW244">
        <v>8289.2000000000007</v>
      </c>
      <c r="BX244">
        <v>8289.2000000000007</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Z244" s="343" t="s">
        <v>633</v>
      </c>
      <c r="EA244" t="s">
        <v>1010</v>
      </c>
      <c r="EB244">
        <v>1</v>
      </c>
      <c r="EC244">
        <v>26</v>
      </c>
      <c r="ED244" s="184" t="str">
        <f t="shared" si="11"/>
        <v>SDJ200126</v>
      </c>
      <c r="EE244">
        <v>414.5</v>
      </c>
      <c r="EF244">
        <v>10000</v>
      </c>
      <c r="EG244">
        <v>10000</v>
      </c>
      <c r="EH244">
        <v>10000</v>
      </c>
      <c r="EI244">
        <v>10000</v>
      </c>
      <c r="EJ244">
        <v>10000</v>
      </c>
      <c r="EK244">
        <v>10000</v>
      </c>
      <c r="EL244">
        <v>10000</v>
      </c>
      <c r="EM244">
        <v>10000</v>
      </c>
      <c r="EN244">
        <v>10000</v>
      </c>
      <c r="EO244">
        <v>10000</v>
      </c>
      <c r="EP244">
        <v>10000</v>
      </c>
      <c r="EQ244">
        <v>10000</v>
      </c>
      <c r="ER244">
        <v>10000</v>
      </c>
      <c r="ES244">
        <v>10000</v>
      </c>
      <c r="ET244">
        <v>10000</v>
      </c>
      <c r="EU244">
        <v>10000</v>
      </c>
      <c r="EV244">
        <v>10000</v>
      </c>
      <c r="EW244">
        <v>10000</v>
      </c>
      <c r="EX244">
        <v>10000</v>
      </c>
      <c r="EY244">
        <v>10000</v>
      </c>
      <c r="EZ244">
        <v>10000</v>
      </c>
      <c r="FA244">
        <v>10000</v>
      </c>
      <c r="FB244">
        <v>10000</v>
      </c>
      <c r="FC244">
        <v>10000</v>
      </c>
      <c r="FD244">
        <v>10000</v>
      </c>
      <c r="FE244">
        <v>10000</v>
      </c>
      <c r="FF244">
        <v>10000</v>
      </c>
      <c r="FG244">
        <v>10000</v>
      </c>
      <c r="FH244">
        <v>10000</v>
      </c>
      <c r="FI244">
        <v>10000</v>
      </c>
      <c r="FJ244">
        <v>10000</v>
      </c>
      <c r="FK244">
        <v>10000</v>
      </c>
      <c r="FL244">
        <v>10000</v>
      </c>
      <c r="FM244">
        <v>10000</v>
      </c>
      <c r="FN244">
        <v>10000</v>
      </c>
      <c r="FO244">
        <v>10000</v>
      </c>
      <c r="FP244">
        <v>10000</v>
      </c>
      <c r="FQ244">
        <v>10000</v>
      </c>
      <c r="FR244">
        <v>10000</v>
      </c>
      <c r="FS244">
        <v>10000</v>
      </c>
      <c r="FT244">
        <v>10000</v>
      </c>
      <c r="FU244">
        <v>10000</v>
      </c>
      <c r="FV244">
        <v>10000</v>
      </c>
      <c r="FW244">
        <v>10000</v>
      </c>
      <c r="FX244">
        <v>10000</v>
      </c>
      <c r="FY244">
        <v>10000</v>
      </c>
      <c r="FZ244">
        <v>10000</v>
      </c>
      <c r="GA244">
        <v>10000</v>
      </c>
      <c r="GB244">
        <v>10000</v>
      </c>
      <c r="GC244">
        <v>10000</v>
      </c>
      <c r="GD244">
        <v>10000</v>
      </c>
      <c r="GE244">
        <v>10000</v>
      </c>
      <c r="GF244">
        <v>10000</v>
      </c>
      <c r="GG244">
        <v>10000</v>
      </c>
      <c r="GH244">
        <v>10000</v>
      </c>
      <c r="GI244">
        <v>10000</v>
      </c>
      <c r="GJ244">
        <v>10000</v>
      </c>
      <c r="GK244">
        <v>10000</v>
      </c>
      <c r="GL244">
        <v>0</v>
      </c>
      <c r="GM244">
        <v>0</v>
      </c>
      <c r="GN244">
        <v>0</v>
      </c>
      <c r="GO244">
        <v>0</v>
      </c>
      <c r="GP244">
        <v>0</v>
      </c>
      <c r="GQ244">
        <v>0</v>
      </c>
      <c r="GR244">
        <v>0</v>
      </c>
      <c r="GS244">
        <v>0</v>
      </c>
      <c r="GT244">
        <v>0</v>
      </c>
      <c r="GU244">
        <v>0</v>
      </c>
      <c r="GV244">
        <v>0</v>
      </c>
      <c r="GW244">
        <v>0</v>
      </c>
      <c r="GX244">
        <v>0</v>
      </c>
      <c r="GY244">
        <v>0</v>
      </c>
      <c r="GZ244">
        <v>0</v>
      </c>
      <c r="HA244">
        <v>0</v>
      </c>
      <c r="HB244">
        <v>0</v>
      </c>
      <c r="HC244">
        <v>0</v>
      </c>
      <c r="HD244">
        <v>0</v>
      </c>
      <c r="HE244">
        <v>0</v>
      </c>
      <c r="HF244">
        <v>0</v>
      </c>
      <c r="HG244">
        <v>0</v>
      </c>
      <c r="HH244">
        <v>0</v>
      </c>
      <c r="HI244">
        <v>0</v>
      </c>
      <c r="HJ244">
        <v>0</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c r="IK244">
        <v>0</v>
      </c>
    </row>
    <row r="245" spans="13:245" hidden="1">
      <c r="M245" s="343" t="s">
        <v>633</v>
      </c>
      <c r="N245" t="s">
        <v>1010</v>
      </c>
      <c r="O245">
        <v>1</v>
      </c>
      <c r="P245">
        <v>27</v>
      </c>
      <c r="Q245" s="184" t="str">
        <f t="shared" si="10"/>
        <v>SDJ200127</v>
      </c>
      <c r="R245">
        <v>421.9</v>
      </c>
      <c r="S245">
        <v>2000</v>
      </c>
      <c r="T245">
        <v>2000</v>
      </c>
      <c r="U245">
        <v>2000</v>
      </c>
      <c r="V245">
        <v>2109.4</v>
      </c>
      <c r="W245">
        <v>2531.3000000000002</v>
      </c>
      <c r="X245">
        <v>2953.2</v>
      </c>
      <c r="Y245">
        <v>3375</v>
      </c>
      <c r="Z245">
        <v>3796.9</v>
      </c>
      <c r="AA245">
        <v>4218.8</v>
      </c>
      <c r="AB245">
        <v>4640.7</v>
      </c>
      <c r="AC245">
        <v>5062.6000000000004</v>
      </c>
      <c r="AD245">
        <v>5484.4</v>
      </c>
      <c r="AE245">
        <v>5906.3</v>
      </c>
      <c r="AF245">
        <v>6328.2</v>
      </c>
      <c r="AG245">
        <v>6750.1</v>
      </c>
      <c r="AH245">
        <v>7172</v>
      </c>
      <c r="AI245">
        <v>7593.8</v>
      </c>
      <c r="AJ245">
        <v>8015.7</v>
      </c>
      <c r="AK245">
        <v>8437.6</v>
      </c>
      <c r="AL245">
        <v>8437.6</v>
      </c>
      <c r="AM245">
        <v>8437.6</v>
      </c>
      <c r="AN245">
        <v>8437.6</v>
      </c>
      <c r="AO245">
        <v>8437.6</v>
      </c>
      <c r="AP245">
        <v>8437.6</v>
      </c>
      <c r="AQ245">
        <v>8437.6</v>
      </c>
      <c r="AR245">
        <v>8437.6</v>
      </c>
      <c r="AS245">
        <v>8437.6</v>
      </c>
      <c r="AT245">
        <v>8437.6</v>
      </c>
      <c r="AU245">
        <v>8437.6</v>
      </c>
      <c r="AV245">
        <v>8437.6</v>
      </c>
      <c r="AW245">
        <v>8437.6</v>
      </c>
      <c r="AX245">
        <v>8437.6</v>
      </c>
      <c r="AY245">
        <v>8437.6</v>
      </c>
      <c r="AZ245">
        <v>8437.6</v>
      </c>
      <c r="BA245">
        <v>8437.6</v>
      </c>
      <c r="BB245">
        <v>8437.6</v>
      </c>
      <c r="BC245">
        <v>8437.6</v>
      </c>
      <c r="BD245">
        <v>8437.6</v>
      </c>
      <c r="BE245">
        <v>8437.6</v>
      </c>
      <c r="BF245">
        <v>8437.6</v>
      </c>
      <c r="BG245">
        <v>8437.6</v>
      </c>
      <c r="BH245">
        <v>8437.6</v>
      </c>
      <c r="BI245">
        <v>8437.6</v>
      </c>
      <c r="BJ245">
        <v>8437.6</v>
      </c>
      <c r="BK245">
        <v>8437.6</v>
      </c>
      <c r="BL245">
        <v>8437.6</v>
      </c>
      <c r="BM245">
        <v>8437.6</v>
      </c>
      <c r="BN245">
        <v>8437.6</v>
      </c>
      <c r="BO245">
        <v>8437.6</v>
      </c>
      <c r="BP245">
        <v>8437.6</v>
      </c>
      <c r="BQ245">
        <v>8437.6</v>
      </c>
      <c r="BR245">
        <v>8437.6</v>
      </c>
      <c r="BS245">
        <v>8437.6</v>
      </c>
      <c r="BT245">
        <v>8437.6</v>
      </c>
      <c r="BU245">
        <v>8437.6</v>
      </c>
      <c r="BV245">
        <v>8437.6</v>
      </c>
      <c r="BW245">
        <v>8437.6</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Z245" s="343" t="s">
        <v>633</v>
      </c>
      <c r="EA245" t="s">
        <v>1010</v>
      </c>
      <c r="EB245">
        <v>1</v>
      </c>
      <c r="EC245">
        <v>27</v>
      </c>
      <c r="ED245" s="184" t="str">
        <f t="shared" si="11"/>
        <v>SDJ200127</v>
      </c>
      <c r="EE245">
        <v>421.9</v>
      </c>
      <c r="EF245">
        <v>10000</v>
      </c>
      <c r="EG245">
        <v>10000</v>
      </c>
      <c r="EH245">
        <v>10000</v>
      </c>
      <c r="EI245">
        <v>10000</v>
      </c>
      <c r="EJ245">
        <v>10000</v>
      </c>
      <c r="EK245">
        <v>10000</v>
      </c>
      <c r="EL245">
        <v>10000</v>
      </c>
      <c r="EM245">
        <v>10000</v>
      </c>
      <c r="EN245">
        <v>10000</v>
      </c>
      <c r="EO245">
        <v>10000</v>
      </c>
      <c r="EP245">
        <v>10000</v>
      </c>
      <c r="EQ245">
        <v>10000</v>
      </c>
      <c r="ER245">
        <v>10000</v>
      </c>
      <c r="ES245">
        <v>10000</v>
      </c>
      <c r="ET245">
        <v>10000</v>
      </c>
      <c r="EU245">
        <v>10000</v>
      </c>
      <c r="EV245">
        <v>10000</v>
      </c>
      <c r="EW245">
        <v>10000</v>
      </c>
      <c r="EX245">
        <v>10000</v>
      </c>
      <c r="EY245">
        <v>10000</v>
      </c>
      <c r="EZ245">
        <v>10000</v>
      </c>
      <c r="FA245">
        <v>10000</v>
      </c>
      <c r="FB245">
        <v>10000</v>
      </c>
      <c r="FC245">
        <v>10000</v>
      </c>
      <c r="FD245">
        <v>10000</v>
      </c>
      <c r="FE245">
        <v>10000</v>
      </c>
      <c r="FF245">
        <v>10000</v>
      </c>
      <c r="FG245">
        <v>10000</v>
      </c>
      <c r="FH245">
        <v>10000</v>
      </c>
      <c r="FI245">
        <v>10000</v>
      </c>
      <c r="FJ245">
        <v>10000</v>
      </c>
      <c r="FK245">
        <v>10000</v>
      </c>
      <c r="FL245">
        <v>10000</v>
      </c>
      <c r="FM245">
        <v>10000</v>
      </c>
      <c r="FN245">
        <v>10000</v>
      </c>
      <c r="FO245">
        <v>10000</v>
      </c>
      <c r="FP245">
        <v>10000</v>
      </c>
      <c r="FQ245">
        <v>10000</v>
      </c>
      <c r="FR245">
        <v>10000</v>
      </c>
      <c r="FS245">
        <v>10000</v>
      </c>
      <c r="FT245">
        <v>10000</v>
      </c>
      <c r="FU245">
        <v>10000</v>
      </c>
      <c r="FV245">
        <v>10000</v>
      </c>
      <c r="FW245">
        <v>10000</v>
      </c>
      <c r="FX245">
        <v>10000</v>
      </c>
      <c r="FY245">
        <v>10000</v>
      </c>
      <c r="FZ245">
        <v>10000</v>
      </c>
      <c r="GA245">
        <v>10000</v>
      </c>
      <c r="GB245">
        <v>10000</v>
      </c>
      <c r="GC245">
        <v>10000</v>
      </c>
      <c r="GD245">
        <v>10000</v>
      </c>
      <c r="GE245">
        <v>10000</v>
      </c>
      <c r="GF245">
        <v>10000</v>
      </c>
      <c r="GG245">
        <v>10000</v>
      </c>
      <c r="GH245">
        <v>10000</v>
      </c>
      <c r="GI245">
        <v>10000</v>
      </c>
      <c r="GJ245">
        <v>10000</v>
      </c>
      <c r="GK245">
        <v>0</v>
      </c>
      <c r="GL245">
        <v>0</v>
      </c>
      <c r="GM245">
        <v>0</v>
      </c>
      <c r="GN245">
        <v>0</v>
      </c>
      <c r="GO245">
        <v>0</v>
      </c>
      <c r="GP245">
        <v>0</v>
      </c>
      <c r="GQ245">
        <v>0</v>
      </c>
      <c r="GR245">
        <v>0</v>
      </c>
      <c r="GS245">
        <v>0</v>
      </c>
      <c r="GT245">
        <v>0</v>
      </c>
      <c r="GU245">
        <v>0</v>
      </c>
      <c r="GV245">
        <v>0</v>
      </c>
      <c r="GW245">
        <v>0</v>
      </c>
      <c r="GX245">
        <v>0</v>
      </c>
      <c r="GY245">
        <v>0</v>
      </c>
      <c r="GZ245">
        <v>0</v>
      </c>
      <c r="HA245">
        <v>0</v>
      </c>
      <c r="HB245">
        <v>0</v>
      </c>
      <c r="HC245">
        <v>0</v>
      </c>
      <c r="HD245">
        <v>0</v>
      </c>
      <c r="HE245">
        <v>0</v>
      </c>
      <c r="HF245">
        <v>0</v>
      </c>
      <c r="HG245">
        <v>0</v>
      </c>
      <c r="HH245">
        <v>0</v>
      </c>
      <c r="HI245">
        <v>0</v>
      </c>
      <c r="HJ245">
        <v>0</v>
      </c>
      <c r="HK245">
        <v>0</v>
      </c>
      <c r="HL245">
        <v>0</v>
      </c>
      <c r="HM245">
        <v>0</v>
      </c>
      <c r="HN245">
        <v>0</v>
      </c>
      <c r="HO245">
        <v>0</v>
      </c>
      <c r="HP245">
        <v>0</v>
      </c>
      <c r="HQ245">
        <v>0</v>
      </c>
      <c r="HR245">
        <v>0</v>
      </c>
      <c r="HS245">
        <v>0</v>
      </c>
      <c r="HT245">
        <v>0</v>
      </c>
      <c r="HU245">
        <v>0</v>
      </c>
      <c r="HV245">
        <v>0</v>
      </c>
      <c r="HW245">
        <v>0</v>
      </c>
      <c r="HX245">
        <v>0</v>
      </c>
      <c r="HY245">
        <v>0</v>
      </c>
      <c r="HZ245">
        <v>0</v>
      </c>
      <c r="IA245">
        <v>0</v>
      </c>
      <c r="IB245">
        <v>0</v>
      </c>
      <c r="IC245">
        <v>0</v>
      </c>
      <c r="ID245">
        <v>0</v>
      </c>
      <c r="IE245">
        <v>0</v>
      </c>
      <c r="IF245">
        <v>0</v>
      </c>
      <c r="IG245">
        <v>0</v>
      </c>
      <c r="IH245">
        <v>0</v>
      </c>
      <c r="II245">
        <v>0</v>
      </c>
      <c r="IJ245">
        <v>0</v>
      </c>
      <c r="IK245">
        <v>0</v>
      </c>
    </row>
    <row r="246" spans="13:245" hidden="1">
      <c r="M246" s="343" t="s">
        <v>633</v>
      </c>
      <c r="N246" t="s">
        <v>1010</v>
      </c>
      <c r="O246">
        <v>1</v>
      </c>
      <c r="P246">
        <v>28</v>
      </c>
      <c r="Q246" s="184" t="str">
        <f t="shared" si="10"/>
        <v>SDJ200128</v>
      </c>
      <c r="R246">
        <v>429.3</v>
      </c>
      <c r="S246">
        <v>2000</v>
      </c>
      <c r="T246">
        <v>2000</v>
      </c>
      <c r="U246">
        <v>2000</v>
      </c>
      <c r="V246">
        <v>2146.5</v>
      </c>
      <c r="W246">
        <v>2575.8000000000002</v>
      </c>
      <c r="X246">
        <v>3005.1</v>
      </c>
      <c r="Y246">
        <v>3434.4</v>
      </c>
      <c r="Z246">
        <v>3863.7</v>
      </c>
      <c r="AA246">
        <v>4293</v>
      </c>
      <c r="AB246">
        <v>4722.3</v>
      </c>
      <c r="AC246">
        <v>5151.6000000000004</v>
      </c>
      <c r="AD246">
        <v>5580.9</v>
      </c>
      <c r="AE246">
        <v>6010.2</v>
      </c>
      <c r="AF246">
        <v>6439.5</v>
      </c>
      <c r="AG246">
        <v>6868.8</v>
      </c>
      <c r="AH246">
        <v>7298.1</v>
      </c>
      <c r="AI246">
        <v>7727.4</v>
      </c>
      <c r="AJ246">
        <v>8156.7</v>
      </c>
      <c r="AK246">
        <v>8586</v>
      </c>
      <c r="AL246">
        <v>8586</v>
      </c>
      <c r="AM246">
        <v>8586</v>
      </c>
      <c r="AN246">
        <v>8586</v>
      </c>
      <c r="AO246">
        <v>8586</v>
      </c>
      <c r="AP246">
        <v>8586</v>
      </c>
      <c r="AQ246">
        <v>8586</v>
      </c>
      <c r="AR246">
        <v>8586</v>
      </c>
      <c r="AS246">
        <v>8586</v>
      </c>
      <c r="AT246">
        <v>8586</v>
      </c>
      <c r="AU246">
        <v>8586</v>
      </c>
      <c r="AV246">
        <v>8586</v>
      </c>
      <c r="AW246">
        <v>8586</v>
      </c>
      <c r="AX246">
        <v>8586</v>
      </c>
      <c r="AY246">
        <v>8586</v>
      </c>
      <c r="AZ246">
        <v>8586</v>
      </c>
      <c r="BA246">
        <v>8586</v>
      </c>
      <c r="BB246">
        <v>8586</v>
      </c>
      <c r="BC246">
        <v>8586</v>
      </c>
      <c r="BD246">
        <v>8586</v>
      </c>
      <c r="BE246">
        <v>8586</v>
      </c>
      <c r="BF246">
        <v>8586</v>
      </c>
      <c r="BG246">
        <v>8586</v>
      </c>
      <c r="BH246">
        <v>8586</v>
      </c>
      <c r="BI246">
        <v>8586</v>
      </c>
      <c r="BJ246">
        <v>8586</v>
      </c>
      <c r="BK246">
        <v>8586</v>
      </c>
      <c r="BL246">
        <v>8586</v>
      </c>
      <c r="BM246">
        <v>8586</v>
      </c>
      <c r="BN246">
        <v>8586</v>
      </c>
      <c r="BO246">
        <v>8586</v>
      </c>
      <c r="BP246">
        <v>8586</v>
      </c>
      <c r="BQ246">
        <v>8586</v>
      </c>
      <c r="BR246">
        <v>8586</v>
      </c>
      <c r="BS246">
        <v>8586</v>
      </c>
      <c r="BT246">
        <v>8586</v>
      </c>
      <c r="BU246">
        <v>8586</v>
      </c>
      <c r="BV246">
        <v>8586</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Z246" s="343" t="s">
        <v>633</v>
      </c>
      <c r="EA246" t="s">
        <v>1010</v>
      </c>
      <c r="EB246">
        <v>1</v>
      </c>
      <c r="EC246">
        <v>28</v>
      </c>
      <c r="ED246" s="184" t="str">
        <f t="shared" si="11"/>
        <v>SDJ200128</v>
      </c>
      <c r="EE246">
        <v>429.3</v>
      </c>
      <c r="EF246">
        <v>10000</v>
      </c>
      <c r="EG246">
        <v>10000</v>
      </c>
      <c r="EH246">
        <v>10000</v>
      </c>
      <c r="EI246">
        <v>10000</v>
      </c>
      <c r="EJ246">
        <v>10000</v>
      </c>
      <c r="EK246">
        <v>10000</v>
      </c>
      <c r="EL246">
        <v>10000</v>
      </c>
      <c r="EM246">
        <v>10000</v>
      </c>
      <c r="EN246">
        <v>10000</v>
      </c>
      <c r="EO246">
        <v>10000</v>
      </c>
      <c r="EP246">
        <v>10000</v>
      </c>
      <c r="EQ246">
        <v>10000</v>
      </c>
      <c r="ER246">
        <v>10000</v>
      </c>
      <c r="ES246">
        <v>10000</v>
      </c>
      <c r="ET246">
        <v>10000</v>
      </c>
      <c r="EU246">
        <v>10000</v>
      </c>
      <c r="EV246">
        <v>10000</v>
      </c>
      <c r="EW246">
        <v>10000</v>
      </c>
      <c r="EX246">
        <v>10000</v>
      </c>
      <c r="EY246">
        <v>10000</v>
      </c>
      <c r="EZ246">
        <v>10000</v>
      </c>
      <c r="FA246">
        <v>10000</v>
      </c>
      <c r="FB246">
        <v>10000</v>
      </c>
      <c r="FC246">
        <v>10000</v>
      </c>
      <c r="FD246">
        <v>10000</v>
      </c>
      <c r="FE246">
        <v>10000</v>
      </c>
      <c r="FF246">
        <v>10000</v>
      </c>
      <c r="FG246">
        <v>10000</v>
      </c>
      <c r="FH246">
        <v>10000</v>
      </c>
      <c r="FI246">
        <v>10000</v>
      </c>
      <c r="FJ246">
        <v>10000</v>
      </c>
      <c r="FK246">
        <v>10000</v>
      </c>
      <c r="FL246">
        <v>10000</v>
      </c>
      <c r="FM246">
        <v>10000</v>
      </c>
      <c r="FN246">
        <v>10000</v>
      </c>
      <c r="FO246">
        <v>10000</v>
      </c>
      <c r="FP246">
        <v>10000</v>
      </c>
      <c r="FQ246">
        <v>10000</v>
      </c>
      <c r="FR246">
        <v>10000</v>
      </c>
      <c r="FS246">
        <v>10000</v>
      </c>
      <c r="FT246">
        <v>10000</v>
      </c>
      <c r="FU246">
        <v>10000</v>
      </c>
      <c r="FV246">
        <v>10000</v>
      </c>
      <c r="FW246">
        <v>10000</v>
      </c>
      <c r="FX246">
        <v>10000</v>
      </c>
      <c r="FY246">
        <v>10000</v>
      </c>
      <c r="FZ246">
        <v>10000</v>
      </c>
      <c r="GA246">
        <v>10000</v>
      </c>
      <c r="GB246">
        <v>10000</v>
      </c>
      <c r="GC246">
        <v>10000</v>
      </c>
      <c r="GD246">
        <v>10000</v>
      </c>
      <c r="GE246">
        <v>10000</v>
      </c>
      <c r="GF246">
        <v>10000</v>
      </c>
      <c r="GG246">
        <v>10000</v>
      </c>
      <c r="GH246">
        <v>10000</v>
      </c>
      <c r="GI246">
        <v>10000</v>
      </c>
      <c r="GJ246">
        <v>0</v>
      </c>
      <c r="GK246">
        <v>0</v>
      </c>
      <c r="GL246">
        <v>0</v>
      </c>
      <c r="GM246">
        <v>0</v>
      </c>
      <c r="GN246">
        <v>0</v>
      </c>
      <c r="GO246">
        <v>0</v>
      </c>
      <c r="GP246">
        <v>0</v>
      </c>
      <c r="GQ246">
        <v>0</v>
      </c>
      <c r="GR246">
        <v>0</v>
      </c>
      <c r="GS246">
        <v>0</v>
      </c>
      <c r="GT246">
        <v>0</v>
      </c>
      <c r="GU246">
        <v>0</v>
      </c>
      <c r="GV246">
        <v>0</v>
      </c>
      <c r="GW246">
        <v>0</v>
      </c>
      <c r="GX246">
        <v>0</v>
      </c>
      <c r="GY246">
        <v>0</v>
      </c>
      <c r="GZ246">
        <v>0</v>
      </c>
      <c r="HA246">
        <v>0</v>
      </c>
      <c r="HB246">
        <v>0</v>
      </c>
      <c r="HC246">
        <v>0</v>
      </c>
      <c r="HD246">
        <v>0</v>
      </c>
      <c r="HE246">
        <v>0</v>
      </c>
      <c r="HF246">
        <v>0</v>
      </c>
      <c r="HG246">
        <v>0</v>
      </c>
      <c r="HH246">
        <v>0</v>
      </c>
      <c r="HI246">
        <v>0</v>
      </c>
      <c r="HJ246">
        <v>0</v>
      </c>
      <c r="HK246">
        <v>0</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c r="IK246">
        <v>0</v>
      </c>
    </row>
    <row r="247" spans="13:245" hidden="1">
      <c r="M247" s="343" t="s">
        <v>633</v>
      </c>
      <c r="N247" t="s">
        <v>1010</v>
      </c>
      <c r="O247">
        <v>1</v>
      </c>
      <c r="P247">
        <v>29</v>
      </c>
      <c r="Q247" s="184" t="str">
        <f t="shared" si="10"/>
        <v>SDJ200129</v>
      </c>
      <c r="R247">
        <v>436.7</v>
      </c>
      <c r="S247">
        <v>2000</v>
      </c>
      <c r="T247">
        <v>2000</v>
      </c>
      <c r="U247">
        <v>2000</v>
      </c>
      <c r="V247">
        <v>2183.6</v>
      </c>
      <c r="W247">
        <v>2620.3000000000002</v>
      </c>
      <c r="X247">
        <v>3057</v>
      </c>
      <c r="Y247">
        <v>3493.8</v>
      </c>
      <c r="Z247">
        <v>3930.5</v>
      </c>
      <c r="AA247">
        <v>4367.2</v>
      </c>
      <c r="AB247">
        <v>4803.8999999999996</v>
      </c>
      <c r="AC247">
        <v>5240.6000000000004</v>
      </c>
      <c r="AD247">
        <v>5677.4</v>
      </c>
      <c r="AE247">
        <v>6114.1</v>
      </c>
      <c r="AF247">
        <v>6550.8</v>
      </c>
      <c r="AG247">
        <v>6987.5</v>
      </c>
      <c r="AH247">
        <v>7424.2</v>
      </c>
      <c r="AI247">
        <v>7861</v>
      </c>
      <c r="AJ247">
        <v>8297.7000000000007</v>
      </c>
      <c r="AK247">
        <v>8734.4</v>
      </c>
      <c r="AL247">
        <v>8734.4</v>
      </c>
      <c r="AM247">
        <v>8734.4</v>
      </c>
      <c r="AN247">
        <v>8734.4</v>
      </c>
      <c r="AO247">
        <v>8734.4</v>
      </c>
      <c r="AP247">
        <v>8734.4</v>
      </c>
      <c r="AQ247">
        <v>8734.4</v>
      </c>
      <c r="AR247">
        <v>8734.4</v>
      </c>
      <c r="AS247">
        <v>8734.4</v>
      </c>
      <c r="AT247">
        <v>8734.4</v>
      </c>
      <c r="AU247">
        <v>8734.4</v>
      </c>
      <c r="AV247">
        <v>8734.4</v>
      </c>
      <c r="AW247">
        <v>8734.4</v>
      </c>
      <c r="AX247">
        <v>8734.4</v>
      </c>
      <c r="AY247">
        <v>8734.4</v>
      </c>
      <c r="AZ247">
        <v>8734.4</v>
      </c>
      <c r="BA247">
        <v>8734.4</v>
      </c>
      <c r="BB247">
        <v>8734.4</v>
      </c>
      <c r="BC247">
        <v>8734.4</v>
      </c>
      <c r="BD247">
        <v>8734.4</v>
      </c>
      <c r="BE247">
        <v>8734.4</v>
      </c>
      <c r="BF247">
        <v>8734.4</v>
      </c>
      <c r="BG247">
        <v>8734.4</v>
      </c>
      <c r="BH247">
        <v>8734.4</v>
      </c>
      <c r="BI247">
        <v>8734.4</v>
      </c>
      <c r="BJ247">
        <v>8734.4</v>
      </c>
      <c r="BK247">
        <v>8734.4</v>
      </c>
      <c r="BL247">
        <v>8734.4</v>
      </c>
      <c r="BM247">
        <v>8734.4</v>
      </c>
      <c r="BN247">
        <v>8734.4</v>
      </c>
      <c r="BO247">
        <v>8734.4</v>
      </c>
      <c r="BP247">
        <v>8734.4</v>
      </c>
      <c r="BQ247">
        <v>8734.4</v>
      </c>
      <c r="BR247">
        <v>8734.4</v>
      </c>
      <c r="BS247">
        <v>8734.4</v>
      </c>
      <c r="BT247">
        <v>8734.4</v>
      </c>
      <c r="BU247">
        <v>8734.4</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Z247" s="343" t="s">
        <v>633</v>
      </c>
      <c r="EA247" t="s">
        <v>1010</v>
      </c>
      <c r="EB247">
        <v>1</v>
      </c>
      <c r="EC247">
        <v>29</v>
      </c>
      <c r="ED247" s="184" t="str">
        <f t="shared" si="11"/>
        <v>SDJ200129</v>
      </c>
      <c r="EE247">
        <v>436.7</v>
      </c>
      <c r="EF247">
        <v>10000</v>
      </c>
      <c r="EG247">
        <v>10000</v>
      </c>
      <c r="EH247">
        <v>10000</v>
      </c>
      <c r="EI247">
        <v>10000</v>
      </c>
      <c r="EJ247">
        <v>10000</v>
      </c>
      <c r="EK247">
        <v>10000</v>
      </c>
      <c r="EL247">
        <v>10000</v>
      </c>
      <c r="EM247">
        <v>10000</v>
      </c>
      <c r="EN247">
        <v>10000</v>
      </c>
      <c r="EO247">
        <v>10000</v>
      </c>
      <c r="EP247">
        <v>10000</v>
      </c>
      <c r="EQ247">
        <v>10000</v>
      </c>
      <c r="ER247">
        <v>10000</v>
      </c>
      <c r="ES247">
        <v>10000</v>
      </c>
      <c r="ET247">
        <v>10000</v>
      </c>
      <c r="EU247">
        <v>10000</v>
      </c>
      <c r="EV247">
        <v>10000</v>
      </c>
      <c r="EW247">
        <v>10000</v>
      </c>
      <c r="EX247">
        <v>10000</v>
      </c>
      <c r="EY247">
        <v>10000</v>
      </c>
      <c r="EZ247">
        <v>10000</v>
      </c>
      <c r="FA247">
        <v>10000</v>
      </c>
      <c r="FB247">
        <v>10000</v>
      </c>
      <c r="FC247">
        <v>10000</v>
      </c>
      <c r="FD247">
        <v>10000</v>
      </c>
      <c r="FE247">
        <v>10000</v>
      </c>
      <c r="FF247">
        <v>10000</v>
      </c>
      <c r="FG247">
        <v>10000</v>
      </c>
      <c r="FH247">
        <v>10000</v>
      </c>
      <c r="FI247">
        <v>10000</v>
      </c>
      <c r="FJ247">
        <v>10000</v>
      </c>
      <c r="FK247">
        <v>10000</v>
      </c>
      <c r="FL247">
        <v>10000</v>
      </c>
      <c r="FM247">
        <v>10000</v>
      </c>
      <c r="FN247">
        <v>10000</v>
      </c>
      <c r="FO247">
        <v>10000</v>
      </c>
      <c r="FP247">
        <v>10000</v>
      </c>
      <c r="FQ247">
        <v>10000</v>
      </c>
      <c r="FR247">
        <v>10000</v>
      </c>
      <c r="FS247">
        <v>10000</v>
      </c>
      <c r="FT247">
        <v>10000</v>
      </c>
      <c r="FU247">
        <v>10000</v>
      </c>
      <c r="FV247">
        <v>10000</v>
      </c>
      <c r="FW247">
        <v>10000</v>
      </c>
      <c r="FX247">
        <v>10000</v>
      </c>
      <c r="FY247">
        <v>10000</v>
      </c>
      <c r="FZ247">
        <v>10000</v>
      </c>
      <c r="GA247">
        <v>10000</v>
      </c>
      <c r="GB247">
        <v>10000</v>
      </c>
      <c r="GC247">
        <v>10000</v>
      </c>
      <c r="GD247">
        <v>10000</v>
      </c>
      <c r="GE247">
        <v>10000</v>
      </c>
      <c r="GF247">
        <v>10000</v>
      </c>
      <c r="GG247">
        <v>10000</v>
      </c>
      <c r="GH247">
        <v>10000</v>
      </c>
      <c r="GI247">
        <v>0</v>
      </c>
      <c r="GJ247">
        <v>0</v>
      </c>
      <c r="GK247">
        <v>0</v>
      </c>
      <c r="GL247">
        <v>0</v>
      </c>
      <c r="GM247">
        <v>0</v>
      </c>
      <c r="GN247">
        <v>0</v>
      </c>
      <c r="GO247">
        <v>0</v>
      </c>
      <c r="GP247">
        <v>0</v>
      </c>
      <c r="GQ247">
        <v>0</v>
      </c>
      <c r="GR247">
        <v>0</v>
      </c>
      <c r="GS247">
        <v>0</v>
      </c>
      <c r="GT247">
        <v>0</v>
      </c>
      <c r="GU247">
        <v>0</v>
      </c>
      <c r="GV247">
        <v>0</v>
      </c>
      <c r="GW247">
        <v>0</v>
      </c>
      <c r="GX247">
        <v>0</v>
      </c>
      <c r="GY247">
        <v>0</v>
      </c>
      <c r="GZ247">
        <v>0</v>
      </c>
      <c r="HA247">
        <v>0</v>
      </c>
      <c r="HB247">
        <v>0</v>
      </c>
      <c r="HC247">
        <v>0</v>
      </c>
      <c r="HD247">
        <v>0</v>
      </c>
      <c r="HE247">
        <v>0</v>
      </c>
      <c r="HF247">
        <v>0</v>
      </c>
      <c r="HG247">
        <v>0</v>
      </c>
      <c r="HH247">
        <v>0</v>
      </c>
      <c r="HI247">
        <v>0</v>
      </c>
      <c r="HJ247">
        <v>0</v>
      </c>
      <c r="HK247">
        <v>0</v>
      </c>
      <c r="HL247">
        <v>0</v>
      </c>
      <c r="HM247">
        <v>0</v>
      </c>
      <c r="HN247">
        <v>0</v>
      </c>
      <c r="HO247">
        <v>0</v>
      </c>
      <c r="HP247">
        <v>0</v>
      </c>
      <c r="HQ247">
        <v>0</v>
      </c>
      <c r="HR247">
        <v>0</v>
      </c>
      <c r="HS247">
        <v>0</v>
      </c>
      <c r="HT247">
        <v>0</v>
      </c>
      <c r="HU247">
        <v>0</v>
      </c>
      <c r="HV247">
        <v>0</v>
      </c>
      <c r="HW247">
        <v>0</v>
      </c>
      <c r="HX247">
        <v>0</v>
      </c>
      <c r="HY247">
        <v>0</v>
      </c>
      <c r="HZ247">
        <v>0</v>
      </c>
      <c r="IA247">
        <v>0</v>
      </c>
      <c r="IB247">
        <v>0</v>
      </c>
      <c r="IC247">
        <v>0</v>
      </c>
      <c r="ID247">
        <v>0</v>
      </c>
      <c r="IE247">
        <v>0</v>
      </c>
      <c r="IF247">
        <v>0</v>
      </c>
      <c r="IG247">
        <v>0</v>
      </c>
      <c r="IH247">
        <v>0</v>
      </c>
      <c r="II247">
        <v>0</v>
      </c>
      <c r="IJ247">
        <v>0</v>
      </c>
      <c r="IK247">
        <v>0</v>
      </c>
    </row>
    <row r="248" spans="13:245" hidden="1">
      <c r="M248" s="343" t="s">
        <v>633</v>
      </c>
      <c r="N248" t="s">
        <v>1010</v>
      </c>
      <c r="O248">
        <v>1</v>
      </c>
      <c r="P248">
        <v>30</v>
      </c>
      <c r="Q248" s="184" t="str">
        <f t="shared" si="10"/>
        <v>SDJ200130</v>
      </c>
      <c r="R248">
        <v>444.1</v>
      </c>
      <c r="S248">
        <v>2000</v>
      </c>
      <c r="T248">
        <v>2000</v>
      </c>
      <c r="U248">
        <v>2000</v>
      </c>
      <c r="V248">
        <v>2220.6999999999998</v>
      </c>
      <c r="W248">
        <v>2664.8</v>
      </c>
      <c r="X248">
        <v>3109</v>
      </c>
      <c r="Y248">
        <v>3553.1</v>
      </c>
      <c r="Z248">
        <v>3997.3</v>
      </c>
      <c r="AA248">
        <v>4441.3999999999996</v>
      </c>
      <c r="AB248">
        <v>4885.5</v>
      </c>
      <c r="AC248">
        <v>5329.7</v>
      </c>
      <c r="AD248">
        <v>5773.8</v>
      </c>
      <c r="AE248">
        <v>6218</v>
      </c>
      <c r="AF248">
        <v>6662.1</v>
      </c>
      <c r="AG248">
        <v>7106.2</v>
      </c>
      <c r="AH248">
        <v>7550.4</v>
      </c>
      <c r="AI248">
        <v>7994.5</v>
      </c>
      <c r="AJ248">
        <v>8438.7000000000007</v>
      </c>
      <c r="AK248">
        <v>8882.7999999999993</v>
      </c>
      <c r="AL248">
        <v>8882.7999999999993</v>
      </c>
      <c r="AM248">
        <v>8882.7999999999993</v>
      </c>
      <c r="AN248">
        <v>8882.7999999999993</v>
      </c>
      <c r="AO248">
        <v>8882.7999999999993</v>
      </c>
      <c r="AP248">
        <v>8882.7999999999993</v>
      </c>
      <c r="AQ248">
        <v>8882.7999999999993</v>
      </c>
      <c r="AR248">
        <v>8882.7999999999993</v>
      </c>
      <c r="AS248">
        <v>8882.7999999999993</v>
      </c>
      <c r="AT248">
        <v>8882.7999999999993</v>
      </c>
      <c r="AU248">
        <v>8882.7999999999993</v>
      </c>
      <c r="AV248">
        <v>8882.7999999999993</v>
      </c>
      <c r="AW248">
        <v>8882.7999999999993</v>
      </c>
      <c r="AX248">
        <v>8882.7999999999993</v>
      </c>
      <c r="AY248">
        <v>8882.7999999999993</v>
      </c>
      <c r="AZ248">
        <v>8882.7999999999993</v>
      </c>
      <c r="BA248">
        <v>8882.7999999999993</v>
      </c>
      <c r="BB248">
        <v>8882.7999999999993</v>
      </c>
      <c r="BC248">
        <v>8882.7999999999993</v>
      </c>
      <c r="BD248">
        <v>8882.7999999999993</v>
      </c>
      <c r="BE248">
        <v>8882.7999999999993</v>
      </c>
      <c r="BF248">
        <v>8882.7999999999993</v>
      </c>
      <c r="BG248">
        <v>8882.7999999999993</v>
      </c>
      <c r="BH248">
        <v>8882.7999999999993</v>
      </c>
      <c r="BI248">
        <v>8882.7999999999993</v>
      </c>
      <c r="BJ248">
        <v>8882.7999999999993</v>
      </c>
      <c r="BK248">
        <v>8882.7999999999993</v>
      </c>
      <c r="BL248">
        <v>8882.7999999999993</v>
      </c>
      <c r="BM248">
        <v>8882.7999999999993</v>
      </c>
      <c r="BN248">
        <v>8882.7999999999993</v>
      </c>
      <c r="BO248">
        <v>8882.7999999999993</v>
      </c>
      <c r="BP248">
        <v>8882.7999999999993</v>
      </c>
      <c r="BQ248">
        <v>8882.7999999999993</v>
      </c>
      <c r="BR248">
        <v>8882.7999999999993</v>
      </c>
      <c r="BS248">
        <v>8882.7999999999993</v>
      </c>
      <c r="BT248">
        <v>8882.7999999999993</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Z248" s="343" t="s">
        <v>633</v>
      </c>
      <c r="EA248" t="s">
        <v>1010</v>
      </c>
      <c r="EB248">
        <v>1</v>
      </c>
      <c r="EC248">
        <v>30</v>
      </c>
      <c r="ED248" s="184" t="str">
        <f t="shared" si="11"/>
        <v>SDJ200130</v>
      </c>
      <c r="EE248">
        <v>444.1</v>
      </c>
      <c r="EF248">
        <v>10000</v>
      </c>
      <c r="EG248">
        <v>10000</v>
      </c>
      <c r="EH248">
        <v>10000</v>
      </c>
      <c r="EI248">
        <v>10000</v>
      </c>
      <c r="EJ248">
        <v>10000</v>
      </c>
      <c r="EK248">
        <v>10000</v>
      </c>
      <c r="EL248">
        <v>10000</v>
      </c>
      <c r="EM248">
        <v>10000</v>
      </c>
      <c r="EN248">
        <v>10000</v>
      </c>
      <c r="EO248">
        <v>10000</v>
      </c>
      <c r="EP248">
        <v>10000</v>
      </c>
      <c r="EQ248">
        <v>10000</v>
      </c>
      <c r="ER248">
        <v>10000</v>
      </c>
      <c r="ES248">
        <v>10000</v>
      </c>
      <c r="ET248">
        <v>10000</v>
      </c>
      <c r="EU248">
        <v>10000</v>
      </c>
      <c r="EV248">
        <v>10000</v>
      </c>
      <c r="EW248">
        <v>10000</v>
      </c>
      <c r="EX248">
        <v>10000</v>
      </c>
      <c r="EY248">
        <v>10000</v>
      </c>
      <c r="EZ248">
        <v>10000</v>
      </c>
      <c r="FA248">
        <v>10000</v>
      </c>
      <c r="FB248">
        <v>10000</v>
      </c>
      <c r="FC248">
        <v>10000</v>
      </c>
      <c r="FD248">
        <v>10000</v>
      </c>
      <c r="FE248">
        <v>10000</v>
      </c>
      <c r="FF248">
        <v>10000</v>
      </c>
      <c r="FG248">
        <v>10000</v>
      </c>
      <c r="FH248">
        <v>10000</v>
      </c>
      <c r="FI248">
        <v>10000</v>
      </c>
      <c r="FJ248">
        <v>10000</v>
      </c>
      <c r="FK248">
        <v>10000</v>
      </c>
      <c r="FL248">
        <v>10000</v>
      </c>
      <c r="FM248">
        <v>10000</v>
      </c>
      <c r="FN248">
        <v>10000</v>
      </c>
      <c r="FO248">
        <v>10000</v>
      </c>
      <c r="FP248">
        <v>10000</v>
      </c>
      <c r="FQ248">
        <v>10000</v>
      </c>
      <c r="FR248">
        <v>10000</v>
      </c>
      <c r="FS248">
        <v>10000</v>
      </c>
      <c r="FT248">
        <v>10000</v>
      </c>
      <c r="FU248">
        <v>10000</v>
      </c>
      <c r="FV248">
        <v>10000</v>
      </c>
      <c r="FW248">
        <v>10000</v>
      </c>
      <c r="FX248">
        <v>10000</v>
      </c>
      <c r="FY248">
        <v>10000</v>
      </c>
      <c r="FZ248">
        <v>10000</v>
      </c>
      <c r="GA248">
        <v>10000</v>
      </c>
      <c r="GB248">
        <v>10000</v>
      </c>
      <c r="GC248">
        <v>10000</v>
      </c>
      <c r="GD248">
        <v>10000</v>
      </c>
      <c r="GE248">
        <v>10000</v>
      </c>
      <c r="GF248">
        <v>10000</v>
      </c>
      <c r="GG248">
        <v>10000</v>
      </c>
      <c r="GH248">
        <v>0</v>
      </c>
      <c r="GI248">
        <v>0</v>
      </c>
      <c r="GJ248">
        <v>0</v>
      </c>
      <c r="GK248">
        <v>0</v>
      </c>
      <c r="GL248">
        <v>0</v>
      </c>
      <c r="GM248">
        <v>0</v>
      </c>
      <c r="GN248">
        <v>0</v>
      </c>
      <c r="GO248">
        <v>0</v>
      </c>
      <c r="GP248">
        <v>0</v>
      </c>
      <c r="GQ248">
        <v>0</v>
      </c>
      <c r="GR248">
        <v>0</v>
      </c>
      <c r="GS248">
        <v>0</v>
      </c>
      <c r="GT248">
        <v>0</v>
      </c>
      <c r="GU248">
        <v>0</v>
      </c>
      <c r="GV248">
        <v>0</v>
      </c>
      <c r="GW248">
        <v>0</v>
      </c>
      <c r="GX248">
        <v>0</v>
      </c>
      <c r="GY248">
        <v>0</v>
      </c>
      <c r="GZ248">
        <v>0</v>
      </c>
      <c r="HA248">
        <v>0</v>
      </c>
      <c r="HB248">
        <v>0</v>
      </c>
      <c r="HC248">
        <v>0</v>
      </c>
      <c r="HD248">
        <v>0</v>
      </c>
      <c r="HE248">
        <v>0</v>
      </c>
      <c r="HF248">
        <v>0</v>
      </c>
      <c r="HG248">
        <v>0</v>
      </c>
      <c r="HH248">
        <v>0</v>
      </c>
      <c r="HI248">
        <v>0</v>
      </c>
      <c r="HJ248">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v>
      </c>
      <c r="IH248">
        <v>0</v>
      </c>
      <c r="II248">
        <v>0</v>
      </c>
      <c r="IJ248">
        <v>0</v>
      </c>
      <c r="IK248">
        <v>0</v>
      </c>
    </row>
    <row r="249" spans="13:245" hidden="1">
      <c r="M249" s="343" t="s">
        <v>633</v>
      </c>
      <c r="N249" t="s">
        <v>1010</v>
      </c>
      <c r="O249">
        <v>1</v>
      </c>
      <c r="P249">
        <v>31</v>
      </c>
      <c r="Q249" s="184" t="str">
        <f t="shared" si="10"/>
        <v>SDJ200131</v>
      </c>
      <c r="R249">
        <v>451.6</v>
      </c>
      <c r="S249">
        <v>2000</v>
      </c>
      <c r="T249">
        <v>2000</v>
      </c>
      <c r="U249">
        <v>2000</v>
      </c>
      <c r="V249">
        <v>2257.8000000000002</v>
      </c>
      <c r="W249">
        <v>2709.4</v>
      </c>
      <c r="X249">
        <v>3160.9</v>
      </c>
      <c r="Y249">
        <v>3612.5</v>
      </c>
      <c r="Z249">
        <v>4064</v>
      </c>
      <c r="AA249">
        <v>4515.6000000000004</v>
      </c>
      <c r="AB249">
        <v>4967.2</v>
      </c>
      <c r="AC249">
        <v>5418.7</v>
      </c>
      <c r="AD249">
        <v>5870.3</v>
      </c>
      <c r="AE249">
        <v>6321.8</v>
      </c>
      <c r="AF249">
        <v>6773.4</v>
      </c>
      <c r="AG249">
        <v>7225</v>
      </c>
      <c r="AH249">
        <v>7676.5</v>
      </c>
      <c r="AI249">
        <v>8128.1</v>
      </c>
      <c r="AJ249">
        <v>8579.6</v>
      </c>
      <c r="AK249">
        <v>9031.2000000000007</v>
      </c>
      <c r="AL249">
        <v>9031.2000000000007</v>
      </c>
      <c r="AM249">
        <v>9031.2000000000007</v>
      </c>
      <c r="AN249">
        <v>9031.2000000000007</v>
      </c>
      <c r="AO249">
        <v>9031.2000000000007</v>
      </c>
      <c r="AP249">
        <v>9031.2000000000007</v>
      </c>
      <c r="AQ249">
        <v>9031.2000000000007</v>
      </c>
      <c r="AR249">
        <v>9031.2000000000007</v>
      </c>
      <c r="AS249">
        <v>9031.2000000000007</v>
      </c>
      <c r="AT249">
        <v>9031.2000000000007</v>
      </c>
      <c r="AU249">
        <v>9031.2000000000007</v>
      </c>
      <c r="AV249">
        <v>9031.2000000000007</v>
      </c>
      <c r="AW249">
        <v>9031.2000000000007</v>
      </c>
      <c r="AX249">
        <v>9031.2000000000007</v>
      </c>
      <c r="AY249">
        <v>9031.2000000000007</v>
      </c>
      <c r="AZ249">
        <v>9031.2000000000007</v>
      </c>
      <c r="BA249">
        <v>9031.2000000000007</v>
      </c>
      <c r="BB249">
        <v>9031.2000000000007</v>
      </c>
      <c r="BC249">
        <v>9031.2000000000007</v>
      </c>
      <c r="BD249">
        <v>9031.2000000000007</v>
      </c>
      <c r="BE249">
        <v>9031.2000000000007</v>
      </c>
      <c r="BF249">
        <v>9031.2000000000007</v>
      </c>
      <c r="BG249">
        <v>9031.2000000000007</v>
      </c>
      <c r="BH249">
        <v>9031.2000000000007</v>
      </c>
      <c r="BI249">
        <v>9031.2000000000007</v>
      </c>
      <c r="BJ249">
        <v>9031.2000000000007</v>
      </c>
      <c r="BK249">
        <v>9031.2000000000007</v>
      </c>
      <c r="BL249">
        <v>9031.2000000000007</v>
      </c>
      <c r="BM249">
        <v>9031.2000000000007</v>
      </c>
      <c r="BN249">
        <v>9031.2000000000007</v>
      </c>
      <c r="BO249">
        <v>9031.2000000000007</v>
      </c>
      <c r="BP249">
        <v>9031.2000000000007</v>
      </c>
      <c r="BQ249">
        <v>9031.2000000000007</v>
      </c>
      <c r="BR249">
        <v>9031.2000000000007</v>
      </c>
      <c r="BS249">
        <v>9031.2000000000007</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Z249" s="343" t="s">
        <v>633</v>
      </c>
      <c r="EA249" t="s">
        <v>1010</v>
      </c>
      <c r="EB249">
        <v>1</v>
      </c>
      <c r="EC249">
        <v>31</v>
      </c>
      <c r="ED249" s="184" t="str">
        <f t="shared" si="11"/>
        <v>SDJ200131</v>
      </c>
      <c r="EE249">
        <v>451.6</v>
      </c>
      <c r="EF249">
        <v>10000</v>
      </c>
      <c r="EG249">
        <v>10000</v>
      </c>
      <c r="EH249">
        <v>10000</v>
      </c>
      <c r="EI249">
        <v>10000</v>
      </c>
      <c r="EJ249">
        <v>10000</v>
      </c>
      <c r="EK249">
        <v>10000</v>
      </c>
      <c r="EL249">
        <v>10000</v>
      </c>
      <c r="EM249">
        <v>10000</v>
      </c>
      <c r="EN249">
        <v>10000</v>
      </c>
      <c r="EO249">
        <v>10000</v>
      </c>
      <c r="EP249">
        <v>10000</v>
      </c>
      <c r="EQ249">
        <v>10000</v>
      </c>
      <c r="ER249">
        <v>10000</v>
      </c>
      <c r="ES249">
        <v>10000</v>
      </c>
      <c r="ET249">
        <v>10000</v>
      </c>
      <c r="EU249">
        <v>10000</v>
      </c>
      <c r="EV249">
        <v>10000</v>
      </c>
      <c r="EW249">
        <v>10000</v>
      </c>
      <c r="EX249">
        <v>10000</v>
      </c>
      <c r="EY249">
        <v>10000</v>
      </c>
      <c r="EZ249">
        <v>10000</v>
      </c>
      <c r="FA249">
        <v>10000</v>
      </c>
      <c r="FB249">
        <v>10000</v>
      </c>
      <c r="FC249">
        <v>10000</v>
      </c>
      <c r="FD249">
        <v>10000</v>
      </c>
      <c r="FE249">
        <v>10000</v>
      </c>
      <c r="FF249">
        <v>10000</v>
      </c>
      <c r="FG249">
        <v>10000</v>
      </c>
      <c r="FH249">
        <v>10000</v>
      </c>
      <c r="FI249">
        <v>10000</v>
      </c>
      <c r="FJ249">
        <v>10000</v>
      </c>
      <c r="FK249">
        <v>10000</v>
      </c>
      <c r="FL249">
        <v>10000</v>
      </c>
      <c r="FM249">
        <v>10000</v>
      </c>
      <c r="FN249">
        <v>10000</v>
      </c>
      <c r="FO249">
        <v>10000</v>
      </c>
      <c r="FP249">
        <v>10000</v>
      </c>
      <c r="FQ249">
        <v>10000</v>
      </c>
      <c r="FR249">
        <v>10000</v>
      </c>
      <c r="FS249">
        <v>10000</v>
      </c>
      <c r="FT249">
        <v>10000</v>
      </c>
      <c r="FU249">
        <v>10000</v>
      </c>
      <c r="FV249">
        <v>10000</v>
      </c>
      <c r="FW249">
        <v>10000</v>
      </c>
      <c r="FX249">
        <v>10000</v>
      </c>
      <c r="FY249">
        <v>10000</v>
      </c>
      <c r="FZ249">
        <v>10000</v>
      </c>
      <c r="GA249">
        <v>10000</v>
      </c>
      <c r="GB249">
        <v>10000</v>
      </c>
      <c r="GC249">
        <v>10000</v>
      </c>
      <c r="GD249">
        <v>10000</v>
      </c>
      <c r="GE249">
        <v>10000</v>
      </c>
      <c r="GF249">
        <v>10000</v>
      </c>
      <c r="GG249">
        <v>0</v>
      </c>
      <c r="GH249">
        <v>0</v>
      </c>
      <c r="GI249">
        <v>0</v>
      </c>
      <c r="GJ249">
        <v>0</v>
      </c>
      <c r="GK249">
        <v>0</v>
      </c>
      <c r="GL249">
        <v>0</v>
      </c>
      <c r="GM249">
        <v>0</v>
      </c>
      <c r="GN249">
        <v>0</v>
      </c>
      <c r="GO249">
        <v>0</v>
      </c>
      <c r="GP249">
        <v>0</v>
      </c>
      <c r="GQ249">
        <v>0</v>
      </c>
      <c r="GR249">
        <v>0</v>
      </c>
      <c r="GS249">
        <v>0</v>
      </c>
      <c r="GT249">
        <v>0</v>
      </c>
      <c r="GU249">
        <v>0</v>
      </c>
      <c r="GV249">
        <v>0</v>
      </c>
      <c r="GW249">
        <v>0</v>
      </c>
      <c r="GX249">
        <v>0</v>
      </c>
      <c r="GY249">
        <v>0</v>
      </c>
      <c r="GZ249">
        <v>0</v>
      </c>
      <c r="HA249">
        <v>0</v>
      </c>
      <c r="HB249">
        <v>0</v>
      </c>
      <c r="HC249">
        <v>0</v>
      </c>
      <c r="HD249">
        <v>0</v>
      </c>
      <c r="HE249">
        <v>0</v>
      </c>
      <c r="HF249">
        <v>0</v>
      </c>
      <c r="HG249">
        <v>0</v>
      </c>
      <c r="HH249">
        <v>0</v>
      </c>
      <c r="HI249">
        <v>0</v>
      </c>
      <c r="HJ249">
        <v>0</v>
      </c>
      <c r="HK249">
        <v>0</v>
      </c>
      <c r="HL249">
        <v>0</v>
      </c>
      <c r="HM249">
        <v>0</v>
      </c>
      <c r="HN249">
        <v>0</v>
      </c>
      <c r="HO249">
        <v>0</v>
      </c>
      <c r="HP249">
        <v>0</v>
      </c>
      <c r="HQ249">
        <v>0</v>
      </c>
      <c r="HR249">
        <v>0</v>
      </c>
      <c r="HS249">
        <v>0</v>
      </c>
      <c r="HT249">
        <v>0</v>
      </c>
      <c r="HU249">
        <v>0</v>
      </c>
      <c r="HV249">
        <v>0</v>
      </c>
      <c r="HW249">
        <v>0</v>
      </c>
      <c r="HX249">
        <v>0</v>
      </c>
      <c r="HY249">
        <v>0</v>
      </c>
      <c r="HZ249">
        <v>0</v>
      </c>
      <c r="IA249">
        <v>0</v>
      </c>
      <c r="IB249">
        <v>0</v>
      </c>
      <c r="IC249">
        <v>0</v>
      </c>
      <c r="ID249">
        <v>0</v>
      </c>
      <c r="IE249">
        <v>0</v>
      </c>
      <c r="IF249">
        <v>0</v>
      </c>
      <c r="IG249">
        <v>0</v>
      </c>
      <c r="IH249">
        <v>0</v>
      </c>
      <c r="II249">
        <v>0</v>
      </c>
      <c r="IJ249">
        <v>0</v>
      </c>
      <c r="IK249">
        <v>0</v>
      </c>
    </row>
    <row r="250" spans="13:245" hidden="1">
      <c r="M250" s="343" t="s">
        <v>633</v>
      </c>
      <c r="N250" t="s">
        <v>1010</v>
      </c>
      <c r="O250">
        <v>1</v>
      </c>
      <c r="P250">
        <v>32</v>
      </c>
      <c r="Q250" s="184" t="str">
        <f t="shared" si="10"/>
        <v>SDJ200132</v>
      </c>
      <c r="R250">
        <v>454.7</v>
      </c>
      <c r="S250">
        <v>2000</v>
      </c>
      <c r="T250">
        <v>2000</v>
      </c>
      <c r="U250">
        <v>2000</v>
      </c>
      <c r="V250">
        <v>2273.6999999999998</v>
      </c>
      <c r="W250">
        <v>2728.4</v>
      </c>
      <c r="X250">
        <v>3183.2</v>
      </c>
      <c r="Y250">
        <v>3637.9</v>
      </c>
      <c r="Z250">
        <v>4092.7</v>
      </c>
      <c r="AA250">
        <v>4547.3999999999996</v>
      </c>
      <c r="AB250">
        <v>5002.1000000000004</v>
      </c>
      <c r="AC250">
        <v>5456.9</v>
      </c>
      <c r="AD250">
        <v>5911.6</v>
      </c>
      <c r="AE250">
        <v>6366.4</v>
      </c>
      <c r="AF250">
        <v>6821.1</v>
      </c>
      <c r="AG250">
        <v>7275.8</v>
      </c>
      <c r="AH250">
        <v>7730.6</v>
      </c>
      <c r="AI250">
        <v>8185.3</v>
      </c>
      <c r="AJ250">
        <v>8640.1</v>
      </c>
      <c r="AK250">
        <v>9094.7999999999993</v>
      </c>
      <c r="AL250">
        <v>9094.7999999999993</v>
      </c>
      <c r="AM250">
        <v>9094.7999999999993</v>
      </c>
      <c r="AN250">
        <v>9094.7999999999993</v>
      </c>
      <c r="AO250">
        <v>9094.7999999999993</v>
      </c>
      <c r="AP250">
        <v>9094.7999999999993</v>
      </c>
      <c r="AQ250">
        <v>9094.7999999999993</v>
      </c>
      <c r="AR250">
        <v>9094.7999999999993</v>
      </c>
      <c r="AS250">
        <v>9094.7999999999993</v>
      </c>
      <c r="AT250">
        <v>9094.7999999999993</v>
      </c>
      <c r="AU250">
        <v>9094.7999999999993</v>
      </c>
      <c r="AV250">
        <v>9094.7999999999993</v>
      </c>
      <c r="AW250">
        <v>9094.7999999999993</v>
      </c>
      <c r="AX250">
        <v>9094.7999999999993</v>
      </c>
      <c r="AY250">
        <v>9094.7999999999993</v>
      </c>
      <c r="AZ250">
        <v>9094.7999999999993</v>
      </c>
      <c r="BA250">
        <v>9094.7999999999993</v>
      </c>
      <c r="BB250">
        <v>9094.7999999999993</v>
      </c>
      <c r="BC250">
        <v>9094.7999999999993</v>
      </c>
      <c r="BD250">
        <v>9094.7999999999993</v>
      </c>
      <c r="BE250">
        <v>9094.7999999999993</v>
      </c>
      <c r="BF250">
        <v>9094.7999999999993</v>
      </c>
      <c r="BG250">
        <v>9094.7999999999993</v>
      </c>
      <c r="BH250">
        <v>9094.7999999999993</v>
      </c>
      <c r="BI250">
        <v>9094.7999999999993</v>
      </c>
      <c r="BJ250">
        <v>9094.7999999999993</v>
      </c>
      <c r="BK250">
        <v>9094.7999999999993</v>
      </c>
      <c r="BL250">
        <v>9094.7999999999993</v>
      </c>
      <c r="BM250">
        <v>9094.7999999999993</v>
      </c>
      <c r="BN250">
        <v>9094.7999999999993</v>
      </c>
      <c r="BO250">
        <v>9094.7999999999993</v>
      </c>
      <c r="BP250">
        <v>9094.7999999999993</v>
      </c>
      <c r="BQ250">
        <v>9094.7999999999993</v>
      </c>
      <c r="BR250">
        <v>9094.7999999999993</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Z250" s="343" t="s">
        <v>633</v>
      </c>
      <c r="EA250" t="s">
        <v>1010</v>
      </c>
      <c r="EB250">
        <v>1</v>
      </c>
      <c r="EC250">
        <v>32</v>
      </c>
      <c r="ED250" s="184" t="str">
        <f t="shared" si="11"/>
        <v>SDJ200132</v>
      </c>
      <c r="EE250">
        <v>454.7</v>
      </c>
      <c r="EF250">
        <v>10000</v>
      </c>
      <c r="EG250">
        <v>10000</v>
      </c>
      <c r="EH250">
        <v>10000</v>
      </c>
      <c r="EI250">
        <v>10000</v>
      </c>
      <c r="EJ250">
        <v>10000</v>
      </c>
      <c r="EK250">
        <v>10000</v>
      </c>
      <c r="EL250">
        <v>10000</v>
      </c>
      <c r="EM250">
        <v>10000</v>
      </c>
      <c r="EN250">
        <v>10000</v>
      </c>
      <c r="EO250">
        <v>10000</v>
      </c>
      <c r="EP250">
        <v>10000</v>
      </c>
      <c r="EQ250">
        <v>10000</v>
      </c>
      <c r="ER250">
        <v>10000</v>
      </c>
      <c r="ES250">
        <v>10000</v>
      </c>
      <c r="ET250">
        <v>10000</v>
      </c>
      <c r="EU250">
        <v>10000</v>
      </c>
      <c r="EV250">
        <v>10000</v>
      </c>
      <c r="EW250">
        <v>10000</v>
      </c>
      <c r="EX250">
        <v>10000</v>
      </c>
      <c r="EY250">
        <v>10000</v>
      </c>
      <c r="EZ250">
        <v>10000</v>
      </c>
      <c r="FA250">
        <v>10000</v>
      </c>
      <c r="FB250">
        <v>10000</v>
      </c>
      <c r="FC250">
        <v>10000</v>
      </c>
      <c r="FD250">
        <v>10000</v>
      </c>
      <c r="FE250">
        <v>10000</v>
      </c>
      <c r="FF250">
        <v>10000</v>
      </c>
      <c r="FG250">
        <v>10000</v>
      </c>
      <c r="FH250">
        <v>10000</v>
      </c>
      <c r="FI250">
        <v>10000</v>
      </c>
      <c r="FJ250">
        <v>10000</v>
      </c>
      <c r="FK250">
        <v>10000</v>
      </c>
      <c r="FL250">
        <v>10000</v>
      </c>
      <c r="FM250">
        <v>10000</v>
      </c>
      <c r="FN250">
        <v>10000</v>
      </c>
      <c r="FO250">
        <v>10000</v>
      </c>
      <c r="FP250">
        <v>10000</v>
      </c>
      <c r="FQ250">
        <v>10000</v>
      </c>
      <c r="FR250">
        <v>10000</v>
      </c>
      <c r="FS250">
        <v>10000</v>
      </c>
      <c r="FT250">
        <v>10000</v>
      </c>
      <c r="FU250">
        <v>10000</v>
      </c>
      <c r="FV250">
        <v>10000</v>
      </c>
      <c r="FW250">
        <v>10000</v>
      </c>
      <c r="FX250">
        <v>10000</v>
      </c>
      <c r="FY250">
        <v>10000</v>
      </c>
      <c r="FZ250">
        <v>10000</v>
      </c>
      <c r="GA250">
        <v>10000</v>
      </c>
      <c r="GB250">
        <v>10000</v>
      </c>
      <c r="GC250">
        <v>10000</v>
      </c>
      <c r="GD250">
        <v>10000</v>
      </c>
      <c r="GE250">
        <v>10000</v>
      </c>
      <c r="GF250">
        <v>0</v>
      </c>
      <c r="GG250">
        <v>0</v>
      </c>
      <c r="GH250">
        <v>0</v>
      </c>
      <c r="GI250">
        <v>0</v>
      </c>
      <c r="GJ250">
        <v>0</v>
      </c>
      <c r="GK250">
        <v>0</v>
      </c>
      <c r="GL250">
        <v>0</v>
      </c>
      <c r="GM250">
        <v>0</v>
      </c>
      <c r="GN250">
        <v>0</v>
      </c>
      <c r="GO250">
        <v>0</v>
      </c>
      <c r="GP250">
        <v>0</v>
      </c>
      <c r="GQ250">
        <v>0</v>
      </c>
      <c r="GR250">
        <v>0</v>
      </c>
      <c r="GS250">
        <v>0</v>
      </c>
      <c r="GT250">
        <v>0</v>
      </c>
      <c r="GU250">
        <v>0</v>
      </c>
      <c r="GV250">
        <v>0</v>
      </c>
      <c r="GW250">
        <v>0</v>
      </c>
      <c r="GX250">
        <v>0</v>
      </c>
      <c r="GY250">
        <v>0</v>
      </c>
      <c r="GZ250">
        <v>0</v>
      </c>
      <c r="HA250">
        <v>0</v>
      </c>
      <c r="HB250">
        <v>0</v>
      </c>
      <c r="HC250">
        <v>0</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0</v>
      </c>
      <c r="IG250">
        <v>0</v>
      </c>
      <c r="IH250">
        <v>0</v>
      </c>
      <c r="II250">
        <v>0</v>
      </c>
      <c r="IJ250">
        <v>0</v>
      </c>
      <c r="IK250">
        <v>0</v>
      </c>
    </row>
    <row r="251" spans="13:245" hidden="1">
      <c r="M251" s="343" t="s">
        <v>633</v>
      </c>
      <c r="N251" t="s">
        <v>1010</v>
      </c>
      <c r="O251">
        <v>1</v>
      </c>
      <c r="P251">
        <v>33</v>
      </c>
      <c r="Q251" s="184" t="str">
        <f t="shared" si="10"/>
        <v>SDJ200133</v>
      </c>
      <c r="R251">
        <v>456.9</v>
      </c>
      <c r="S251">
        <v>2000</v>
      </c>
      <c r="T251">
        <v>2000</v>
      </c>
      <c r="U251">
        <v>2000</v>
      </c>
      <c r="V251">
        <v>2284.3000000000002</v>
      </c>
      <c r="W251">
        <v>2741.2</v>
      </c>
      <c r="X251">
        <v>3198</v>
      </c>
      <c r="Y251">
        <v>3654.9</v>
      </c>
      <c r="Z251">
        <v>4111.7</v>
      </c>
      <c r="AA251">
        <v>4568.6000000000004</v>
      </c>
      <c r="AB251">
        <v>5025.5</v>
      </c>
      <c r="AC251">
        <v>5482.3</v>
      </c>
      <c r="AD251">
        <v>5939.2</v>
      </c>
      <c r="AE251">
        <v>6396</v>
      </c>
      <c r="AF251">
        <v>6852.9</v>
      </c>
      <c r="AG251">
        <v>7309.8</v>
      </c>
      <c r="AH251">
        <v>7766.6</v>
      </c>
      <c r="AI251">
        <v>8223.5</v>
      </c>
      <c r="AJ251">
        <v>8680.2999999999993</v>
      </c>
      <c r="AK251">
        <v>9137.2000000000007</v>
      </c>
      <c r="AL251">
        <v>9137.2000000000007</v>
      </c>
      <c r="AM251">
        <v>9137.2000000000007</v>
      </c>
      <c r="AN251">
        <v>9137.2000000000007</v>
      </c>
      <c r="AO251">
        <v>9137.2000000000007</v>
      </c>
      <c r="AP251">
        <v>9137.2000000000007</v>
      </c>
      <c r="AQ251">
        <v>9137.2000000000007</v>
      </c>
      <c r="AR251">
        <v>9137.2000000000007</v>
      </c>
      <c r="AS251">
        <v>9137.2000000000007</v>
      </c>
      <c r="AT251">
        <v>9137.2000000000007</v>
      </c>
      <c r="AU251">
        <v>9137.2000000000007</v>
      </c>
      <c r="AV251">
        <v>9137.2000000000007</v>
      </c>
      <c r="AW251">
        <v>9137.2000000000007</v>
      </c>
      <c r="AX251">
        <v>9137.2000000000007</v>
      </c>
      <c r="AY251">
        <v>9137.2000000000007</v>
      </c>
      <c r="AZ251">
        <v>9137.2000000000007</v>
      </c>
      <c r="BA251">
        <v>9137.2000000000007</v>
      </c>
      <c r="BB251">
        <v>9137.2000000000007</v>
      </c>
      <c r="BC251">
        <v>9137.2000000000007</v>
      </c>
      <c r="BD251">
        <v>9137.2000000000007</v>
      </c>
      <c r="BE251">
        <v>9137.2000000000007</v>
      </c>
      <c r="BF251">
        <v>9137.2000000000007</v>
      </c>
      <c r="BG251">
        <v>9137.2000000000007</v>
      </c>
      <c r="BH251">
        <v>9137.2000000000007</v>
      </c>
      <c r="BI251">
        <v>9137.2000000000007</v>
      </c>
      <c r="BJ251">
        <v>9137.2000000000007</v>
      </c>
      <c r="BK251">
        <v>9137.2000000000007</v>
      </c>
      <c r="BL251">
        <v>9137.2000000000007</v>
      </c>
      <c r="BM251">
        <v>9137.2000000000007</v>
      </c>
      <c r="BN251">
        <v>9137.2000000000007</v>
      </c>
      <c r="BO251">
        <v>9137.2000000000007</v>
      </c>
      <c r="BP251">
        <v>9137.2000000000007</v>
      </c>
      <c r="BQ251">
        <v>9137.2000000000007</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Z251" s="343" t="s">
        <v>633</v>
      </c>
      <c r="EA251" t="s">
        <v>1010</v>
      </c>
      <c r="EB251">
        <v>1</v>
      </c>
      <c r="EC251">
        <v>33</v>
      </c>
      <c r="ED251" s="184" t="str">
        <f t="shared" si="11"/>
        <v>SDJ200133</v>
      </c>
      <c r="EE251">
        <v>456.9</v>
      </c>
      <c r="EF251">
        <v>10000</v>
      </c>
      <c r="EG251">
        <v>10000</v>
      </c>
      <c r="EH251">
        <v>10000</v>
      </c>
      <c r="EI251">
        <v>10000</v>
      </c>
      <c r="EJ251">
        <v>10000</v>
      </c>
      <c r="EK251">
        <v>10000</v>
      </c>
      <c r="EL251">
        <v>10000</v>
      </c>
      <c r="EM251">
        <v>10000</v>
      </c>
      <c r="EN251">
        <v>10000</v>
      </c>
      <c r="EO251">
        <v>10000</v>
      </c>
      <c r="EP251">
        <v>10000</v>
      </c>
      <c r="EQ251">
        <v>10000</v>
      </c>
      <c r="ER251">
        <v>10000</v>
      </c>
      <c r="ES251">
        <v>10000</v>
      </c>
      <c r="ET251">
        <v>10000</v>
      </c>
      <c r="EU251">
        <v>10000</v>
      </c>
      <c r="EV251">
        <v>10000</v>
      </c>
      <c r="EW251">
        <v>10000</v>
      </c>
      <c r="EX251">
        <v>10000</v>
      </c>
      <c r="EY251">
        <v>10000</v>
      </c>
      <c r="EZ251">
        <v>10000</v>
      </c>
      <c r="FA251">
        <v>10000</v>
      </c>
      <c r="FB251">
        <v>10000</v>
      </c>
      <c r="FC251">
        <v>10000</v>
      </c>
      <c r="FD251">
        <v>10000</v>
      </c>
      <c r="FE251">
        <v>10000</v>
      </c>
      <c r="FF251">
        <v>10000</v>
      </c>
      <c r="FG251">
        <v>10000</v>
      </c>
      <c r="FH251">
        <v>10000</v>
      </c>
      <c r="FI251">
        <v>10000</v>
      </c>
      <c r="FJ251">
        <v>10000</v>
      </c>
      <c r="FK251">
        <v>10000</v>
      </c>
      <c r="FL251">
        <v>10000</v>
      </c>
      <c r="FM251">
        <v>10000</v>
      </c>
      <c r="FN251">
        <v>10000</v>
      </c>
      <c r="FO251">
        <v>10000</v>
      </c>
      <c r="FP251">
        <v>10000</v>
      </c>
      <c r="FQ251">
        <v>10000</v>
      </c>
      <c r="FR251">
        <v>10000</v>
      </c>
      <c r="FS251">
        <v>10000</v>
      </c>
      <c r="FT251">
        <v>10000</v>
      </c>
      <c r="FU251">
        <v>10000</v>
      </c>
      <c r="FV251">
        <v>10000</v>
      </c>
      <c r="FW251">
        <v>10000</v>
      </c>
      <c r="FX251">
        <v>10000</v>
      </c>
      <c r="FY251">
        <v>10000</v>
      </c>
      <c r="FZ251">
        <v>10000</v>
      </c>
      <c r="GA251">
        <v>10000</v>
      </c>
      <c r="GB251">
        <v>10000</v>
      </c>
      <c r="GC251">
        <v>10000</v>
      </c>
      <c r="GD251">
        <v>10000</v>
      </c>
      <c r="GE251">
        <v>0</v>
      </c>
      <c r="GF251">
        <v>0</v>
      </c>
      <c r="GG251">
        <v>0</v>
      </c>
      <c r="GH251">
        <v>0</v>
      </c>
      <c r="GI251">
        <v>0</v>
      </c>
      <c r="GJ251">
        <v>0</v>
      </c>
      <c r="GK251">
        <v>0</v>
      </c>
      <c r="GL251">
        <v>0</v>
      </c>
      <c r="GM251">
        <v>0</v>
      </c>
      <c r="GN251">
        <v>0</v>
      </c>
      <c r="GO251">
        <v>0</v>
      </c>
      <c r="GP251">
        <v>0</v>
      </c>
      <c r="GQ251">
        <v>0</v>
      </c>
      <c r="GR251">
        <v>0</v>
      </c>
      <c r="GS251">
        <v>0</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0</v>
      </c>
      <c r="IB251">
        <v>0</v>
      </c>
      <c r="IC251">
        <v>0</v>
      </c>
      <c r="ID251">
        <v>0</v>
      </c>
      <c r="IE251">
        <v>0</v>
      </c>
      <c r="IF251">
        <v>0</v>
      </c>
      <c r="IG251">
        <v>0</v>
      </c>
      <c r="IH251">
        <v>0</v>
      </c>
      <c r="II251">
        <v>0</v>
      </c>
      <c r="IJ251">
        <v>0</v>
      </c>
      <c r="IK251">
        <v>0</v>
      </c>
    </row>
    <row r="252" spans="13:245" hidden="1">
      <c r="M252" s="343" t="s">
        <v>633</v>
      </c>
      <c r="N252" t="s">
        <v>1010</v>
      </c>
      <c r="O252">
        <v>1</v>
      </c>
      <c r="P252">
        <v>34</v>
      </c>
      <c r="Q252" s="184" t="str">
        <f t="shared" si="10"/>
        <v>SDJ200134</v>
      </c>
      <c r="R252">
        <v>463.2</v>
      </c>
      <c r="S252">
        <v>2000</v>
      </c>
      <c r="T252">
        <v>2000</v>
      </c>
      <c r="U252">
        <v>2000</v>
      </c>
      <c r="V252">
        <v>2316.1</v>
      </c>
      <c r="W252">
        <v>2779.3</v>
      </c>
      <c r="X252">
        <v>3242.5</v>
      </c>
      <c r="Y252">
        <v>3705.8</v>
      </c>
      <c r="Z252">
        <v>4169</v>
      </c>
      <c r="AA252">
        <v>4632.2</v>
      </c>
      <c r="AB252">
        <v>5095.3999999999996</v>
      </c>
      <c r="AC252">
        <v>5558.6</v>
      </c>
      <c r="AD252">
        <v>6021.9</v>
      </c>
      <c r="AE252">
        <v>6485.1</v>
      </c>
      <c r="AF252">
        <v>6948.3</v>
      </c>
      <c r="AG252">
        <v>7411.5</v>
      </c>
      <c r="AH252">
        <v>7874.7</v>
      </c>
      <c r="AI252">
        <v>8338</v>
      </c>
      <c r="AJ252">
        <v>8801.2000000000007</v>
      </c>
      <c r="AK252">
        <v>9264.4</v>
      </c>
      <c r="AL252">
        <v>9264.4</v>
      </c>
      <c r="AM252">
        <v>9264.4</v>
      </c>
      <c r="AN252">
        <v>9264.4</v>
      </c>
      <c r="AO252">
        <v>9264.4</v>
      </c>
      <c r="AP252">
        <v>9264.4</v>
      </c>
      <c r="AQ252">
        <v>9264.4</v>
      </c>
      <c r="AR252">
        <v>9264.4</v>
      </c>
      <c r="AS252">
        <v>9264.4</v>
      </c>
      <c r="AT252">
        <v>9264.4</v>
      </c>
      <c r="AU252">
        <v>9264.4</v>
      </c>
      <c r="AV252">
        <v>9264.4</v>
      </c>
      <c r="AW252">
        <v>9264.4</v>
      </c>
      <c r="AX252">
        <v>9264.4</v>
      </c>
      <c r="AY252">
        <v>9264.4</v>
      </c>
      <c r="AZ252">
        <v>9264.4</v>
      </c>
      <c r="BA252">
        <v>9264.4</v>
      </c>
      <c r="BB252">
        <v>9264.4</v>
      </c>
      <c r="BC252">
        <v>9264.4</v>
      </c>
      <c r="BD252">
        <v>9264.4</v>
      </c>
      <c r="BE252">
        <v>9264.4</v>
      </c>
      <c r="BF252">
        <v>9264.4</v>
      </c>
      <c r="BG252">
        <v>9264.4</v>
      </c>
      <c r="BH252">
        <v>9264.4</v>
      </c>
      <c r="BI252">
        <v>9264.4</v>
      </c>
      <c r="BJ252">
        <v>9264.4</v>
      </c>
      <c r="BK252">
        <v>9264.4</v>
      </c>
      <c r="BL252">
        <v>9264.4</v>
      </c>
      <c r="BM252">
        <v>9264.4</v>
      </c>
      <c r="BN252">
        <v>9264.4</v>
      </c>
      <c r="BO252">
        <v>9264.4</v>
      </c>
      <c r="BP252">
        <v>9264.4</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Z252" s="343" t="s">
        <v>633</v>
      </c>
      <c r="EA252" t="s">
        <v>1010</v>
      </c>
      <c r="EB252">
        <v>1</v>
      </c>
      <c r="EC252">
        <v>34</v>
      </c>
      <c r="ED252" s="184" t="str">
        <f t="shared" si="11"/>
        <v>SDJ200134</v>
      </c>
      <c r="EE252">
        <v>463.2</v>
      </c>
      <c r="EF252">
        <v>10000</v>
      </c>
      <c r="EG252">
        <v>10000</v>
      </c>
      <c r="EH252">
        <v>10000</v>
      </c>
      <c r="EI252">
        <v>10000</v>
      </c>
      <c r="EJ252">
        <v>10000</v>
      </c>
      <c r="EK252">
        <v>10000</v>
      </c>
      <c r="EL252">
        <v>10000</v>
      </c>
      <c r="EM252">
        <v>10000</v>
      </c>
      <c r="EN252">
        <v>10000</v>
      </c>
      <c r="EO252">
        <v>10000</v>
      </c>
      <c r="EP252">
        <v>10000</v>
      </c>
      <c r="EQ252">
        <v>10000</v>
      </c>
      <c r="ER252">
        <v>10000</v>
      </c>
      <c r="ES252">
        <v>10000</v>
      </c>
      <c r="ET252">
        <v>10000</v>
      </c>
      <c r="EU252">
        <v>10000</v>
      </c>
      <c r="EV252">
        <v>10000</v>
      </c>
      <c r="EW252">
        <v>10000</v>
      </c>
      <c r="EX252">
        <v>10000</v>
      </c>
      <c r="EY252">
        <v>10000</v>
      </c>
      <c r="EZ252">
        <v>10000</v>
      </c>
      <c r="FA252">
        <v>10000</v>
      </c>
      <c r="FB252">
        <v>10000</v>
      </c>
      <c r="FC252">
        <v>10000</v>
      </c>
      <c r="FD252">
        <v>10000</v>
      </c>
      <c r="FE252">
        <v>10000</v>
      </c>
      <c r="FF252">
        <v>10000</v>
      </c>
      <c r="FG252">
        <v>10000</v>
      </c>
      <c r="FH252">
        <v>10000</v>
      </c>
      <c r="FI252">
        <v>10000</v>
      </c>
      <c r="FJ252">
        <v>10000</v>
      </c>
      <c r="FK252">
        <v>10000</v>
      </c>
      <c r="FL252">
        <v>10000</v>
      </c>
      <c r="FM252">
        <v>10000</v>
      </c>
      <c r="FN252">
        <v>10000</v>
      </c>
      <c r="FO252">
        <v>10000</v>
      </c>
      <c r="FP252">
        <v>10000</v>
      </c>
      <c r="FQ252">
        <v>10000</v>
      </c>
      <c r="FR252">
        <v>10000</v>
      </c>
      <c r="FS252">
        <v>10000</v>
      </c>
      <c r="FT252">
        <v>10000</v>
      </c>
      <c r="FU252">
        <v>10000</v>
      </c>
      <c r="FV252">
        <v>10000</v>
      </c>
      <c r="FW252">
        <v>10000</v>
      </c>
      <c r="FX252">
        <v>10000</v>
      </c>
      <c r="FY252">
        <v>10000</v>
      </c>
      <c r="FZ252">
        <v>10000</v>
      </c>
      <c r="GA252">
        <v>10000</v>
      </c>
      <c r="GB252">
        <v>10000</v>
      </c>
      <c r="GC252">
        <v>10000</v>
      </c>
      <c r="GD252">
        <v>0</v>
      </c>
      <c r="GE252">
        <v>0</v>
      </c>
      <c r="GF252">
        <v>0</v>
      </c>
      <c r="GG252">
        <v>0</v>
      </c>
      <c r="GH252">
        <v>0</v>
      </c>
      <c r="GI252">
        <v>0</v>
      </c>
      <c r="GJ252">
        <v>0</v>
      </c>
      <c r="GK252">
        <v>0</v>
      </c>
      <c r="GL252">
        <v>0</v>
      </c>
      <c r="GM252">
        <v>0</v>
      </c>
      <c r="GN252">
        <v>0</v>
      </c>
      <c r="GO252">
        <v>0</v>
      </c>
      <c r="GP252">
        <v>0</v>
      </c>
      <c r="GQ252">
        <v>0</v>
      </c>
      <c r="GR252">
        <v>0</v>
      </c>
      <c r="GS252">
        <v>0</v>
      </c>
      <c r="GT252">
        <v>0</v>
      </c>
      <c r="GU252">
        <v>0</v>
      </c>
      <c r="GV252">
        <v>0</v>
      </c>
      <c r="GW252">
        <v>0</v>
      </c>
      <c r="GX252">
        <v>0</v>
      </c>
      <c r="GY252">
        <v>0</v>
      </c>
      <c r="GZ252">
        <v>0</v>
      </c>
      <c r="HA252">
        <v>0</v>
      </c>
      <c r="HB252">
        <v>0</v>
      </c>
      <c r="HC252">
        <v>0</v>
      </c>
      <c r="HD252">
        <v>0</v>
      </c>
      <c r="HE252">
        <v>0</v>
      </c>
      <c r="HF252">
        <v>0</v>
      </c>
      <c r="HG252">
        <v>0</v>
      </c>
      <c r="HH252">
        <v>0</v>
      </c>
      <c r="HI252">
        <v>0</v>
      </c>
      <c r="HJ252">
        <v>0</v>
      </c>
      <c r="HK252">
        <v>0</v>
      </c>
      <c r="HL252">
        <v>0</v>
      </c>
      <c r="HM252">
        <v>0</v>
      </c>
      <c r="HN252">
        <v>0</v>
      </c>
      <c r="HO252">
        <v>0</v>
      </c>
      <c r="HP252">
        <v>0</v>
      </c>
      <c r="HQ252">
        <v>0</v>
      </c>
      <c r="HR252">
        <v>0</v>
      </c>
      <c r="HS252">
        <v>0</v>
      </c>
      <c r="HT252">
        <v>0</v>
      </c>
      <c r="HU252">
        <v>0</v>
      </c>
      <c r="HV252">
        <v>0</v>
      </c>
      <c r="HW252">
        <v>0</v>
      </c>
      <c r="HX252">
        <v>0</v>
      </c>
      <c r="HY252">
        <v>0</v>
      </c>
      <c r="HZ252">
        <v>0</v>
      </c>
      <c r="IA252">
        <v>0</v>
      </c>
      <c r="IB252">
        <v>0</v>
      </c>
      <c r="IC252">
        <v>0</v>
      </c>
      <c r="ID252">
        <v>0</v>
      </c>
      <c r="IE252">
        <v>0</v>
      </c>
      <c r="IF252">
        <v>0</v>
      </c>
      <c r="IG252">
        <v>0</v>
      </c>
      <c r="IH252">
        <v>0</v>
      </c>
      <c r="II252">
        <v>0</v>
      </c>
      <c r="IJ252">
        <v>0</v>
      </c>
      <c r="IK252">
        <v>0</v>
      </c>
    </row>
    <row r="253" spans="13:245" hidden="1">
      <c r="M253" s="343" t="s">
        <v>633</v>
      </c>
      <c r="N253" t="s">
        <v>1010</v>
      </c>
      <c r="O253">
        <v>1</v>
      </c>
      <c r="P253">
        <v>35</v>
      </c>
      <c r="Q253" s="184" t="str">
        <f t="shared" si="10"/>
        <v>SDJ200135</v>
      </c>
      <c r="R253">
        <v>471.7</v>
      </c>
      <c r="S253">
        <v>2000</v>
      </c>
      <c r="T253">
        <v>2000</v>
      </c>
      <c r="U253">
        <v>2000</v>
      </c>
      <c r="V253">
        <v>2358.5</v>
      </c>
      <c r="W253">
        <v>2830.2</v>
      </c>
      <c r="X253">
        <v>3301.9</v>
      </c>
      <c r="Y253">
        <v>3773.6</v>
      </c>
      <c r="Z253">
        <v>4245.3</v>
      </c>
      <c r="AA253">
        <v>4717</v>
      </c>
      <c r="AB253">
        <v>5188.7</v>
      </c>
      <c r="AC253">
        <v>5660.4</v>
      </c>
      <c r="AD253">
        <v>6132.1</v>
      </c>
      <c r="AE253">
        <v>6603.8</v>
      </c>
      <c r="AF253">
        <v>7075.5</v>
      </c>
      <c r="AG253">
        <v>7547.2</v>
      </c>
      <c r="AH253">
        <v>8018.9</v>
      </c>
      <c r="AI253">
        <v>8490.6</v>
      </c>
      <c r="AJ253">
        <v>8962.2999999999993</v>
      </c>
      <c r="AK253">
        <v>9434</v>
      </c>
      <c r="AL253">
        <v>9434</v>
      </c>
      <c r="AM253">
        <v>9434</v>
      </c>
      <c r="AN253">
        <v>9434</v>
      </c>
      <c r="AO253">
        <v>9434</v>
      </c>
      <c r="AP253">
        <v>9434</v>
      </c>
      <c r="AQ253">
        <v>9434</v>
      </c>
      <c r="AR253">
        <v>9434</v>
      </c>
      <c r="AS253">
        <v>9434</v>
      </c>
      <c r="AT253">
        <v>9434</v>
      </c>
      <c r="AU253">
        <v>9434</v>
      </c>
      <c r="AV253">
        <v>9434</v>
      </c>
      <c r="AW253">
        <v>9434</v>
      </c>
      <c r="AX253">
        <v>9434</v>
      </c>
      <c r="AY253">
        <v>9434</v>
      </c>
      <c r="AZ253">
        <v>9434</v>
      </c>
      <c r="BA253">
        <v>9434</v>
      </c>
      <c r="BB253">
        <v>9434</v>
      </c>
      <c r="BC253">
        <v>9434</v>
      </c>
      <c r="BD253">
        <v>9434</v>
      </c>
      <c r="BE253">
        <v>9434</v>
      </c>
      <c r="BF253">
        <v>9434</v>
      </c>
      <c r="BG253">
        <v>9434</v>
      </c>
      <c r="BH253">
        <v>9434</v>
      </c>
      <c r="BI253">
        <v>9434</v>
      </c>
      <c r="BJ253">
        <v>9434</v>
      </c>
      <c r="BK253">
        <v>9434</v>
      </c>
      <c r="BL253">
        <v>9434</v>
      </c>
      <c r="BM253">
        <v>9434</v>
      </c>
      <c r="BN253">
        <v>9434</v>
      </c>
      <c r="BO253">
        <v>9434</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Z253" s="343" t="s">
        <v>633</v>
      </c>
      <c r="EA253" t="s">
        <v>1010</v>
      </c>
      <c r="EB253">
        <v>1</v>
      </c>
      <c r="EC253">
        <v>35</v>
      </c>
      <c r="ED253" s="184" t="str">
        <f t="shared" si="11"/>
        <v>SDJ200135</v>
      </c>
      <c r="EE253">
        <v>471.7</v>
      </c>
      <c r="EF253">
        <v>10000</v>
      </c>
      <c r="EG253">
        <v>10000</v>
      </c>
      <c r="EH253">
        <v>10000</v>
      </c>
      <c r="EI253">
        <v>10000</v>
      </c>
      <c r="EJ253">
        <v>10000</v>
      </c>
      <c r="EK253">
        <v>10000</v>
      </c>
      <c r="EL253">
        <v>10000</v>
      </c>
      <c r="EM253">
        <v>10000</v>
      </c>
      <c r="EN253">
        <v>10000</v>
      </c>
      <c r="EO253">
        <v>10000</v>
      </c>
      <c r="EP253">
        <v>10000</v>
      </c>
      <c r="EQ253">
        <v>10000</v>
      </c>
      <c r="ER253">
        <v>10000</v>
      </c>
      <c r="ES253">
        <v>10000</v>
      </c>
      <c r="ET253">
        <v>10000</v>
      </c>
      <c r="EU253">
        <v>10000</v>
      </c>
      <c r="EV253">
        <v>10000</v>
      </c>
      <c r="EW253">
        <v>10000</v>
      </c>
      <c r="EX253">
        <v>10000</v>
      </c>
      <c r="EY253">
        <v>10000</v>
      </c>
      <c r="EZ253">
        <v>10000</v>
      </c>
      <c r="FA253">
        <v>10000</v>
      </c>
      <c r="FB253">
        <v>10000</v>
      </c>
      <c r="FC253">
        <v>10000</v>
      </c>
      <c r="FD253">
        <v>10000</v>
      </c>
      <c r="FE253">
        <v>10000</v>
      </c>
      <c r="FF253">
        <v>10000</v>
      </c>
      <c r="FG253">
        <v>10000</v>
      </c>
      <c r="FH253">
        <v>10000</v>
      </c>
      <c r="FI253">
        <v>10000</v>
      </c>
      <c r="FJ253">
        <v>10000</v>
      </c>
      <c r="FK253">
        <v>10000</v>
      </c>
      <c r="FL253">
        <v>10000</v>
      </c>
      <c r="FM253">
        <v>10000</v>
      </c>
      <c r="FN253">
        <v>10000</v>
      </c>
      <c r="FO253">
        <v>10000</v>
      </c>
      <c r="FP253">
        <v>10000</v>
      </c>
      <c r="FQ253">
        <v>10000</v>
      </c>
      <c r="FR253">
        <v>10000</v>
      </c>
      <c r="FS253">
        <v>10000</v>
      </c>
      <c r="FT253">
        <v>10000</v>
      </c>
      <c r="FU253">
        <v>10000</v>
      </c>
      <c r="FV253">
        <v>10000</v>
      </c>
      <c r="FW253">
        <v>10000</v>
      </c>
      <c r="FX253">
        <v>10000</v>
      </c>
      <c r="FY253">
        <v>10000</v>
      </c>
      <c r="FZ253">
        <v>10000</v>
      </c>
      <c r="GA253">
        <v>10000</v>
      </c>
      <c r="GB253">
        <v>10000</v>
      </c>
      <c r="GC253">
        <v>0</v>
      </c>
      <c r="GD253">
        <v>0</v>
      </c>
      <c r="GE253">
        <v>0</v>
      </c>
      <c r="GF253">
        <v>0</v>
      </c>
      <c r="GG253">
        <v>0</v>
      </c>
      <c r="GH253">
        <v>0</v>
      </c>
      <c r="GI253">
        <v>0</v>
      </c>
      <c r="GJ253">
        <v>0</v>
      </c>
      <c r="GK253">
        <v>0</v>
      </c>
      <c r="GL253">
        <v>0</v>
      </c>
      <c r="GM253">
        <v>0</v>
      </c>
      <c r="GN253">
        <v>0</v>
      </c>
      <c r="GO253">
        <v>0</v>
      </c>
      <c r="GP253">
        <v>0</v>
      </c>
      <c r="GQ253">
        <v>0</v>
      </c>
      <c r="GR253">
        <v>0</v>
      </c>
      <c r="GS253">
        <v>0</v>
      </c>
      <c r="GT253">
        <v>0</v>
      </c>
      <c r="GU253">
        <v>0</v>
      </c>
      <c r="GV253">
        <v>0</v>
      </c>
      <c r="GW253">
        <v>0</v>
      </c>
      <c r="GX253">
        <v>0</v>
      </c>
      <c r="GY253">
        <v>0</v>
      </c>
      <c r="GZ253">
        <v>0</v>
      </c>
      <c r="HA253">
        <v>0</v>
      </c>
      <c r="HB253">
        <v>0</v>
      </c>
      <c r="HC253">
        <v>0</v>
      </c>
      <c r="HD253">
        <v>0</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0</v>
      </c>
      <c r="IB253">
        <v>0</v>
      </c>
      <c r="IC253">
        <v>0</v>
      </c>
      <c r="ID253">
        <v>0</v>
      </c>
      <c r="IE253">
        <v>0</v>
      </c>
      <c r="IF253">
        <v>0</v>
      </c>
      <c r="IG253">
        <v>0</v>
      </c>
      <c r="IH253">
        <v>0</v>
      </c>
      <c r="II253">
        <v>0</v>
      </c>
      <c r="IJ253">
        <v>0</v>
      </c>
      <c r="IK253">
        <v>0</v>
      </c>
    </row>
    <row r="254" spans="13:245" hidden="1">
      <c r="M254" s="343" t="s">
        <v>633</v>
      </c>
      <c r="N254" t="s">
        <v>1010</v>
      </c>
      <c r="O254">
        <v>1</v>
      </c>
      <c r="P254">
        <v>36</v>
      </c>
      <c r="Q254" s="184" t="str">
        <f t="shared" si="10"/>
        <v>SDJ200136</v>
      </c>
      <c r="R254">
        <v>477</v>
      </c>
      <c r="S254">
        <v>2000</v>
      </c>
      <c r="T254">
        <v>2000</v>
      </c>
      <c r="U254">
        <v>2000</v>
      </c>
      <c r="V254">
        <v>2385</v>
      </c>
      <c r="W254">
        <v>2862</v>
      </c>
      <c r="X254">
        <v>3339</v>
      </c>
      <c r="Y254">
        <v>3816</v>
      </c>
      <c r="Z254">
        <v>4293</v>
      </c>
      <c r="AA254">
        <v>4770</v>
      </c>
      <c r="AB254">
        <v>5247</v>
      </c>
      <c r="AC254">
        <v>5724</v>
      </c>
      <c r="AD254">
        <v>6201</v>
      </c>
      <c r="AE254">
        <v>6678</v>
      </c>
      <c r="AF254">
        <v>7155</v>
      </c>
      <c r="AG254">
        <v>7632</v>
      </c>
      <c r="AH254">
        <v>8109</v>
      </c>
      <c r="AI254">
        <v>8586</v>
      </c>
      <c r="AJ254">
        <v>9063</v>
      </c>
      <c r="AK254">
        <v>9540</v>
      </c>
      <c r="AL254">
        <v>9540</v>
      </c>
      <c r="AM254">
        <v>9540</v>
      </c>
      <c r="AN254">
        <v>9540</v>
      </c>
      <c r="AO254">
        <v>9540</v>
      </c>
      <c r="AP254">
        <v>9540</v>
      </c>
      <c r="AQ254">
        <v>9540</v>
      </c>
      <c r="AR254">
        <v>9540</v>
      </c>
      <c r="AS254">
        <v>9540</v>
      </c>
      <c r="AT254">
        <v>9540</v>
      </c>
      <c r="AU254">
        <v>9540</v>
      </c>
      <c r="AV254">
        <v>9540</v>
      </c>
      <c r="AW254">
        <v>9540</v>
      </c>
      <c r="AX254">
        <v>9540</v>
      </c>
      <c r="AY254">
        <v>9540</v>
      </c>
      <c r="AZ254">
        <v>9540</v>
      </c>
      <c r="BA254">
        <v>9540</v>
      </c>
      <c r="BB254">
        <v>9540</v>
      </c>
      <c r="BC254">
        <v>9540</v>
      </c>
      <c r="BD254">
        <v>9540</v>
      </c>
      <c r="BE254">
        <v>9540</v>
      </c>
      <c r="BF254">
        <v>9540</v>
      </c>
      <c r="BG254">
        <v>9540</v>
      </c>
      <c r="BH254">
        <v>9540</v>
      </c>
      <c r="BI254">
        <v>9540</v>
      </c>
      <c r="BJ254">
        <v>9540</v>
      </c>
      <c r="BK254">
        <v>9540</v>
      </c>
      <c r="BL254">
        <v>9540</v>
      </c>
      <c r="BM254">
        <v>9540</v>
      </c>
      <c r="BN254">
        <v>9540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Z254" s="343" t="s">
        <v>633</v>
      </c>
      <c r="EA254" t="s">
        <v>1010</v>
      </c>
      <c r="EB254">
        <v>1</v>
      </c>
      <c r="EC254">
        <v>36</v>
      </c>
      <c r="ED254" s="184" t="str">
        <f t="shared" si="11"/>
        <v>SDJ200136</v>
      </c>
      <c r="EE254">
        <v>477</v>
      </c>
      <c r="EF254">
        <v>10000</v>
      </c>
      <c r="EG254">
        <v>10000</v>
      </c>
      <c r="EH254">
        <v>10000</v>
      </c>
      <c r="EI254">
        <v>10000</v>
      </c>
      <c r="EJ254">
        <v>10000</v>
      </c>
      <c r="EK254">
        <v>10000</v>
      </c>
      <c r="EL254">
        <v>10000</v>
      </c>
      <c r="EM254">
        <v>10000</v>
      </c>
      <c r="EN254">
        <v>10000</v>
      </c>
      <c r="EO254">
        <v>10000</v>
      </c>
      <c r="EP254">
        <v>10000</v>
      </c>
      <c r="EQ254">
        <v>10000</v>
      </c>
      <c r="ER254">
        <v>10000</v>
      </c>
      <c r="ES254">
        <v>10000</v>
      </c>
      <c r="ET254">
        <v>10000</v>
      </c>
      <c r="EU254">
        <v>10000</v>
      </c>
      <c r="EV254">
        <v>10000</v>
      </c>
      <c r="EW254">
        <v>10000</v>
      </c>
      <c r="EX254">
        <v>10000</v>
      </c>
      <c r="EY254">
        <v>10000</v>
      </c>
      <c r="EZ254">
        <v>10000</v>
      </c>
      <c r="FA254">
        <v>10000</v>
      </c>
      <c r="FB254">
        <v>10000</v>
      </c>
      <c r="FC254">
        <v>10000</v>
      </c>
      <c r="FD254">
        <v>10000</v>
      </c>
      <c r="FE254">
        <v>10000</v>
      </c>
      <c r="FF254">
        <v>10000</v>
      </c>
      <c r="FG254">
        <v>10000</v>
      </c>
      <c r="FH254">
        <v>10000</v>
      </c>
      <c r="FI254">
        <v>10000</v>
      </c>
      <c r="FJ254">
        <v>10000</v>
      </c>
      <c r="FK254">
        <v>10000</v>
      </c>
      <c r="FL254">
        <v>10000</v>
      </c>
      <c r="FM254">
        <v>10000</v>
      </c>
      <c r="FN254">
        <v>10000</v>
      </c>
      <c r="FO254">
        <v>10000</v>
      </c>
      <c r="FP254">
        <v>10000</v>
      </c>
      <c r="FQ254">
        <v>10000</v>
      </c>
      <c r="FR254">
        <v>10000</v>
      </c>
      <c r="FS254">
        <v>10000</v>
      </c>
      <c r="FT254">
        <v>10000</v>
      </c>
      <c r="FU254">
        <v>10000</v>
      </c>
      <c r="FV254">
        <v>10000</v>
      </c>
      <c r="FW254">
        <v>10000</v>
      </c>
      <c r="FX254">
        <v>10000</v>
      </c>
      <c r="FY254">
        <v>10000</v>
      </c>
      <c r="FZ254">
        <v>10000</v>
      </c>
      <c r="GA254">
        <v>10000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0</v>
      </c>
      <c r="HD254">
        <v>0</v>
      </c>
      <c r="HE254">
        <v>0</v>
      </c>
      <c r="HF254">
        <v>0</v>
      </c>
      <c r="HG254">
        <v>0</v>
      </c>
      <c r="HH254">
        <v>0</v>
      </c>
      <c r="HI254">
        <v>0</v>
      </c>
      <c r="HJ254">
        <v>0</v>
      </c>
      <c r="HK254">
        <v>0</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0</v>
      </c>
      <c r="IG254">
        <v>0</v>
      </c>
      <c r="IH254">
        <v>0</v>
      </c>
      <c r="II254">
        <v>0</v>
      </c>
      <c r="IJ254">
        <v>0</v>
      </c>
      <c r="IK254">
        <v>0</v>
      </c>
    </row>
    <row r="255" spans="13:245" hidden="1">
      <c r="M255" s="343" t="s">
        <v>633</v>
      </c>
      <c r="N255" t="s">
        <v>1010</v>
      </c>
      <c r="O255">
        <v>1</v>
      </c>
      <c r="P255">
        <v>37</v>
      </c>
      <c r="Q255" s="184" t="str">
        <f t="shared" si="10"/>
        <v>SDJ200137</v>
      </c>
      <c r="R255">
        <v>480.2</v>
      </c>
      <c r="S255">
        <v>2000</v>
      </c>
      <c r="T255">
        <v>2000</v>
      </c>
      <c r="U255">
        <v>2000</v>
      </c>
      <c r="V255">
        <v>2400.9</v>
      </c>
      <c r="W255">
        <v>2881.1</v>
      </c>
      <c r="X255">
        <v>3361.3</v>
      </c>
      <c r="Y255">
        <v>3841.4</v>
      </c>
      <c r="Z255">
        <v>4321.6000000000004</v>
      </c>
      <c r="AA255">
        <v>4801.8</v>
      </c>
      <c r="AB255">
        <v>5282</v>
      </c>
      <c r="AC255">
        <v>5762.2</v>
      </c>
      <c r="AD255">
        <v>6242.3</v>
      </c>
      <c r="AE255">
        <v>6722.5</v>
      </c>
      <c r="AF255">
        <v>7202.7</v>
      </c>
      <c r="AG255">
        <v>7682.9</v>
      </c>
      <c r="AH255">
        <v>8163.1</v>
      </c>
      <c r="AI255">
        <v>8643.2000000000007</v>
      </c>
      <c r="AJ255">
        <v>9123.4</v>
      </c>
      <c r="AK255">
        <v>9603.6</v>
      </c>
      <c r="AL255">
        <v>9603.6</v>
      </c>
      <c r="AM255">
        <v>9603.6</v>
      </c>
      <c r="AN255">
        <v>9603.6</v>
      </c>
      <c r="AO255">
        <v>9603.6</v>
      </c>
      <c r="AP255">
        <v>9603.6</v>
      </c>
      <c r="AQ255">
        <v>9603.6</v>
      </c>
      <c r="AR255">
        <v>9603.6</v>
      </c>
      <c r="AS255">
        <v>9603.6</v>
      </c>
      <c r="AT255">
        <v>9603.6</v>
      </c>
      <c r="AU255">
        <v>9603.6</v>
      </c>
      <c r="AV255">
        <v>9603.6</v>
      </c>
      <c r="AW255">
        <v>9603.6</v>
      </c>
      <c r="AX255">
        <v>9603.6</v>
      </c>
      <c r="AY255">
        <v>9603.6</v>
      </c>
      <c r="AZ255">
        <v>9603.6</v>
      </c>
      <c r="BA255">
        <v>9603.6</v>
      </c>
      <c r="BB255">
        <v>9603.6</v>
      </c>
      <c r="BC255">
        <v>9603.6</v>
      </c>
      <c r="BD255">
        <v>9603.6</v>
      </c>
      <c r="BE255">
        <v>9603.6</v>
      </c>
      <c r="BF255">
        <v>9603.6</v>
      </c>
      <c r="BG255">
        <v>9603.6</v>
      </c>
      <c r="BH255">
        <v>9603.6</v>
      </c>
      <c r="BI255">
        <v>9603.6</v>
      </c>
      <c r="BJ255">
        <v>9603.6</v>
      </c>
      <c r="BK255">
        <v>9603.6</v>
      </c>
      <c r="BL255">
        <v>9603.6</v>
      </c>
      <c r="BM255">
        <v>9603.6</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Z255" s="343" t="s">
        <v>633</v>
      </c>
      <c r="EA255" t="s">
        <v>1010</v>
      </c>
      <c r="EB255">
        <v>1</v>
      </c>
      <c r="EC255">
        <v>37</v>
      </c>
      <c r="ED255" s="184" t="str">
        <f t="shared" si="11"/>
        <v>SDJ200137</v>
      </c>
      <c r="EE255">
        <v>480.2</v>
      </c>
      <c r="EF255">
        <v>10000</v>
      </c>
      <c r="EG255">
        <v>10000</v>
      </c>
      <c r="EH255">
        <v>10000</v>
      </c>
      <c r="EI255">
        <v>10000</v>
      </c>
      <c r="EJ255">
        <v>10000</v>
      </c>
      <c r="EK255">
        <v>10000</v>
      </c>
      <c r="EL255">
        <v>10000</v>
      </c>
      <c r="EM255">
        <v>10000</v>
      </c>
      <c r="EN255">
        <v>10000</v>
      </c>
      <c r="EO255">
        <v>10000</v>
      </c>
      <c r="EP255">
        <v>10000</v>
      </c>
      <c r="EQ255">
        <v>10000</v>
      </c>
      <c r="ER255">
        <v>10000</v>
      </c>
      <c r="ES255">
        <v>10000</v>
      </c>
      <c r="ET255">
        <v>10000</v>
      </c>
      <c r="EU255">
        <v>10000</v>
      </c>
      <c r="EV255">
        <v>10000</v>
      </c>
      <c r="EW255">
        <v>10000</v>
      </c>
      <c r="EX255">
        <v>10000</v>
      </c>
      <c r="EY255">
        <v>10000</v>
      </c>
      <c r="EZ255">
        <v>10000</v>
      </c>
      <c r="FA255">
        <v>10000</v>
      </c>
      <c r="FB255">
        <v>10000</v>
      </c>
      <c r="FC255">
        <v>10000</v>
      </c>
      <c r="FD255">
        <v>10000</v>
      </c>
      <c r="FE255">
        <v>10000</v>
      </c>
      <c r="FF255">
        <v>10000</v>
      </c>
      <c r="FG255">
        <v>10000</v>
      </c>
      <c r="FH255">
        <v>10000</v>
      </c>
      <c r="FI255">
        <v>10000</v>
      </c>
      <c r="FJ255">
        <v>10000</v>
      </c>
      <c r="FK255">
        <v>10000</v>
      </c>
      <c r="FL255">
        <v>10000</v>
      </c>
      <c r="FM255">
        <v>10000</v>
      </c>
      <c r="FN255">
        <v>10000</v>
      </c>
      <c r="FO255">
        <v>10000</v>
      </c>
      <c r="FP255">
        <v>10000</v>
      </c>
      <c r="FQ255">
        <v>10000</v>
      </c>
      <c r="FR255">
        <v>10000</v>
      </c>
      <c r="FS255">
        <v>10000</v>
      </c>
      <c r="FT255">
        <v>10000</v>
      </c>
      <c r="FU255">
        <v>10000</v>
      </c>
      <c r="FV255">
        <v>10000</v>
      </c>
      <c r="FW255">
        <v>10000</v>
      </c>
      <c r="FX255">
        <v>10000</v>
      </c>
      <c r="FY255">
        <v>10000</v>
      </c>
      <c r="FZ255">
        <v>10000</v>
      </c>
      <c r="GA255">
        <v>0</v>
      </c>
      <c r="GB255">
        <v>0</v>
      </c>
      <c r="GC255">
        <v>0</v>
      </c>
      <c r="GD255">
        <v>0</v>
      </c>
      <c r="GE255">
        <v>0</v>
      </c>
      <c r="GF255">
        <v>0</v>
      </c>
      <c r="GG255">
        <v>0</v>
      </c>
      <c r="GH255">
        <v>0</v>
      </c>
      <c r="GI255">
        <v>0</v>
      </c>
      <c r="GJ255">
        <v>0</v>
      </c>
      <c r="GK255">
        <v>0</v>
      </c>
      <c r="GL255">
        <v>0</v>
      </c>
      <c r="GM255">
        <v>0</v>
      </c>
      <c r="GN255">
        <v>0</v>
      </c>
      <c r="GO255">
        <v>0</v>
      </c>
      <c r="GP255">
        <v>0</v>
      </c>
      <c r="GQ255">
        <v>0</v>
      </c>
      <c r="GR255">
        <v>0</v>
      </c>
      <c r="GS255">
        <v>0</v>
      </c>
      <c r="GT255">
        <v>0</v>
      </c>
      <c r="GU255">
        <v>0</v>
      </c>
      <c r="GV255">
        <v>0</v>
      </c>
      <c r="GW255">
        <v>0</v>
      </c>
      <c r="GX255">
        <v>0</v>
      </c>
      <c r="GY255">
        <v>0</v>
      </c>
      <c r="GZ255">
        <v>0</v>
      </c>
      <c r="HA255">
        <v>0</v>
      </c>
      <c r="HB255">
        <v>0</v>
      </c>
      <c r="HC255">
        <v>0</v>
      </c>
      <c r="HD255">
        <v>0</v>
      </c>
      <c r="HE255">
        <v>0</v>
      </c>
      <c r="HF255">
        <v>0</v>
      </c>
      <c r="HG255">
        <v>0</v>
      </c>
      <c r="HH255">
        <v>0</v>
      </c>
      <c r="HI255">
        <v>0</v>
      </c>
      <c r="HJ255">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c r="IK255">
        <v>0</v>
      </c>
    </row>
    <row r="256" spans="13:245" hidden="1">
      <c r="M256" s="343" t="s">
        <v>633</v>
      </c>
      <c r="N256" t="s">
        <v>1010</v>
      </c>
      <c r="O256">
        <v>1</v>
      </c>
      <c r="P256">
        <v>38</v>
      </c>
      <c r="Q256" s="184" t="str">
        <f t="shared" si="10"/>
        <v>SDJ200138</v>
      </c>
      <c r="R256">
        <v>485.5</v>
      </c>
      <c r="S256">
        <v>2000</v>
      </c>
      <c r="T256">
        <v>2000</v>
      </c>
      <c r="U256">
        <v>2000</v>
      </c>
      <c r="V256">
        <v>2427.4</v>
      </c>
      <c r="W256">
        <v>2912.9</v>
      </c>
      <c r="X256">
        <v>3398.4</v>
      </c>
      <c r="Y256">
        <v>3883.8</v>
      </c>
      <c r="Z256">
        <v>4369.3</v>
      </c>
      <c r="AA256">
        <v>4854.8</v>
      </c>
      <c r="AB256">
        <v>5340.3</v>
      </c>
      <c r="AC256">
        <v>5825.8</v>
      </c>
      <c r="AD256">
        <v>6311.2</v>
      </c>
      <c r="AE256">
        <v>6796.7</v>
      </c>
      <c r="AF256">
        <v>7282.2</v>
      </c>
      <c r="AG256">
        <v>7767.7</v>
      </c>
      <c r="AH256">
        <v>8253.2000000000007</v>
      </c>
      <c r="AI256">
        <v>8738.6</v>
      </c>
      <c r="AJ256">
        <v>9224.1</v>
      </c>
      <c r="AK256">
        <v>9709.6</v>
      </c>
      <c r="AL256">
        <v>9709.6</v>
      </c>
      <c r="AM256">
        <v>9709.6</v>
      </c>
      <c r="AN256">
        <v>9709.6</v>
      </c>
      <c r="AO256">
        <v>9709.6</v>
      </c>
      <c r="AP256">
        <v>9709.6</v>
      </c>
      <c r="AQ256">
        <v>9709.6</v>
      </c>
      <c r="AR256">
        <v>9709.6</v>
      </c>
      <c r="AS256">
        <v>9709.6</v>
      </c>
      <c r="AT256">
        <v>9709.6</v>
      </c>
      <c r="AU256">
        <v>9709.6</v>
      </c>
      <c r="AV256">
        <v>9709.6</v>
      </c>
      <c r="AW256">
        <v>9709.6</v>
      </c>
      <c r="AX256">
        <v>9709.6</v>
      </c>
      <c r="AY256">
        <v>9709.6</v>
      </c>
      <c r="AZ256">
        <v>9709.6</v>
      </c>
      <c r="BA256">
        <v>9709.6</v>
      </c>
      <c r="BB256">
        <v>9709.6</v>
      </c>
      <c r="BC256">
        <v>9709.6</v>
      </c>
      <c r="BD256">
        <v>9709.6</v>
      </c>
      <c r="BE256">
        <v>9709.6</v>
      </c>
      <c r="BF256">
        <v>9709.6</v>
      </c>
      <c r="BG256">
        <v>9709.6</v>
      </c>
      <c r="BH256">
        <v>9709.6</v>
      </c>
      <c r="BI256">
        <v>9709.6</v>
      </c>
      <c r="BJ256">
        <v>9709.6</v>
      </c>
      <c r="BK256">
        <v>9709.6</v>
      </c>
      <c r="BL256">
        <v>9709.6</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Z256" s="343" t="s">
        <v>633</v>
      </c>
      <c r="EA256" t="s">
        <v>1010</v>
      </c>
      <c r="EB256">
        <v>1</v>
      </c>
      <c r="EC256">
        <v>38</v>
      </c>
      <c r="ED256" s="184" t="str">
        <f t="shared" si="11"/>
        <v>SDJ200138</v>
      </c>
      <c r="EE256">
        <v>485.5</v>
      </c>
      <c r="EF256">
        <v>10000</v>
      </c>
      <c r="EG256">
        <v>10000</v>
      </c>
      <c r="EH256">
        <v>10000</v>
      </c>
      <c r="EI256">
        <v>10000</v>
      </c>
      <c r="EJ256">
        <v>10000</v>
      </c>
      <c r="EK256">
        <v>10000</v>
      </c>
      <c r="EL256">
        <v>10000</v>
      </c>
      <c r="EM256">
        <v>10000</v>
      </c>
      <c r="EN256">
        <v>10000</v>
      </c>
      <c r="EO256">
        <v>10000</v>
      </c>
      <c r="EP256">
        <v>10000</v>
      </c>
      <c r="EQ256">
        <v>10000</v>
      </c>
      <c r="ER256">
        <v>10000</v>
      </c>
      <c r="ES256">
        <v>10000</v>
      </c>
      <c r="ET256">
        <v>10000</v>
      </c>
      <c r="EU256">
        <v>10000</v>
      </c>
      <c r="EV256">
        <v>10000</v>
      </c>
      <c r="EW256">
        <v>10000</v>
      </c>
      <c r="EX256">
        <v>10000</v>
      </c>
      <c r="EY256">
        <v>10000</v>
      </c>
      <c r="EZ256">
        <v>10000</v>
      </c>
      <c r="FA256">
        <v>10000</v>
      </c>
      <c r="FB256">
        <v>10000</v>
      </c>
      <c r="FC256">
        <v>10000</v>
      </c>
      <c r="FD256">
        <v>10000</v>
      </c>
      <c r="FE256">
        <v>10000</v>
      </c>
      <c r="FF256">
        <v>10000</v>
      </c>
      <c r="FG256">
        <v>10000</v>
      </c>
      <c r="FH256">
        <v>10000</v>
      </c>
      <c r="FI256">
        <v>10000</v>
      </c>
      <c r="FJ256">
        <v>10000</v>
      </c>
      <c r="FK256">
        <v>10000</v>
      </c>
      <c r="FL256">
        <v>10000</v>
      </c>
      <c r="FM256">
        <v>10000</v>
      </c>
      <c r="FN256">
        <v>10000</v>
      </c>
      <c r="FO256">
        <v>10000</v>
      </c>
      <c r="FP256">
        <v>10000</v>
      </c>
      <c r="FQ256">
        <v>10000</v>
      </c>
      <c r="FR256">
        <v>10000</v>
      </c>
      <c r="FS256">
        <v>10000</v>
      </c>
      <c r="FT256">
        <v>10000</v>
      </c>
      <c r="FU256">
        <v>10000</v>
      </c>
      <c r="FV256">
        <v>10000</v>
      </c>
      <c r="FW256">
        <v>10000</v>
      </c>
      <c r="FX256">
        <v>10000</v>
      </c>
      <c r="FY256">
        <v>10000</v>
      </c>
      <c r="FZ256">
        <v>0</v>
      </c>
      <c r="GA256">
        <v>0</v>
      </c>
      <c r="GB256">
        <v>0</v>
      </c>
      <c r="GC256">
        <v>0</v>
      </c>
      <c r="GD256">
        <v>0</v>
      </c>
      <c r="GE256">
        <v>0</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0</v>
      </c>
      <c r="HF256">
        <v>0</v>
      </c>
      <c r="HG256">
        <v>0</v>
      </c>
      <c r="HH256">
        <v>0</v>
      </c>
      <c r="HI256">
        <v>0</v>
      </c>
      <c r="HJ256">
        <v>0</v>
      </c>
      <c r="HK256">
        <v>0</v>
      </c>
      <c r="HL256">
        <v>0</v>
      </c>
      <c r="HM256">
        <v>0</v>
      </c>
      <c r="HN256">
        <v>0</v>
      </c>
      <c r="HO256">
        <v>0</v>
      </c>
      <c r="HP256">
        <v>0</v>
      </c>
      <c r="HQ256">
        <v>0</v>
      </c>
      <c r="HR256">
        <v>0</v>
      </c>
      <c r="HS256">
        <v>0</v>
      </c>
      <c r="HT256">
        <v>0</v>
      </c>
      <c r="HU256">
        <v>0</v>
      </c>
      <c r="HV256">
        <v>0</v>
      </c>
      <c r="HW256">
        <v>0</v>
      </c>
      <c r="HX256">
        <v>0</v>
      </c>
      <c r="HY256">
        <v>0</v>
      </c>
      <c r="HZ256">
        <v>0</v>
      </c>
      <c r="IA256">
        <v>0</v>
      </c>
      <c r="IB256">
        <v>0</v>
      </c>
      <c r="IC256">
        <v>0</v>
      </c>
      <c r="ID256">
        <v>0</v>
      </c>
      <c r="IE256">
        <v>0</v>
      </c>
      <c r="IF256">
        <v>0</v>
      </c>
      <c r="IG256">
        <v>0</v>
      </c>
      <c r="IH256">
        <v>0</v>
      </c>
      <c r="II256">
        <v>0</v>
      </c>
      <c r="IJ256">
        <v>0</v>
      </c>
      <c r="IK256">
        <v>0</v>
      </c>
    </row>
    <row r="257" spans="13:245" hidden="1">
      <c r="M257" s="343" t="s">
        <v>633</v>
      </c>
      <c r="N257" t="s">
        <v>1010</v>
      </c>
      <c r="O257">
        <v>1</v>
      </c>
      <c r="P257">
        <v>39</v>
      </c>
      <c r="Q257" s="184" t="str">
        <f t="shared" si="10"/>
        <v>SDJ200139</v>
      </c>
      <c r="R257">
        <v>491.8</v>
      </c>
      <c r="S257">
        <v>2000</v>
      </c>
      <c r="T257">
        <v>2000</v>
      </c>
      <c r="U257">
        <v>2000</v>
      </c>
      <c r="V257">
        <v>2459.1999999999998</v>
      </c>
      <c r="W257">
        <v>2951</v>
      </c>
      <c r="X257">
        <v>3442.9</v>
      </c>
      <c r="Y257">
        <v>3934.7</v>
      </c>
      <c r="Z257">
        <v>4426.6000000000004</v>
      </c>
      <c r="AA257">
        <v>4918.3999999999996</v>
      </c>
      <c r="AB257">
        <v>5410.2</v>
      </c>
      <c r="AC257">
        <v>5902.1</v>
      </c>
      <c r="AD257">
        <v>6393.9</v>
      </c>
      <c r="AE257">
        <v>6885.8</v>
      </c>
      <c r="AF257">
        <v>7377.6</v>
      </c>
      <c r="AG257">
        <v>7869.4</v>
      </c>
      <c r="AH257">
        <v>8361.2999999999993</v>
      </c>
      <c r="AI257">
        <v>8853.1</v>
      </c>
      <c r="AJ257">
        <v>9345</v>
      </c>
      <c r="AK257">
        <v>9836.7999999999993</v>
      </c>
      <c r="AL257">
        <v>9836.7999999999993</v>
      </c>
      <c r="AM257">
        <v>9836.7999999999993</v>
      </c>
      <c r="AN257">
        <v>9836.7999999999993</v>
      </c>
      <c r="AO257">
        <v>9836.7999999999993</v>
      </c>
      <c r="AP257">
        <v>9836.7999999999993</v>
      </c>
      <c r="AQ257">
        <v>9836.7999999999993</v>
      </c>
      <c r="AR257">
        <v>9836.7999999999993</v>
      </c>
      <c r="AS257">
        <v>9836.7999999999993</v>
      </c>
      <c r="AT257">
        <v>9836.7999999999993</v>
      </c>
      <c r="AU257">
        <v>9836.7999999999993</v>
      </c>
      <c r="AV257">
        <v>9836.7999999999993</v>
      </c>
      <c r="AW257">
        <v>9836.7999999999993</v>
      </c>
      <c r="AX257">
        <v>9836.7999999999993</v>
      </c>
      <c r="AY257">
        <v>9836.7999999999993</v>
      </c>
      <c r="AZ257">
        <v>9836.7999999999993</v>
      </c>
      <c r="BA257">
        <v>9836.7999999999993</v>
      </c>
      <c r="BB257">
        <v>9836.7999999999993</v>
      </c>
      <c r="BC257">
        <v>9836.7999999999993</v>
      </c>
      <c r="BD257">
        <v>9836.7999999999993</v>
      </c>
      <c r="BE257">
        <v>9836.7999999999993</v>
      </c>
      <c r="BF257">
        <v>9836.7999999999993</v>
      </c>
      <c r="BG257">
        <v>9836.7999999999993</v>
      </c>
      <c r="BH257">
        <v>9836.7999999999993</v>
      </c>
      <c r="BI257">
        <v>9836.7999999999993</v>
      </c>
      <c r="BJ257">
        <v>9836.7999999999993</v>
      </c>
      <c r="BK257">
        <v>9836.7999999999993</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Z257" s="343" t="s">
        <v>633</v>
      </c>
      <c r="EA257" t="s">
        <v>1010</v>
      </c>
      <c r="EB257">
        <v>1</v>
      </c>
      <c r="EC257">
        <v>39</v>
      </c>
      <c r="ED257" s="184" t="str">
        <f t="shared" si="11"/>
        <v>SDJ200139</v>
      </c>
      <c r="EE257">
        <v>491.8</v>
      </c>
      <c r="EF257">
        <v>10000</v>
      </c>
      <c r="EG257">
        <v>10000</v>
      </c>
      <c r="EH257">
        <v>10000</v>
      </c>
      <c r="EI257">
        <v>10000</v>
      </c>
      <c r="EJ257">
        <v>10000</v>
      </c>
      <c r="EK257">
        <v>10000</v>
      </c>
      <c r="EL257">
        <v>10000</v>
      </c>
      <c r="EM257">
        <v>10000</v>
      </c>
      <c r="EN257">
        <v>10000</v>
      </c>
      <c r="EO257">
        <v>10000</v>
      </c>
      <c r="EP257">
        <v>10000</v>
      </c>
      <c r="EQ257">
        <v>10000</v>
      </c>
      <c r="ER257">
        <v>10000</v>
      </c>
      <c r="ES257">
        <v>10000</v>
      </c>
      <c r="ET257">
        <v>10000</v>
      </c>
      <c r="EU257">
        <v>10000</v>
      </c>
      <c r="EV257">
        <v>10000</v>
      </c>
      <c r="EW257">
        <v>10000</v>
      </c>
      <c r="EX257">
        <v>10000</v>
      </c>
      <c r="EY257">
        <v>10000</v>
      </c>
      <c r="EZ257">
        <v>10000</v>
      </c>
      <c r="FA257">
        <v>10000</v>
      </c>
      <c r="FB257">
        <v>10000</v>
      </c>
      <c r="FC257">
        <v>10000</v>
      </c>
      <c r="FD257">
        <v>10000</v>
      </c>
      <c r="FE257">
        <v>10000</v>
      </c>
      <c r="FF257">
        <v>10000</v>
      </c>
      <c r="FG257">
        <v>10000</v>
      </c>
      <c r="FH257">
        <v>10000</v>
      </c>
      <c r="FI257">
        <v>10000</v>
      </c>
      <c r="FJ257">
        <v>10000</v>
      </c>
      <c r="FK257">
        <v>10000</v>
      </c>
      <c r="FL257">
        <v>10000</v>
      </c>
      <c r="FM257">
        <v>10000</v>
      </c>
      <c r="FN257">
        <v>10000</v>
      </c>
      <c r="FO257">
        <v>10000</v>
      </c>
      <c r="FP257">
        <v>10000</v>
      </c>
      <c r="FQ257">
        <v>10000</v>
      </c>
      <c r="FR257">
        <v>10000</v>
      </c>
      <c r="FS257">
        <v>10000</v>
      </c>
      <c r="FT257">
        <v>10000</v>
      </c>
      <c r="FU257">
        <v>10000</v>
      </c>
      <c r="FV257">
        <v>10000</v>
      </c>
      <c r="FW257">
        <v>10000</v>
      </c>
      <c r="FX257">
        <v>10000</v>
      </c>
      <c r="FY257">
        <v>0</v>
      </c>
      <c r="FZ257">
        <v>0</v>
      </c>
      <c r="GA257">
        <v>0</v>
      </c>
      <c r="GB257">
        <v>0</v>
      </c>
      <c r="GC257">
        <v>0</v>
      </c>
      <c r="GD257">
        <v>0</v>
      </c>
      <c r="GE257">
        <v>0</v>
      </c>
      <c r="GF257">
        <v>0</v>
      </c>
      <c r="GG257">
        <v>0</v>
      </c>
      <c r="GH257">
        <v>0</v>
      </c>
      <c r="GI257">
        <v>0</v>
      </c>
      <c r="GJ257">
        <v>0</v>
      </c>
      <c r="GK257">
        <v>0</v>
      </c>
      <c r="GL257">
        <v>0</v>
      </c>
      <c r="GM257">
        <v>0</v>
      </c>
      <c r="GN257">
        <v>0</v>
      </c>
      <c r="GO257">
        <v>0</v>
      </c>
      <c r="GP257">
        <v>0</v>
      </c>
      <c r="GQ257">
        <v>0</v>
      </c>
      <c r="GR257">
        <v>0</v>
      </c>
      <c r="GS257">
        <v>0</v>
      </c>
      <c r="GT257">
        <v>0</v>
      </c>
      <c r="GU257">
        <v>0</v>
      </c>
      <c r="GV257">
        <v>0</v>
      </c>
      <c r="GW257">
        <v>0</v>
      </c>
      <c r="GX257">
        <v>0</v>
      </c>
      <c r="GY257">
        <v>0</v>
      </c>
      <c r="GZ257">
        <v>0</v>
      </c>
      <c r="HA257">
        <v>0</v>
      </c>
      <c r="HB257">
        <v>0</v>
      </c>
      <c r="HC257">
        <v>0</v>
      </c>
      <c r="HD257">
        <v>0</v>
      </c>
      <c r="HE257">
        <v>0</v>
      </c>
      <c r="HF257">
        <v>0</v>
      </c>
      <c r="HG257">
        <v>0</v>
      </c>
      <c r="HH257">
        <v>0</v>
      </c>
      <c r="HI257">
        <v>0</v>
      </c>
      <c r="HJ257">
        <v>0</v>
      </c>
      <c r="HK257">
        <v>0</v>
      </c>
      <c r="HL257">
        <v>0</v>
      </c>
      <c r="HM257">
        <v>0</v>
      </c>
      <c r="HN257">
        <v>0</v>
      </c>
      <c r="HO257">
        <v>0</v>
      </c>
      <c r="HP257">
        <v>0</v>
      </c>
      <c r="HQ257">
        <v>0</v>
      </c>
      <c r="HR257">
        <v>0</v>
      </c>
      <c r="HS257">
        <v>0</v>
      </c>
      <c r="HT257">
        <v>0</v>
      </c>
      <c r="HU257">
        <v>0</v>
      </c>
      <c r="HV257">
        <v>0</v>
      </c>
      <c r="HW257">
        <v>0</v>
      </c>
      <c r="HX257">
        <v>0</v>
      </c>
      <c r="HY257">
        <v>0</v>
      </c>
      <c r="HZ257">
        <v>0</v>
      </c>
      <c r="IA257">
        <v>0</v>
      </c>
      <c r="IB257">
        <v>0</v>
      </c>
      <c r="IC257">
        <v>0</v>
      </c>
      <c r="ID257">
        <v>0</v>
      </c>
      <c r="IE257">
        <v>0</v>
      </c>
      <c r="IF257">
        <v>0</v>
      </c>
      <c r="IG257">
        <v>0</v>
      </c>
      <c r="IH257">
        <v>0</v>
      </c>
      <c r="II257">
        <v>0</v>
      </c>
      <c r="IJ257">
        <v>0</v>
      </c>
      <c r="IK257">
        <v>0</v>
      </c>
    </row>
    <row r="258" spans="13:245" hidden="1">
      <c r="M258" s="343" t="s">
        <v>633</v>
      </c>
      <c r="N258" t="s">
        <v>1010</v>
      </c>
      <c r="O258">
        <v>1</v>
      </c>
      <c r="P258">
        <v>40</v>
      </c>
      <c r="Q258" s="184" t="str">
        <f t="shared" si="10"/>
        <v>SDJ200140</v>
      </c>
      <c r="R258">
        <v>508.8</v>
      </c>
      <c r="S258">
        <v>2000</v>
      </c>
      <c r="T258">
        <v>2000</v>
      </c>
      <c r="U258">
        <v>2035.2</v>
      </c>
      <c r="V258">
        <v>2544</v>
      </c>
      <c r="W258">
        <v>3052.8</v>
      </c>
      <c r="X258">
        <v>3561.6</v>
      </c>
      <c r="Y258">
        <v>4070.4</v>
      </c>
      <c r="Z258">
        <v>4579.2</v>
      </c>
      <c r="AA258">
        <v>5088</v>
      </c>
      <c r="AB258">
        <v>5596.8</v>
      </c>
      <c r="AC258">
        <v>6105.6</v>
      </c>
      <c r="AD258">
        <v>6614.4</v>
      </c>
      <c r="AE258">
        <v>7123.2</v>
      </c>
      <c r="AF258">
        <v>7632</v>
      </c>
      <c r="AG258">
        <v>8140.8</v>
      </c>
      <c r="AH258">
        <v>8649.6</v>
      </c>
      <c r="AI258">
        <v>9158.4</v>
      </c>
      <c r="AJ258">
        <v>9667.2000000000007</v>
      </c>
      <c r="AK258">
        <v>10176</v>
      </c>
      <c r="AL258">
        <v>10176</v>
      </c>
      <c r="AM258">
        <v>10176</v>
      </c>
      <c r="AN258">
        <v>10176</v>
      </c>
      <c r="AO258">
        <v>10176</v>
      </c>
      <c r="AP258">
        <v>10176</v>
      </c>
      <c r="AQ258">
        <v>10176</v>
      </c>
      <c r="AR258">
        <v>10176</v>
      </c>
      <c r="AS258">
        <v>10176</v>
      </c>
      <c r="AT258">
        <v>10176</v>
      </c>
      <c r="AU258">
        <v>10176</v>
      </c>
      <c r="AV258">
        <v>10176</v>
      </c>
      <c r="AW258">
        <v>10176</v>
      </c>
      <c r="AX258">
        <v>10176</v>
      </c>
      <c r="AY258">
        <v>10176</v>
      </c>
      <c r="AZ258">
        <v>10176</v>
      </c>
      <c r="BA258">
        <v>10176</v>
      </c>
      <c r="BB258">
        <v>10176</v>
      </c>
      <c r="BC258">
        <v>10176</v>
      </c>
      <c r="BD258">
        <v>10176</v>
      </c>
      <c r="BE258">
        <v>10176</v>
      </c>
      <c r="BF258">
        <v>10176</v>
      </c>
      <c r="BG258">
        <v>10176</v>
      </c>
      <c r="BH258">
        <v>10176</v>
      </c>
      <c r="BI258">
        <v>10176</v>
      </c>
      <c r="BJ258">
        <v>10176</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Z258" s="343" t="s">
        <v>633</v>
      </c>
      <c r="EA258" t="s">
        <v>1010</v>
      </c>
      <c r="EB258">
        <v>1</v>
      </c>
      <c r="EC258">
        <v>40</v>
      </c>
      <c r="ED258" s="184" t="str">
        <f t="shared" si="11"/>
        <v>SDJ200140</v>
      </c>
      <c r="EE258">
        <v>508.8</v>
      </c>
      <c r="EF258">
        <v>10000</v>
      </c>
      <c r="EG258">
        <v>10000</v>
      </c>
      <c r="EH258">
        <v>10000</v>
      </c>
      <c r="EI258">
        <v>10000</v>
      </c>
      <c r="EJ258">
        <v>10000</v>
      </c>
      <c r="EK258">
        <v>10000</v>
      </c>
      <c r="EL258">
        <v>10000</v>
      </c>
      <c r="EM258">
        <v>10000</v>
      </c>
      <c r="EN258">
        <v>10000</v>
      </c>
      <c r="EO258">
        <v>10000</v>
      </c>
      <c r="EP258">
        <v>10000</v>
      </c>
      <c r="EQ258">
        <v>10000</v>
      </c>
      <c r="ER258">
        <v>10000</v>
      </c>
      <c r="ES258">
        <v>10000</v>
      </c>
      <c r="ET258">
        <v>10000</v>
      </c>
      <c r="EU258">
        <v>10000</v>
      </c>
      <c r="EV258">
        <v>10000</v>
      </c>
      <c r="EW258">
        <v>10000</v>
      </c>
      <c r="EX258">
        <v>10176</v>
      </c>
      <c r="EY258">
        <v>10176</v>
      </c>
      <c r="EZ258">
        <v>10176</v>
      </c>
      <c r="FA258">
        <v>10176</v>
      </c>
      <c r="FB258">
        <v>10176</v>
      </c>
      <c r="FC258">
        <v>10176</v>
      </c>
      <c r="FD258">
        <v>10176</v>
      </c>
      <c r="FE258">
        <v>10176</v>
      </c>
      <c r="FF258">
        <v>10176</v>
      </c>
      <c r="FG258">
        <v>10176</v>
      </c>
      <c r="FH258">
        <v>10176</v>
      </c>
      <c r="FI258">
        <v>10176</v>
      </c>
      <c r="FJ258">
        <v>10176</v>
      </c>
      <c r="FK258">
        <v>10176</v>
      </c>
      <c r="FL258">
        <v>10176</v>
      </c>
      <c r="FM258">
        <v>10176</v>
      </c>
      <c r="FN258">
        <v>10176</v>
      </c>
      <c r="FO258">
        <v>10176</v>
      </c>
      <c r="FP258">
        <v>10176</v>
      </c>
      <c r="FQ258">
        <v>10176</v>
      </c>
      <c r="FR258">
        <v>10176</v>
      </c>
      <c r="FS258">
        <v>10176</v>
      </c>
      <c r="FT258">
        <v>10176</v>
      </c>
      <c r="FU258">
        <v>10176</v>
      </c>
      <c r="FV258">
        <v>10176</v>
      </c>
      <c r="FW258">
        <v>10176</v>
      </c>
      <c r="FX258">
        <v>0</v>
      </c>
      <c r="FY258">
        <v>0</v>
      </c>
      <c r="FZ258">
        <v>0</v>
      </c>
      <c r="GA258">
        <v>0</v>
      </c>
      <c r="GB258">
        <v>0</v>
      </c>
      <c r="GC258">
        <v>0</v>
      </c>
      <c r="GD258">
        <v>0</v>
      </c>
      <c r="GE258">
        <v>0</v>
      </c>
      <c r="GF258">
        <v>0</v>
      </c>
      <c r="GG258">
        <v>0</v>
      </c>
      <c r="GH258">
        <v>0</v>
      </c>
      <c r="GI258">
        <v>0</v>
      </c>
      <c r="GJ258">
        <v>0</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0</v>
      </c>
      <c r="HW258">
        <v>0</v>
      </c>
      <c r="HX258">
        <v>0</v>
      </c>
      <c r="HY258">
        <v>0</v>
      </c>
      <c r="HZ258">
        <v>0</v>
      </c>
      <c r="IA258">
        <v>0</v>
      </c>
      <c r="IB258">
        <v>0</v>
      </c>
      <c r="IC258">
        <v>0</v>
      </c>
      <c r="ID258">
        <v>0</v>
      </c>
      <c r="IE258">
        <v>0</v>
      </c>
      <c r="IF258">
        <v>0</v>
      </c>
      <c r="IG258">
        <v>0</v>
      </c>
      <c r="IH258">
        <v>0</v>
      </c>
      <c r="II258">
        <v>0</v>
      </c>
      <c r="IJ258">
        <v>0</v>
      </c>
      <c r="IK258">
        <v>0</v>
      </c>
    </row>
    <row r="259" spans="13:245" hidden="1">
      <c r="M259" s="343" t="s">
        <v>633</v>
      </c>
      <c r="N259" t="s">
        <v>1010</v>
      </c>
      <c r="O259">
        <v>1</v>
      </c>
      <c r="P259">
        <v>41</v>
      </c>
      <c r="Q259" s="184" t="str">
        <f t="shared" si="10"/>
        <v>SDJ200141</v>
      </c>
      <c r="R259">
        <v>536.4</v>
      </c>
      <c r="S259">
        <v>2000</v>
      </c>
      <c r="T259">
        <v>2000</v>
      </c>
      <c r="U259">
        <v>2145.4</v>
      </c>
      <c r="V259">
        <v>2681.8</v>
      </c>
      <c r="W259">
        <v>3218.2</v>
      </c>
      <c r="X259">
        <v>3754.5</v>
      </c>
      <c r="Y259">
        <v>4290.8999999999996</v>
      </c>
      <c r="Z259">
        <v>4827.2</v>
      </c>
      <c r="AA259">
        <v>5363.6</v>
      </c>
      <c r="AB259">
        <v>5900</v>
      </c>
      <c r="AC259">
        <v>6436.3</v>
      </c>
      <c r="AD259">
        <v>6972.7</v>
      </c>
      <c r="AE259">
        <v>7509</v>
      </c>
      <c r="AF259">
        <v>8045.4</v>
      </c>
      <c r="AG259">
        <v>8581.7999999999993</v>
      </c>
      <c r="AH259">
        <v>9118.1</v>
      </c>
      <c r="AI259">
        <v>9654.5</v>
      </c>
      <c r="AJ259">
        <v>10190.799999999999</v>
      </c>
      <c r="AK259">
        <v>10727.2</v>
      </c>
      <c r="AL259">
        <v>10727.2</v>
      </c>
      <c r="AM259">
        <v>10727.2</v>
      </c>
      <c r="AN259">
        <v>10727.2</v>
      </c>
      <c r="AO259">
        <v>10727.2</v>
      </c>
      <c r="AP259">
        <v>10727.2</v>
      </c>
      <c r="AQ259">
        <v>10727.2</v>
      </c>
      <c r="AR259">
        <v>10727.2</v>
      </c>
      <c r="AS259">
        <v>10727.2</v>
      </c>
      <c r="AT259">
        <v>10727.2</v>
      </c>
      <c r="AU259">
        <v>10727.2</v>
      </c>
      <c r="AV259">
        <v>10727.2</v>
      </c>
      <c r="AW259">
        <v>10727.2</v>
      </c>
      <c r="AX259">
        <v>10727.2</v>
      </c>
      <c r="AY259">
        <v>10727.2</v>
      </c>
      <c r="AZ259">
        <v>10727.2</v>
      </c>
      <c r="BA259">
        <v>10727.2</v>
      </c>
      <c r="BB259">
        <v>10727.2</v>
      </c>
      <c r="BC259">
        <v>10727.2</v>
      </c>
      <c r="BD259">
        <v>10727.2</v>
      </c>
      <c r="BE259">
        <v>10727.2</v>
      </c>
      <c r="BF259">
        <v>10727.2</v>
      </c>
      <c r="BG259">
        <v>10727.2</v>
      </c>
      <c r="BH259">
        <v>10727.2</v>
      </c>
      <c r="BI259">
        <v>10727.2</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Z259" s="343" t="s">
        <v>633</v>
      </c>
      <c r="EA259" t="s">
        <v>1010</v>
      </c>
      <c r="EB259">
        <v>1</v>
      </c>
      <c r="EC259">
        <v>41</v>
      </c>
      <c r="ED259" s="184" t="str">
        <f t="shared" si="11"/>
        <v>SDJ200141</v>
      </c>
      <c r="EE259">
        <v>536.4</v>
      </c>
      <c r="EF259">
        <v>10000</v>
      </c>
      <c r="EG259">
        <v>10000</v>
      </c>
      <c r="EH259">
        <v>10000</v>
      </c>
      <c r="EI259">
        <v>10000</v>
      </c>
      <c r="EJ259">
        <v>10000</v>
      </c>
      <c r="EK259">
        <v>10000</v>
      </c>
      <c r="EL259">
        <v>10000</v>
      </c>
      <c r="EM259">
        <v>10000</v>
      </c>
      <c r="EN259">
        <v>10000</v>
      </c>
      <c r="EO259">
        <v>10000</v>
      </c>
      <c r="EP259">
        <v>10000</v>
      </c>
      <c r="EQ259">
        <v>10000</v>
      </c>
      <c r="ER259">
        <v>10000</v>
      </c>
      <c r="ES259">
        <v>10000</v>
      </c>
      <c r="ET259">
        <v>10000</v>
      </c>
      <c r="EU259">
        <v>10000</v>
      </c>
      <c r="EV259">
        <v>10000</v>
      </c>
      <c r="EW259">
        <v>10190.799999999999</v>
      </c>
      <c r="EX259">
        <v>10727.2</v>
      </c>
      <c r="EY259">
        <v>10727.2</v>
      </c>
      <c r="EZ259">
        <v>10727.2</v>
      </c>
      <c r="FA259">
        <v>10727.2</v>
      </c>
      <c r="FB259">
        <v>10727.2</v>
      </c>
      <c r="FC259">
        <v>10727.2</v>
      </c>
      <c r="FD259">
        <v>10727.2</v>
      </c>
      <c r="FE259">
        <v>10727.2</v>
      </c>
      <c r="FF259">
        <v>10727.2</v>
      </c>
      <c r="FG259">
        <v>10727.2</v>
      </c>
      <c r="FH259">
        <v>10727.2</v>
      </c>
      <c r="FI259">
        <v>10727.2</v>
      </c>
      <c r="FJ259">
        <v>10727.2</v>
      </c>
      <c r="FK259">
        <v>10727.2</v>
      </c>
      <c r="FL259">
        <v>10727.2</v>
      </c>
      <c r="FM259">
        <v>10727.2</v>
      </c>
      <c r="FN259">
        <v>10727.2</v>
      </c>
      <c r="FO259">
        <v>10727.2</v>
      </c>
      <c r="FP259">
        <v>10727.2</v>
      </c>
      <c r="FQ259">
        <v>10727.2</v>
      </c>
      <c r="FR259">
        <v>10727.2</v>
      </c>
      <c r="FS259">
        <v>10727.2</v>
      </c>
      <c r="FT259">
        <v>10727.2</v>
      </c>
      <c r="FU259">
        <v>10727.2</v>
      </c>
      <c r="FV259">
        <v>10727.2</v>
      </c>
      <c r="FW259">
        <v>0</v>
      </c>
      <c r="FX259">
        <v>0</v>
      </c>
      <c r="FY259">
        <v>0</v>
      </c>
      <c r="FZ259">
        <v>0</v>
      </c>
      <c r="GA259">
        <v>0</v>
      </c>
      <c r="GB259">
        <v>0</v>
      </c>
      <c r="GC259">
        <v>0</v>
      </c>
      <c r="GD259">
        <v>0</v>
      </c>
      <c r="GE259">
        <v>0</v>
      </c>
      <c r="GF259">
        <v>0</v>
      </c>
      <c r="GG259">
        <v>0</v>
      </c>
      <c r="GH259">
        <v>0</v>
      </c>
      <c r="GI259">
        <v>0</v>
      </c>
      <c r="GJ259">
        <v>0</v>
      </c>
      <c r="GK259">
        <v>0</v>
      </c>
      <c r="GL259">
        <v>0</v>
      </c>
      <c r="GM259">
        <v>0</v>
      </c>
      <c r="GN259">
        <v>0</v>
      </c>
      <c r="GO259">
        <v>0</v>
      </c>
      <c r="GP259">
        <v>0</v>
      </c>
      <c r="GQ259">
        <v>0</v>
      </c>
      <c r="GR259">
        <v>0</v>
      </c>
      <c r="GS259">
        <v>0</v>
      </c>
      <c r="GT259">
        <v>0</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0</v>
      </c>
      <c r="HN259">
        <v>0</v>
      </c>
      <c r="HO259">
        <v>0</v>
      </c>
      <c r="HP259">
        <v>0</v>
      </c>
      <c r="HQ259">
        <v>0</v>
      </c>
      <c r="HR259">
        <v>0</v>
      </c>
      <c r="HS259">
        <v>0</v>
      </c>
      <c r="HT259">
        <v>0</v>
      </c>
      <c r="HU259">
        <v>0</v>
      </c>
      <c r="HV259">
        <v>0</v>
      </c>
      <c r="HW259">
        <v>0</v>
      </c>
      <c r="HX259">
        <v>0</v>
      </c>
      <c r="HY259">
        <v>0</v>
      </c>
      <c r="HZ259">
        <v>0</v>
      </c>
      <c r="IA259">
        <v>0</v>
      </c>
      <c r="IB259">
        <v>0</v>
      </c>
      <c r="IC259">
        <v>0</v>
      </c>
      <c r="ID259">
        <v>0</v>
      </c>
      <c r="IE259">
        <v>0</v>
      </c>
      <c r="IF259">
        <v>0</v>
      </c>
      <c r="IG259">
        <v>0</v>
      </c>
      <c r="IH259">
        <v>0</v>
      </c>
      <c r="II259">
        <v>0</v>
      </c>
      <c r="IJ259">
        <v>0</v>
      </c>
      <c r="IK259">
        <v>0</v>
      </c>
    </row>
    <row r="260" spans="13:245" hidden="1">
      <c r="M260" s="343" t="s">
        <v>633</v>
      </c>
      <c r="N260" t="s">
        <v>1010</v>
      </c>
      <c r="O260">
        <v>1</v>
      </c>
      <c r="P260">
        <v>42</v>
      </c>
      <c r="Q260" s="184" t="str">
        <f t="shared" si="10"/>
        <v>SDJ200142</v>
      </c>
      <c r="R260">
        <v>563.9</v>
      </c>
      <c r="S260">
        <v>2000</v>
      </c>
      <c r="T260">
        <v>2000</v>
      </c>
      <c r="U260">
        <v>2255.6999999999998</v>
      </c>
      <c r="V260">
        <v>2819.6</v>
      </c>
      <c r="W260">
        <v>3383.5</v>
      </c>
      <c r="X260">
        <v>3947.4</v>
      </c>
      <c r="Y260">
        <v>4511.3999999999996</v>
      </c>
      <c r="Z260">
        <v>5075.3</v>
      </c>
      <c r="AA260">
        <v>5639.2</v>
      </c>
      <c r="AB260">
        <v>6203.1</v>
      </c>
      <c r="AC260">
        <v>6767</v>
      </c>
      <c r="AD260">
        <v>7331</v>
      </c>
      <c r="AE260">
        <v>7894.9</v>
      </c>
      <c r="AF260">
        <v>8458.7999999999993</v>
      </c>
      <c r="AG260">
        <v>9022.7000000000007</v>
      </c>
      <c r="AH260">
        <v>9586.6</v>
      </c>
      <c r="AI260">
        <v>10150.6</v>
      </c>
      <c r="AJ260">
        <v>10714.5</v>
      </c>
      <c r="AK260">
        <v>11278.4</v>
      </c>
      <c r="AL260">
        <v>11278.4</v>
      </c>
      <c r="AM260">
        <v>11278.4</v>
      </c>
      <c r="AN260">
        <v>11278.4</v>
      </c>
      <c r="AO260">
        <v>11278.4</v>
      </c>
      <c r="AP260">
        <v>11278.4</v>
      </c>
      <c r="AQ260">
        <v>11278.4</v>
      </c>
      <c r="AR260">
        <v>11278.4</v>
      </c>
      <c r="AS260">
        <v>11278.4</v>
      </c>
      <c r="AT260">
        <v>11278.4</v>
      </c>
      <c r="AU260">
        <v>11278.4</v>
      </c>
      <c r="AV260">
        <v>11278.4</v>
      </c>
      <c r="AW260">
        <v>11278.4</v>
      </c>
      <c r="AX260">
        <v>11278.4</v>
      </c>
      <c r="AY260">
        <v>11278.4</v>
      </c>
      <c r="AZ260">
        <v>11278.4</v>
      </c>
      <c r="BA260">
        <v>11278.4</v>
      </c>
      <c r="BB260">
        <v>11278.4</v>
      </c>
      <c r="BC260">
        <v>11278.4</v>
      </c>
      <c r="BD260">
        <v>11278.4</v>
      </c>
      <c r="BE260">
        <v>11278.4</v>
      </c>
      <c r="BF260">
        <v>11278.4</v>
      </c>
      <c r="BG260">
        <v>11278.4</v>
      </c>
      <c r="BH260">
        <v>11278.4</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Z260" s="343" t="s">
        <v>633</v>
      </c>
      <c r="EA260" t="s">
        <v>1010</v>
      </c>
      <c r="EB260">
        <v>1</v>
      </c>
      <c r="EC260">
        <v>42</v>
      </c>
      <c r="ED260" s="184" t="str">
        <f t="shared" si="11"/>
        <v>SDJ200142</v>
      </c>
      <c r="EE260">
        <v>563.9</v>
      </c>
      <c r="EF260">
        <v>10000</v>
      </c>
      <c r="EG260">
        <v>10000</v>
      </c>
      <c r="EH260">
        <v>10000</v>
      </c>
      <c r="EI260">
        <v>10000</v>
      </c>
      <c r="EJ260">
        <v>10000</v>
      </c>
      <c r="EK260">
        <v>10000</v>
      </c>
      <c r="EL260">
        <v>10000</v>
      </c>
      <c r="EM260">
        <v>10000</v>
      </c>
      <c r="EN260">
        <v>10000</v>
      </c>
      <c r="EO260">
        <v>10000</v>
      </c>
      <c r="EP260">
        <v>10000</v>
      </c>
      <c r="EQ260">
        <v>10000</v>
      </c>
      <c r="ER260">
        <v>10000</v>
      </c>
      <c r="ES260">
        <v>10000</v>
      </c>
      <c r="ET260">
        <v>10000</v>
      </c>
      <c r="EU260">
        <v>10000</v>
      </c>
      <c r="EV260">
        <v>10150.6</v>
      </c>
      <c r="EW260">
        <v>10714.5</v>
      </c>
      <c r="EX260">
        <v>11278.4</v>
      </c>
      <c r="EY260">
        <v>11278.4</v>
      </c>
      <c r="EZ260">
        <v>11278.4</v>
      </c>
      <c r="FA260">
        <v>11278.4</v>
      </c>
      <c r="FB260">
        <v>11278.4</v>
      </c>
      <c r="FC260">
        <v>11278.4</v>
      </c>
      <c r="FD260">
        <v>11278.4</v>
      </c>
      <c r="FE260">
        <v>11278.4</v>
      </c>
      <c r="FF260">
        <v>11278.4</v>
      </c>
      <c r="FG260">
        <v>11278.4</v>
      </c>
      <c r="FH260">
        <v>11278.4</v>
      </c>
      <c r="FI260">
        <v>11278.4</v>
      </c>
      <c r="FJ260">
        <v>11278.4</v>
      </c>
      <c r="FK260">
        <v>11278.4</v>
      </c>
      <c r="FL260">
        <v>11278.4</v>
      </c>
      <c r="FM260">
        <v>11278.4</v>
      </c>
      <c r="FN260">
        <v>11278.4</v>
      </c>
      <c r="FO260">
        <v>11278.4</v>
      </c>
      <c r="FP260">
        <v>11278.4</v>
      </c>
      <c r="FQ260">
        <v>11278.4</v>
      </c>
      <c r="FR260">
        <v>11278.4</v>
      </c>
      <c r="FS260">
        <v>11278.4</v>
      </c>
      <c r="FT260">
        <v>11278.4</v>
      </c>
      <c r="FU260">
        <v>11278.4</v>
      </c>
      <c r="FV260">
        <v>0</v>
      </c>
      <c r="FW260">
        <v>0</v>
      </c>
      <c r="FX260">
        <v>0</v>
      </c>
      <c r="FY260">
        <v>0</v>
      </c>
      <c r="FZ260">
        <v>0</v>
      </c>
      <c r="GA260">
        <v>0</v>
      </c>
      <c r="GB260">
        <v>0</v>
      </c>
      <c r="GC260">
        <v>0</v>
      </c>
      <c r="GD260">
        <v>0</v>
      </c>
      <c r="GE260">
        <v>0</v>
      </c>
      <c r="GF260">
        <v>0</v>
      </c>
      <c r="GG260">
        <v>0</v>
      </c>
      <c r="GH260">
        <v>0</v>
      </c>
      <c r="GI260">
        <v>0</v>
      </c>
      <c r="GJ260">
        <v>0</v>
      </c>
      <c r="GK260">
        <v>0</v>
      </c>
      <c r="GL260">
        <v>0</v>
      </c>
      <c r="GM260">
        <v>0</v>
      </c>
      <c r="GN260">
        <v>0</v>
      </c>
      <c r="GO260">
        <v>0</v>
      </c>
      <c r="GP260">
        <v>0</v>
      </c>
      <c r="GQ260">
        <v>0</v>
      </c>
      <c r="GR260">
        <v>0</v>
      </c>
      <c r="GS260">
        <v>0</v>
      </c>
      <c r="GT260">
        <v>0</v>
      </c>
      <c r="GU260">
        <v>0</v>
      </c>
      <c r="GV260">
        <v>0</v>
      </c>
      <c r="GW260">
        <v>0</v>
      </c>
      <c r="GX260">
        <v>0</v>
      </c>
      <c r="GY260">
        <v>0</v>
      </c>
      <c r="GZ260">
        <v>0</v>
      </c>
      <c r="HA260">
        <v>0</v>
      </c>
      <c r="HB260">
        <v>0</v>
      </c>
      <c r="HC260">
        <v>0</v>
      </c>
      <c r="HD260">
        <v>0</v>
      </c>
      <c r="HE260">
        <v>0</v>
      </c>
      <c r="HF260">
        <v>0</v>
      </c>
      <c r="HG260">
        <v>0</v>
      </c>
      <c r="HH260">
        <v>0</v>
      </c>
      <c r="HI260">
        <v>0</v>
      </c>
      <c r="HJ260">
        <v>0</v>
      </c>
      <c r="HK260">
        <v>0</v>
      </c>
      <c r="HL260">
        <v>0</v>
      </c>
      <c r="HM260">
        <v>0</v>
      </c>
      <c r="HN260">
        <v>0</v>
      </c>
      <c r="HO260">
        <v>0</v>
      </c>
      <c r="HP260">
        <v>0</v>
      </c>
      <c r="HQ260">
        <v>0</v>
      </c>
      <c r="HR260">
        <v>0</v>
      </c>
      <c r="HS260">
        <v>0</v>
      </c>
      <c r="HT260">
        <v>0</v>
      </c>
      <c r="HU260">
        <v>0</v>
      </c>
      <c r="HV260">
        <v>0</v>
      </c>
      <c r="HW260">
        <v>0</v>
      </c>
      <c r="HX260">
        <v>0</v>
      </c>
      <c r="HY260">
        <v>0</v>
      </c>
      <c r="HZ260">
        <v>0</v>
      </c>
      <c r="IA260">
        <v>0</v>
      </c>
      <c r="IB260">
        <v>0</v>
      </c>
      <c r="IC260">
        <v>0</v>
      </c>
      <c r="ID260">
        <v>0</v>
      </c>
      <c r="IE260">
        <v>0</v>
      </c>
      <c r="IF260">
        <v>0</v>
      </c>
      <c r="IG260">
        <v>0</v>
      </c>
      <c r="IH260">
        <v>0</v>
      </c>
      <c r="II260">
        <v>0</v>
      </c>
      <c r="IJ260">
        <v>0</v>
      </c>
      <c r="IK260">
        <v>0</v>
      </c>
    </row>
    <row r="261" spans="13:245" hidden="1">
      <c r="M261" s="343" t="s">
        <v>633</v>
      </c>
      <c r="N261" t="s">
        <v>1010</v>
      </c>
      <c r="O261">
        <v>1</v>
      </c>
      <c r="P261">
        <v>43</v>
      </c>
      <c r="Q261" s="184" t="str">
        <f t="shared" si="10"/>
        <v>SDJ200143</v>
      </c>
      <c r="R261">
        <v>602.1</v>
      </c>
      <c r="S261">
        <v>2000</v>
      </c>
      <c r="T261">
        <v>2000</v>
      </c>
      <c r="U261">
        <v>2408.3000000000002</v>
      </c>
      <c r="V261">
        <v>3010.4</v>
      </c>
      <c r="W261">
        <v>3612.5</v>
      </c>
      <c r="X261">
        <v>4214.6000000000004</v>
      </c>
      <c r="Y261">
        <v>4816.6000000000004</v>
      </c>
      <c r="Z261">
        <v>5418.7</v>
      </c>
      <c r="AA261">
        <v>6020.8</v>
      </c>
      <c r="AB261">
        <v>6622.9</v>
      </c>
      <c r="AC261">
        <v>7225</v>
      </c>
      <c r="AD261">
        <v>7827</v>
      </c>
      <c r="AE261">
        <v>8429.1</v>
      </c>
      <c r="AF261">
        <v>9031.2000000000007</v>
      </c>
      <c r="AG261">
        <v>9633.2999999999993</v>
      </c>
      <c r="AH261">
        <v>10235.4</v>
      </c>
      <c r="AI261">
        <v>10837.4</v>
      </c>
      <c r="AJ261">
        <v>11439.5</v>
      </c>
      <c r="AK261">
        <v>12041.6</v>
      </c>
      <c r="AL261">
        <v>12041.6</v>
      </c>
      <c r="AM261">
        <v>12041.6</v>
      </c>
      <c r="AN261">
        <v>12041.6</v>
      </c>
      <c r="AO261">
        <v>12041.6</v>
      </c>
      <c r="AP261">
        <v>12041.6</v>
      </c>
      <c r="AQ261">
        <v>12041.6</v>
      </c>
      <c r="AR261">
        <v>12041.6</v>
      </c>
      <c r="AS261">
        <v>12041.6</v>
      </c>
      <c r="AT261">
        <v>12041.6</v>
      </c>
      <c r="AU261">
        <v>12041.6</v>
      </c>
      <c r="AV261">
        <v>12041.6</v>
      </c>
      <c r="AW261">
        <v>12041.6</v>
      </c>
      <c r="AX261">
        <v>12041.6</v>
      </c>
      <c r="AY261">
        <v>12041.6</v>
      </c>
      <c r="AZ261">
        <v>12041.6</v>
      </c>
      <c r="BA261">
        <v>12041.6</v>
      </c>
      <c r="BB261">
        <v>12041.6</v>
      </c>
      <c r="BC261">
        <v>12041.6</v>
      </c>
      <c r="BD261">
        <v>12041.6</v>
      </c>
      <c r="BE261">
        <v>12041.6</v>
      </c>
      <c r="BF261">
        <v>12041.6</v>
      </c>
      <c r="BG261">
        <v>12041.6</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Z261" s="343" t="s">
        <v>633</v>
      </c>
      <c r="EA261" t="s">
        <v>1010</v>
      </c>
      <c r="EB261">
        <v>1</v>
      </c>
      <c r="EC261">
        <v>43</v>
      </c>
      <c r="ED261" s="184" t="str">
        <f t="shared" si="11"/>
        <v>SDJ200143</v>
      </c>
      <c r="EE261">
        <v>602.1</v>
      </c>
      <c r="EF261">
        <v>10000</v>
      </c>
      <c r="EG261">
        <v>10000</v>
      </c>
      <c r="EH261">
        <v>10000</v>
      </c>
      <c r="EI261">
        <v>10000</v>
      </c>
      <c r="EJ261">
        <v>10000</v>
      </c>
      <c r="EK261">
        <v>10000</v>
      </c>
      <c r="EL261">
        <v>10000</v>
      </c>
      <c r="EM261">
        <v>10000</v>
      </c>
      <c r="EN261">
        <v>10000</v>
      </c>
      <c r="EO261">
        <v>10000</v>
      </c>
      <c r="EP261">
        <v>10000</v>
      </c>
      <c r="EQ261">
        <v>10000</v>
      </c>
      <c r="ER261">
        <v>10000</v>
      </c>
      <c r="ES261">
        <v>10000</v>
      </c>
      <c r="ET261">
        <v>10000</v>
      </c>
      <c r="EU261">
        <v>10235.4</v>
      </c>
      <c r="EV261">
        <v>10837.4</v>
      </c>
      <c r="EW261">
        <v>11439.5</v>
      </c>
      <c r="EX261">
        <v>12041.6</v>
      </c>
      <c r="EY261">
        <v>12041.6</v>
      </c>
      <c r="EZ261">
        <v>12041.6</v>
      </c>
      <c r="FA261">
        <v>12041.6</v>
      </c>
      <c r="FB261">
        <v>12041.6</v>
      </c>
      <c r="FC261">
        <v>12041.6</v>
      </c>
      <c r="FD261">
        <v>12041.6</v>
      </c>
      <c r="FE261">
        <v>12041.6</v>
      </c>
      <c r="FF261">
        <v>12041.6</v>
      </c>
      <c r="FG261">
        <v>12041.6</v>
      </c>
      <c r="FH261">
        <v>12041.6</v>
      </c>
      <c r="FI261">
        <v>12041.6</v>
      </c>
      <c r="FJ261">
        <v>12041.6</v>
      </c>
      <c r="FK261">
        <v>12041.6</v>
      </c>
      <c r="FL261">
        <v>12041.6</v>
      </c>
      <c r="FM261">
        <v>12041.6</v>
      </c>
      <c r="FN261">
        <v>12041.6</v>
      </c>
      <c r="FO261">
        <v>12041.6</v>
      </c>
      <c r="FP261">
        <v>12041.6</v>
      </c>
      <c r="FQ261">
        <v>12041.6</v>
      </c>
      <c r="FR261">
        <v>12041.6</v>
      </c>
      <c r="FS261">
        <v>12041.6</v>
      </c>
      <c r="FT261">
        <v>12041.6</v>
      </c>
      <c r="FU261">
        <v>0</v>
      </c>
      <c r="FV261">
        <v>0</v>
      </c>
      <c r="FW261">
        <v>0</v>
      </c>
      <c r="FX261">
        <v>0</v>
      </c>
      <c r="FY261">
        <v>0</v>
      </c>
      <c r="FZ261">
        <v>0</v>
      </c>
      <c r="GA261">
        <v>0</v>
      </c>
      <c r="GB261">
        <v>0</v>
      </c>
      <c r="GC261">
        <v>0</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c r="IK261">
        <v>0</v>
      </c>
    </row>
    <row r="262" spans="13:245" hidden="1">
      <c r="M262" s="343" t="s">
        <v>633</v>
      </c>
      <c r="N262" t="s">
        <v>1010</v>
      </c>
      <c r="O262">
        <v>1</v>
      </c>
      <c r="P262">
        <v>44</v>
      </c>
      <c r="Q262" s="184" t="str">
        <f t="shared" si="10"/>
        <v>SDJ200144</v>
      </c>
      <c r="R262">
        <v>640.20000000000005</v>
      </c>
      <c r="S262">
        <v>2000</v>
      </c>
      <c r="T262">
        <v>2000</v>
      </c>
      <c r="U262">
        <v>2561</v>
      </c>
      <c r="V262">
        <v>3201.2</v>
      </c>
      <c r="W262">
        <v>3841.4</v>
      </c>
      <c r="X262">
        <v>4481.7</v>
      </c>
      <c r="Y262">
        <v>5121.8999999999996</v>
      </c>
      <c r="Z262">
        <v>5762.2</v>
      </c>
      <c r="AA262">
        <v>6402.4</v>
      </c>
      <c r="AB262">
        <v>7042.6</v>
      </c>
      <c r="AC262">
        <v>7682.9</v>
      </c>
      <c r="AD262">
        <v>8323.1</v>
      </c>
      <c r="AE262">
        <v>8963.4</v>
      </c>
      <c r="AF262">
        <v>9603.6</v>
      </c>
      <c r="AG262">
        <v>10243.799999999999</v>
      </c>
      <c r="AH262">
        <v>10884.1</v>
      </c>
      <c r="AI262">
        <v>11524.3</v>
      </c>
      <c r="AJ262">
        <v>12164.6</v>
      </c>
      <c r="AK262">
        <v>12804.8</v>
      </c>
      <c r="AL262">
        <v>12804.8</v>
      </c>
      <c r="AM262">
        <v>12804.8</v>
      </c>
      <c r="AN262">
        <v>12804.8</v>
      </c>
      <c r="AO262">
        <v>12804.8</v>
      </c>
      <c r="AP262">
        <v>12804.8</v>
      </c>
      <c r="AQ262">
        <v>12804.8</v>
      </c>
      <c r="AR262">
        <v>12804.8</v>
      </c>
      <c r="AS262">
        <v>12804.8</v>
      </c>
      <c r="AT262">
        <v>12804.8</v>
      </c>
      <c r="AU262">
        <v>12804.8</v>
      </c>
      <c r="AV262">
        <v>12804.8</v>
      </c>
      <c r="AW262">
        <v>12804.8</v>
      </c>
      <c r="AX262">
        <v>12804.8</v>
      </c>
      <c r="AY262">
        <v>12804.8</v>
      </c>
      <c r="AZ262">
        <v>12804.8</v>
      </c>
      <c r="BA262">
        <v>12804.8</v>
      </c>
      <c r="BB262">
        <v>12804.8</v>
      </c>
      <c r="BC262">
        <v>12804.8</v>
      </c>
      <c r="BD262">
        <v>12804.8</v>
      </c>
      <c r="BE262">
        <v>12804.8</v>
      </c>
      <c r="BF262">
        <v>12804.8</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Z262" s="343" t="s">
        <v>633</v>
      </c>
      <c r="EA262" t="s">
        <v>1010</v>
      </c>
      <c r="EB262">
        <v>1</v>
      </c>
      <c r="EC262">
        <v>44</v>
      </c>
      <c r="ED262" s="184" t="str">
        <f t="shared" si="11"/>
        <v>SDJ200144</v>
      </c>
      <c r="EE262">
        <v>640.20000000000005</v>
      </c>
      <c r="EF262">
        <v>10000</v>
      </c>
      <c r="EG262">
        <v>10000</v>
      </c>
      <c r="EH262">
        <v>10000</v>
      </c>
      <c r="EI262">
        <v>10000</v>
      </c>
      <c r="EJ262">
        <v>10000</v>
      </c>
      <c r="EK262">
        <v>10000</v>
      </c>
      <c r="EL262">
        <v>10000</v>
      </c>
      <c r="EM262">
        <v>10000</v>
      </c>
      <c r="EN262">
        <v>10000</v>
      </c>
      <c r="EO262">
        <v>10000</v>
      </c>
      <c r="EP262">
        <v>10000</v>
      </c>
      <c r="EQ262">
        <v>10000</v>
      </c>
      <c r="ER262">
        <v>10000</v>
      </c>
      <c r="ES262">
        <v>10000</v>
      </c>
      <c r="ET262">
        <v>10243.799999999999</v>
      </c>
      <c r="EU262">
        <v>10884.1</v>
      </c>
      <c r="EV262">
        <v>11524.3</v>
      </c>
      <c r="EW262">
        <v>12164.6</v>
      </c>
      <c r="EX262">
        <v>12804.8</v>
      </c>
      <c r="EY262">
        <v>12804.8</v>
      </c>
      <c r="EZ262">
        <v>12804.8</v>
      </c>
      <c r="FA262">
        <v>12804.8</v>
      </c>
      <c r="FB262">
        <v>12804.8</v>
      </c>
      <c r="FC262">
        <v>12804.8</v>
      </c>
      <c r="FD262">
        <v>12804.8</v>
      </c>
      <c r="FE262">
        <v>12804.8</v>
      </c>
      <c r="FF262">
        <v>12804.8</v>
      </c>
      <c r="FG262">
        <v>12804.8</v>
      </c>
      <c r="FH262">
        <v>12804.8</v>
      </c>
      <c r="FI262">
        <v>12804.8</v>
      </c>
      <c r="FJ262">
        <v>12804.8</v>
      </c>
      <c r="FK262">
        <v>12804.8</v>
      </c>
      <c r="FL262">
        <v>12804.8</v>
      </c>
      <c r="FM262">
        <v>12804.8</v>
      </c>
      <c r="FN262">
        <v>12804.8</v>
      </c>
      <c r="FO262">
        <v>12804.8</v>
      </c>
      <c r="FP262">
        <v>12804.8</v>
      </c>
      <c r="FQ262">
        <v>12804.8</v>
      </c>
      <c r="FR262">
        <v>12804.8</v>
      </c>
      <c r="FS262">
        <v>12804.8</v>
      </c>
      <c r="FT262">
        <v>0</v>
      </c>
      <c r="FU262">
        <v>0</v>
      </c>
      <c r="FV262">
        <v>0</v>
      </c>
      <c r="FW262">
        <v>0</v>
      </c>
      <c r="FX262">
        <v>0</v>
      </c>
      <c r="FY262">
        <v>0</v>
      </c>
      <c r="FZ262">
        <v>0</v>
      </c>
      <c r="GA262">
        <v>0</v>
      </c>
      <c r="GB262">
        <v>0</v>
      </c>
      <c r="GC262">
        <v>0</v>
      </c>
      <c r="GD262">
        <v>0</v>
      </c>
      <c r="GE262">
        <v>0</v>
      </c>
      <c r="GF262">
        <v>0</v>
      </c>
      <c r="GG262">
        <v>0</v>
      </c>
      <c r="GH262">
        <v>0</v>
      </c>
      <c r="GI262">
        <v>0</v>
      </c>
      <c r="GJ262">
        <v>0</v>
      </c>
      <c r="GK262">
        <v>0</v>
      </c>
      <c r="GL262">
        <v>0</v>
      </c>
      <c r="GM262">
        <v>0</v>
      </c>
      <c r="GN262">
        <v>0</v>
      </c>
      <c r="GO262">
        <v>0</v>
      </c>
      <c r="GP262">
        <v>0</v>
      </c>
      <c r="GQ262">
        <v>0</v>
      </c>
      <c r="GR262">
        <v>0</v>
      </c>
      <c r="GS262">
        <v>0</v>
      </c>
      <c r="GT262">
        <v>0</v>
      </c>
      <c r="GU262">
        <v>0</v>
      </c>
      <c r="GV262">
        <v>0</v>
      </c>
      <c r="GW262">
        <v>0</v>
      </c>
      <c r="GX262">
        <v>0</v>
      </c>
      <c r="GY262">
        <v>0</v>
      </c>
      <c r="GZ262">
        <v>0</v>
      </c>
      <c r="HA262">
        <v>0</v>
      </c>
      <c r="HB262">
        <v>0</v>
      </c>
      <c r="HC262">
        <v>0</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c r="HX262">
        <v>0</v>
      </c>
      <c r="HY262">
        <v>0</v>
      </c>
      <c r="HZ262">
        <v>0</v>
      </c>
      <c r="IA262">
        <v>0</v>
      </c>
      <c r="IB262">
        <v>0</v>
      </c>
      <c r="IC262">
        <v>0</v>
      </c>
      <c r="ID262">
        <v>0</v>
      </c>
      <c r="IE262">
        <v>0</v>
      </c>
      <c r="IF262">
        <v>0</v>
      </c>
      <c r="IG262">
        <v>0</v>
      </c>
      <c r="IH262">
        <v>0</v>
      </c>
      <c r="II262">
        <v>0</v>
      </c>
      <c r="IJ262">
        <v>0</v>
      </c>
      <c r="IK262">
        <v>0</v>
      </c>
    </row>
    <row r="263" spans="13:245" hidden="1">
      <c r="M263" s="343" t="s">
        <v>633</v>
      </c>
      <c r="N263" t="s">
        <v>1010</v>
      </c>
      <c r="O263">
        <v>1</v>
      </c>
      <c r="P263">
        <v>45</v>
      </c>
      <c r="Q263" s="184" t="str">
        <f t="shared" si="10"/>
        <v>SDJ200145</v>
      </c>
      <c r="R263">
        <v>678.4</v>
      </c>
      <c r="S263">
        <v>2000</v>
      </c>
      <c r="T263">
        <v>2035.2</v>
      </c>
      <c r="U263">
        <v>2713.6</v>
      </c>
      <c r="V263">
        <v>3392</v>
      </c>
      <c r="W263">
        <v>4070.4</v>
      </c>
      <c r="X263">
        <v>4748.8</v>
      </c>
      <c r="Y263">
        <v>5427.2</v>
      </c>
      <c r="Z263">
        <v>6105.6</v>
      </c>
      <c r="AA263">
        <v>6784</v>
      </c>
      <c r="AB263">
        <v>7462.4</v>
      </c>
      <c r="AC263">
        <v>8140.8</v>
      </c>
      <c r="AD263">
        <v>8819.2000000000007</v>
      </c>
      <c r="AE263">
        <v>9497.6</v>
      </c>
      <c r="AF263">
        <v>10176</v>
      </c>
      <c r="AG263">
        <v>10854.4</v>
      </c>
      <c r="AH263">
        <v>11532.8</v>
      </c>
      <c r="AI263">
        <v>12211.2</v>
      </c>
      <c r="AJ263">
        <v>12889.6</v>
      </c>
      <c r="AK263">
        <v>13568</v>
      </c>
      <c r="AL263">
        <v>13568</v>
      </c>
      <c r="AM263">
        <v>13568</v>
      </c>
      <c r="AN263">
        <v>13568</v>
      </c>
      <c r="AO263">
        <v>13568</v>
      </c>
      <c r="AP263">
        <v>13568</v>
      </c>
      <c r="AQ263">
        <v>13568</v>
      </c>
      <c r="AR263">
        <v>13568</v>
      </c>
      <c r="AS263">
        <v>13568</v>
      </c>
      <c r="AT263">
        <v>13568</v>
      </c>
      <c r="AU263">
        <v>13568</v>
      </c>
      <c r="AV263">
        <v>13568</v>
      </c>
      <c r="AW263">
        <v>13568</v>
      </c>
      <c r="AX263">
        <v>13568</v>
      </c>
      <c r="AY263">
        <v>13568</v>
      </c>
      <c r="AZ263">
        <v>13568</v>
      </c>
      <c r="BA263">
        <v>13568</v>
      </c>
      <c r="BB263">
        <v>13568</v>
      </c>
      <c r="BC263">
        <v>13568</v>
      </c>
      <c r="BD263">
        <v>13568</v>
      </c>
      <c r="BE263">
        <v>13568</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Z263" s="343" t="s">
        <v>633</v>
      </c>
      <c r="EA263" t="s">
        <v>1010</v>
      </c>
      <c r="EB263">
        <v>1</v>
      </c>
      <c r="EC263">
        <v>45</v>
      </c>
      <c r="ED263" s="184" t="str">
        <f t="shared" si="11"/>
        <v>SDJ200145</v>
      </c>
      <c r="EE263">
        <v>678.4</v>
      </c>
      <c r="EF263">
        <v>10000</v>
      </c>
      <c r="EG263">
        <v>10000</v>
      </c>
      <c r="EH263">
        <v>10000</v>
      </c>
      <c r="EI263">
        <v>10000</v>
      </c>
      <c r="EJ263">
        <v>10000</v>
      </c>
      <c r="EK263">
        <v>10000</v>
      </c>
      <c r="EL263">
        <v>10000</v>
      </c>
      <c r="EM263">
        <v>10000</v>
      </c>
      <c r="EN263">
        <v>10000</v>
      </c>
      <c r="EO263">
        <v>10000</v>
      </c>
      <c r="EP263">
        <v>10000</v>
      </c>
      <c r="EQ263">
        <v>10000</v>
      </c>
      <c r="ER263">
        <v>10000</v>
      </c>
      <c r="ES263">
        <v>10176</v>
      </c>
      <c r="ET263">
        <v>10854.4</v>
      </c>
      <c r="EU263">
        <v>11532.8</v>
      </c>
      <c r="EV263">
        <v>12211.2</v>
      </c>
      <c r="EW263">
        <v>12889.6</v>
      </c>
      <c r="EX263">
        <v>13568</v>
      </c>
      <c r="EY263">
        <v>13568</v>
      </c>
      <c r="EZ263">
        <v>13568</v>
      </c>
      <c r="FA263">
        <v>13568</v>
      </c>
      <c r="FB263">
        <v>13568</v>
      </c>
      <c r="FC263">
        <v>13568</v>
      </c>
      <c r="FD263">
        <v>13568</v>
      </c>
      <c r="FE263">
        <v>13568</v>
      </c>
      <c r="FF263">
        <v>13568</v>
      </c>
      <c r="FG263">
        <v>13568</v>
      </c>
      <c r="FH263">
        <v>13568</v>
      </c>
      <c r="FI263">
        <v>13568</v>
      </c>
      <c r="FJ263">
        <v>13568</v>
      </c>
      <c r="FK263">
        <v>13568</v>
      </c>
      <c r="FL263">
        <v>13568</v>
      </c>
      <c r="FM263">
        <v>13568</v>
      </c>
      <c r="FN263">
        <v>13568</v>
      </c>
      <c r="FO263">
        <v>13568</v>
      </c>
      <c r="FP263">
        <v>13568</v>
      </c>
      <c r="FQ263">
        <v>13568</v>
      </c>
      <c r="FR263">
        <v>13568</v>
      </c>
      <c r="FS263">
        <v>0</v>
      </c>
      <c r="FT263">
        <v>0</v>
      </c>
      <c r="FU263">
        <v>0</v>
      </c>
      <c r="FV263">
        <v>0</v>
      </c>
      <c r="FW263">
        <v>0</v>
      </c>
      <c r="FX263">
        <v>0</v>
      </c>
      <c r="FY263">
        <v>0</v>
      </c>
      <c r="FZ263">
        <v>0</v>
      </c>
      <c r="GA263">
        <v>0</v>
      </c>
      <c r="GB263">
        <v>0</v>
      </c>
      <c r="GC263">
        <v>0</v>
      </c>
      <c r="GD263">
        <v>0</v>
      </c>
      <c r="GE263">
        <v>0</v>
      </c>
      <c r="GF263">
        <v>0</v>
      </c>
      <c r="GG263">
        <v>0</v>
      </c>
      <c r="GH263">
        <v>0</v>
      </c>
      <c r="GI263">
        <v>0</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0</v>
      </c>
      <c r="HN263">
        <v>0</v>
      </c>
      <c r="HO263">
        <v>0</v>
      </c>
      <c r="HP263">
        <v>0</v>
      </c>
      <c r="HQ263">
        <v>0</v>
      </c>
      <c r="HR263">
        <v>0</v>
      </c>
      <c r="HS263">
        <v>0</v>
      </c>
      <c r="HT263">
        <v>0</v>
      </c>
      <c r="HU263">
        <v>0</v>
      </c>
      <c r="HV263">
        <v>0</v>
      </c>
      <c r="HW263">
        <v>0</v>
      </c>
      <c r="HX263">
        <v>0</v>
      </c>
      <c r="HY263">
        <v>0</v>
      </c>
      <c r="HZ263">
        <v>0</v>
      </c>
      <c r="IA263">
        <v>0</v>
      </c>
      <c r="IB263">
        <v>0</v>
      </c>
      <c r="IC263">
        <v>0</v>
      </c>
      <c r="ID263">
        <v>0</v>
      </c>
      <c r="IE263">
        <v>0</v>
      </c>
      <c r="IF263">
        <v>0</v>
      </c>
      <c r="IG263">
        <v>0</v>
      </c>
      <c r="IH263">
        <v>0</v>
      </c>
      <c r="II263">
        <v>0</v>
      </c>
      <c r="IJ263">
        <v>0</v>
      </c>
      <c r="IK263">
        <v>0</v>
      </c>
    </row>
    <row r="264" spans="13:245" hidden="1">
      <c r="M264" s="343" t="s">
        <v>633</v>
      </c>
      <c r="N264" t="s">
        <v>1010</v>
      </c>
      <c r="O264">
        <v>1</v>
      </c>
      <c r="P264" s="431">
        <v>46</v>
      </c>
      <c r="Q264" s="184" t="str">
        <f t="shared" si="10"/>
        <v>SDJ200146</v>
      </c>
      <c r="R264">
        <v>716.6</v>
      </c>
      <c r="S264">
        <v>2000</v>
      </c>
      <c r="T264">
        <v>2149.6999999999998</v>
      </c>
      <c r="U264">
        <v>2866.2</v>
      </c>
      <c r="V264">
        <v>3582.8</v>
      </c>
      <c r="W264">
        <v>4299.3999999999996</v>
      </c>
      <c r="X264">
        <v>5015.8999999999996</v>
      </c>
      <c r="Y264">
        <v>5732.5</v>
      </c>
      <c r="Z264">
        <v>6449</v>
      </c>
      <c r="AA264">
        <v>7165.6</v>
      </c>
      <c r="AB264">
        <v>7882.2</v>
      </c>
      <c r="AC264">
        <v>8598.7000000000007</v>
      </c>
      <c r="AD264">
        <v>9315.2999999999993</v>
      </c>
      <c r="AE264">
        <v>10031.799999999999</v>
      </c>
      <c r="AF264">
        <v>10748.4</v>
      </c>
      <c r="AG264">
        <v>11465</v>
      </c>
      <c r="AH264">
        <v>12181.5</v>
      </c>
      <c r="AI264">
        <v>12898.1</v>
      </c>
      <c r="AJ264">
        <v>13614.6</v>
      </c>
      <c r="AK264">
        <v>14331.2</v>
      </c>
      <c r="AL264">
        <v>14331.2</v>
      </c>
      <c r="AM264">
        <v>14331.2</v>
      </c>
      <c r="AN264">
        <v>14331.2</v>
      </c>
      <c r="AO264">
        <v>14331.2</v>
      </c>
      <c r="AP264">
        <v>14331.2</v>
      </c>
      <c r="AQ264">
        <v>14331.2</v>
      </c>
      <c r="AR264">
        <v>14331.2</v>
      </c>
      <c r="AS264">
        <v>14331.2</v>
      </c>
      <c r="AT264">
        <v>14331.2</v>
      </c>
      <c r="AU264">
        <v>14331.2</v>
      </c>
      <c r="AV264">
        <v>14331.2</v>
      </c>
      <c r="AW264">
        <v>14331.2</v>
      </c>
      <c r="AX264">
        <v>14331.2</v>
      </c>
      <c r="AY264">
        <v>14331.2</v>
      </c>
      <c r="AZ264">
        <v>14331.2</v>
      </c>
      <c r="BA264">
        <v>14331.2</v>
      </c>
      <c r="BB264">
        <v>14331.2</v>
      </c>
      <c r="BC264">
        <v>14331.2</v>
      </c>
      <c r="BD264">
        <v>14331.2</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Z264" s="343" t="s">
        <v>633</v>
      </c>
      <c r="EA264" t="s">
        <v>1010</v>
      </c>
      <c r="EB264">
        <v>1</v>
      </c>
      <c r="EC264">
        <v>46</v>
      </c>
      <c r="ED264" s="184" t="str">
        <f t="shared" si="11"/>
        <v>SDJ200146</v>
      </c>
      <c r="EE264">
        <v>716.6</v>
      </c>
      <c r="EF264">
        <v>10000</v>
      </c>
      <c r="EG264">
        <v>10000</v>
      </c>
      <c r="EH264">
        <v>10000</v>
      </c>
      <c r="EI264">
        <v>10000</v>
      </c>
      <c r="EJ264">
        <v>10000</v>
      </c>
      <c r="EK264">
        <v>10000</v>
      </c>
      <c r="EL264">
        <v>10000</v>
      </c>
      <c r="EM264">
        <v>10000</v>
      </c>
      <c r="EN264">
        <v>10000</v>
      </c>
      <c r="EO264">
        <v>10000</v>
      </c>
      <c r="EP264">
        <v>10000</v>
      </c>
      <c r="EQ264">
        <v>10000</v>
      </c>
      <c r="ER264">
        <v>10031.799999999999</v>
      </c>
      <c r="ES264">
        <v>10748.4</v>
      </c>
      <c r="ET264">
        <v>11465</v>
      </c>
      <c r="EU264">
        <v>12181.5</v>
      </c>
      <c r="EV264">
        <v>12898.1</v>
      </c>
      <c r="EW264">
        <v>13614.6</v>
      </c>
      <c r="EX264">
        <v>14331.2</v>
      </c>
      <c r="EY264">
        <v>14331.2</v>
      </c>
      <c r="EZ264">
        <v>14331.2</v>
      </c>
      <c r="FA264">
        <v>14331.2</v>
      </c>
      <c r="FB264">
        <v>14331.2</v>
      </c>
      <c r="FC264">
        <v>14331.2</v>
      </c>
      <c r="FD264">
        <v>14331.2</v>
      </c>
      <c r="FE264">
        <v>14331.2</v>
      </c>
      <c r="FF264">
        <v>14331.2</v>
      </c>
      <c r="FG264">
        <v>14331.2</v>
      </c>
      <c r="FH264">
        <v>14331.2</v>
      </c>
      <c r="FI264">
        <v>14331.2</v>
      </c>
      <c r="FJ264">
        <v>14331.2</v>
      </c>
      <c r="FK264">
        <v>14331.2</v>
      </c>
      <c r="FL264">
        <v>14331.2</v>
      </c>
      <c r="FM264">
        <v>14331.2</v>
      </c>
      <c r="FN264">
        <v>14331.2</v>
      </c>
      <c r="FO264">
        <v>14331.2</v>
      </c>
      <c r="FP264">
        <v>14331.2</v>
      </c>
      <c r="FQ264">
        <v>14331.2</v>
      </c>
      <c r="FR264">
        <v>0</v>
      </c>
      <c r="FS264">
        <v>0</v>
      </c>
      <c r="FT264">
        <v>0</v>
      </c>
      <c r="FU264">
        <v>0</v>
      </c>
      <c r="FV264">
        <v>0</v>
      </c>
      <c r="FW264">
        <v>0</v>
      </c>
      <c r="FX264">
        <v>0</v>
      </c>
      <c r="FY264">
        <v>0</v>
      </c>
      <c r="FZ264">
        <v>0</v>
      </c>
      <c r="GA264">
        <v>0</v>
      </c>
      <c r="GB264">
        <v>0</v>
      </c>
      <c r="GC264">
        <v>0</v>
      </c>
      <c r="GD264">
        <v>0</v>
      </c>
      <c r="GE264">
        <v>0</v>
      </c>
      <c r="GF264">
        <v>0</v>
      </c>
      <c r="GG264">
        <v>0</v>
      </c>
      <c r="GH264">
        <v>0</v>
      </c>
      <c r="GI264">
        <v>0</v>
      </c>
      <c r="GJ264">
        <v>0</v>
      </c>
      <c r="GK264">
        <v>0</v>
      </c>
      <c r="GL264">
        <v>0</v>
      </c>
      <c r="GM264">
        <v>0</v>
      </c>
      <c r="GN264">
        <v>0</v>
      </c>
      <c r="GO264">
        <v>0</v>
      </c>
      <c r="GP264">
        <v>0</v>
      </c>
      <c r="GQ264">
        <v>0</v>
      </c>
      <c r="GR264">
        <v>0</v>
      </c>
      <c r="GS264">
        <v>0</v>
      </c>
      <c r="GT264">
        <v>0</v>
      </c>
      <c r="GU264">
        <v>0</v>
      </c>
      <c r="GV264">
        <v>0</v>
      </c>
      <c r="GW264">
        <v>0</v>
      </c>
      <c r="GX264">
        <v>0</v>
      </c>
      <c r="GY264">
        <v>0</v>
      </c>
      <c r="GZ264">
        <v>0</v>
      </c>
      <c r="HA264">
        <v>0</v>
      </c>
      <c r="HB264">
        <v>0</v>
      </c>
      <c r="HC264">
        <v>0</v>
      </c>
      <c r="HD264">
        <v>0</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0</v>
      </c>
      <c r="IB264">
        <v>0</v>
      </c>
      <c r="IC264">
        <v>0</v>
      </c>
      <c r="ID264">
        <v>0</v>
      </c>
      <c r="IE264">
        <v>0</v>
      </c>
      <c r="IF264">
        <v>0</v>
      </c>
      <c r="IG264">
        <v>0</v>
      </c>
      <c r="IH264">
        <v>0</v>
      </c>
      <c r="II264">
        <v>0</v>
      </c>
      <c r="IJ264">
        <v>0</v>
      </c>
      <c r="IK264">
        <v>0</v>
      </c>
    </row>
    <row r="265" spans="13:245" hidden="1">
      <c r="M265" s="343" t="s">
        <v>633</v>
      </c>
      <c r="N265" t="s">
        <v>1010</v>
      </c>
      <c r="O265">
        <v>1</v>
      </c>
      <c r="P265">
        <v>47</v>
      </c>
      <c r="Q265" s="184" t="str">
        <f t="shared" si="10"/>
        <v>SDJ200147</v>
      </c>
      <c r="R265">
        <v>770.6</v>
      </c>
      <c r="S265">
        <v>2000</v>
      </c>
      <c r="T265">
        <v>2311.9</v>
      </c>
      <c r="U265">
        <v>3082.5</v>
      </c>
      <c r="V265">
        <v>3853.1</v>
      </c>
      <c r="W265">
        <v>4623.7</v>
      </c>
      <c r="X265">
        <v>5394.3</v>
      </c>
      <c r="Y265">
        <v>6165</v>
      </c>
      <c r="Z265">
        <v>6935.6</v>
      </c>
      <c r="AA265">
        <v>7706.2</v>
      </c>
      <c r="AB265">
        <v>8476.7999999999993</v>
      </c>
      <c r="AC265">
        <v>9247.4</v>
      </c>
      <c r="AD265">
        <v>10018.1</v>
      </c>
      <c r="AE265">
        <v>10788.7</v>
      </c>
      <c r="AF265">
        <v>11559.3</v>
      </c>
      <c r="AG265">
        <v>12329.9</v>
      </c>
      <c r="AH265">
        <v>13100.5</v>
      </c>
      <c r="AI265">
        <v>13871.2</v>
      </c>
      <c r="AJ265">
        <v>14641.8</v>
      </c>
      <c r="AK265">
        <v>15412.4</v>
      </c>
      <c r="AL265">
        <v>15412.4</v>
      </c>
      <c r="AM265">
        <v>15412.4</v>
      </c>
      <c r="AN265">
        <v>15412.4</v>
      </c>
      <c r="AO265">
        <v>15412.4</v>
      </c>
      <c r="AP265">
        <v>15412.4</v>
      </c>
      <c r="AQ265">
        <v>15412.4</v>
      </c>
      <c r="AR265">
        <v>15412.4</v>
      </c>
      <c r="AS265">
        <v>15412.4</v>
      </c>
      <c r="AT265">
        <v>15412.4</v>
      </c>
      <c r="AU265">
        <v>15412.4</v>
      </c>
      <c r="AV265">
        <v>15412.4</v>
      </c>
      <c r="AW265">
        <v>15412.4</v>
      </c>
      <c r="AX265">
        <v>15412.4</v>
      </c>
      <c r="AY265">
        <v>15412.4</v>
      </c>
      <c r="AZ265">
        <v>15412.4</v>
      </c>
      <c r="BA265">
        <v>15412.4</v>
      </c>
      <c r="BB265">
        <v>15412.4</v>
      </c>
      <c r="BC265">
        <v>15412.4</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Z265" s="343" t="s">
        <v>633</v>
      </c>
      <c r="EA265" t="s">
        <v>1010</v>
      </c>
      <c r="EB265">
        <v>1</v>
      </c>
      <c r="EC265">
        <v>47</v>
      </c>
      <c r="ED265" s="184" t="str">
        <f t="shared" si="11"/>
        <v>SDJ200147</v>
      </c>
      <c r="EE265">
        <v>770.6</v>
      </c>
      <c r="EF265">
        <v>10000</v>
      </c>
      <c r="EG265">
        <v>10000</v>
      </c>
      <c r="EH265">
        <v>10000</v>
      </c>
      <c r="EI265">
        <v>10000</v>
      </c>
      <c r="EJ265">
        <v>10000</v>
      </c>
      <c r="EK265">
        <v>10000</v>
      </c>
      <c r="EL265">
        <v>10000</v>
      </c>
      <c r="EM265">
        <v>10000</v>
      </c>
      <c r="EN265">
        <v>10000</v>
      </c>
      <c r="EO265">
        <v>10000</v>
      </c>
      <c r="EP265">
        <v>10000</v>
      </c>
      <c r="EQ265">
        <v>10018.1</v>
      </c>
      <c r="ER265">
        <v>10788.7</v>
      </c>
      <c r="ES265">
        <v>11559.3</v>
      </c>
      <c r="ET265">
        <v>12329.9</v>
      </c>
      <c r="EU265">
        <v>13100.5</v>
      </c>
      <c r="EV265">
        <v>13871.2</v>
      </c>
      <c r="EW265">
        <v>14641.8</v>
      </c>
      <c r="EX265">
        <v>15412.4</v>
      </c>
      <c r="EY265">
        <v>15412.4</v>
      </c>
      <c r="EZ265">
        <v>15412.4</v>
      </c>
      <c r="FA265">
        <v>15412.4</v>
      </c>
      <c r="FB265">
        <v>15412.4</v>
      </c>
      <c r="FC265">
        <v>15412.4</v>
      </c>
      <c r="FD265">
        <v>15412.4</v>
      </c>
      <c r="FE265">
        <v>15412.4</v>
      </c>
      <c r="FF265">
        <v>15412.4</v>
      </c>
      <c r="FG265">
        <v>15412.4</v>
      </c>
      <c r="FH265">
        <v>15412.4</v>
      </c>
      <c r="FI265">
        <v>15412.4</v>
      </c>
      <c r="FJ265">
        <v>15412.4</v>
      </c>
      <c r="FK265">
        <v>15412.4</v>
      </c>
      <c r="FL265">
        <v>15412.4</v>
      </c>
      <c r="FM265">
        <v>15412.4</v>
      </c>
      <c r="FN265">
        <v>15412.4</v>
      </c>
      <c r="FO265">
        <v>15412.4</v>
      </c>
      <c r="FP265">
        <v>15412.4</v>
      </c>
      <c r="FQ265">
        <v>0</v>
      </c>
      <c r="FR265">
        <v>0</v>
      </c>
      <c r="FS265">
        <v>0</v>
      </c>
      <c r="FT265">
        <v>0</v>
      </c>
      <c r="FU265">
        <v>0</v>
      </c>
      <c r="FV265">
        <v>0</v>
      </c>
      <c r="FW265">
        <v>0</v>
      </c>
      <c r="FX265">
        <v>0</v>
      </c>
      <c r="FY265">
        <v>0</v>
      </c>
      <c r="FZ265">
        <v>0</v>
      </c>
      <c r="GA265">
        <v>0</v>
      </c>
      <c r="GB265">
        <v>0</v>
      </c>
      <c r="GC265">
        <v>0</v>
      </c>
      <c r="GD265">
        <v>0</v>
      </c>
      <c r="GE265">
        <v>0</v>
      </c>
      <c r="GF265">
        <v>0</v>
      </c>
      <c r="GG265">
        <v>0</v>
      </c>
      <c r="GH265">
        <v>0</v>
      </c>
      <c r="GI265">
        <v>0</v>
      </c>
      <c r="GJ265">
        <v>0</v>
      </c>
      <c r="GK265">
        <v>0</v>
      </c>
      <c r="GL265">
        <v>0</v>
      </c>
      <c r="GM265">
        <v>0</v>
      </c>
      <c r="GN265">
        <v>0</v>
      </c>
      <c r="GO265">
        <v>0</v>
      </c>
      <c r="GP265">
        <v>0</v>
      </c>
      <c r="GQ265">
        <v>0</v>
      </c>
      <c r="GR265">
        <v>0</v>
      </c>
      <c r="GS265">
        <v>0</v>
      </c>
      <c r="GT265">
        <v>0</v>
      </c>
      <c r="GU265">
        <v>0</v>
      </c>
      <c r="GV265">
        <v>0</v>
      </c>
      <c r="GW265">
        <v>0</v>
      </c>
      <c r="GX265">
        <v>0</v>
      </c>
      <c r="GY265">
        <v>0</v>
      </c>
      <c r="GZ265">
        <v>0</v>
      </c>
      <c r="HA265">
        <v>0</v>
      </c>
      <c r="HB265">
        <v>0</v>
      </c>
      <c r="HC265">
        <v>0</v>
      </c>
      <c r="HD265">
        <v>0</v>
      </c>
      <c r="HE265">
        <v>0</v>
      </c>
      <c r="HF265">
        <v>0</v>
      </c>
      <c r="HG265">
        <v>0</v>
      </c>
      <c r="HH265">
        <v>0</v>
      </c>
      <c r="HI265">
        <v>0</v>
      </c>
      <c r="HJ265">
        <v>0</v>
      </c>
      <c r="HK265">
        <v>0</v>
      </c>
      <c r="HL265">
        <v>0</v>
      </c>
      <c r="HM265">
        <v>0</v>
      </c>
      <c r="HN265">
        <v>0</v>
      </c>
      <c r="HO265">
        <v>0</v>
      </c>
      <c r="HP265">
        <v>0</v>
      </c>
      <c r="HQ265">
        <v>0</v>
      </c>
      <c r="HR265">
        <v>0</v>
      </c>
      <c r="HS265">
        <v>0</v>
      </c>
      <c r="HT265">
        <v>0</v>
      </c>
      <c r="HU265">
        <v>0</v>
      </c>
      <c r="HV265">
        <v>0</v>
      </c>
      <c r="HW265">
        <v>0</v>
      </c>
      <c r="HX265">
        <v>0</v>
      </c>
      <c r="HY265">
        <v>0</v>
      </c>
      <c r="HZ265">
        <v>0</v>
      </c>
      <c r="IA265">
        <v>0</v>
      </c>
      <c r="IB265">
        <v>0</v>
      </c>
      <c r="IC265">
        <v>0</v>
      </c>
      <c r="ID265">
        <v>0</v>
      </c>
      <c r="IE265">
        <v>0</v>
      </c>
      <c r="IF265">
        <v>0</v>
      </c>
      <c r="IG265">
        <v>0</v>
      </c>
      <c r="IH265">
        <v>0</v>
      </c>
      <c r="II265">
        <v>0</v>
      </c>
      <c r="IJ265">
        <v>0</v>
      </c>
      <c r="IK265">
        <v>0</v>
      </c>
    </row>
    <row r="266" spans="13:245" hidden="1">
      <c r="M266" s="343" t="s">
        <v>633</v>
      </c>
      <c r="N266" t="s">
        <v>1010</v>
      </c>
      <c r="O266">
        <v>1</v>
      </c>
      <c r="P266">
        <v>48</v>
      </c>
      <c r="Q266" s="184" t="str">
        <f t="shared" si="10"/>
        <v>SDJ200148</v>
      </c>
      <c r="R266">
        <v>814.1</v>
      </c>
      <c r="S266">
        <v>2000</v>
      </c>
      <c r="T266">
        <v>2442.1999999999998</v>
      </c>
      <c r="U266">
        <v>3256.3</v>
      </c>
      <c r="V266">
        <v>4070.4</v>
      </c>
      <c r="W266">
        <v>4884.5</v>
      </c>
      <c r="X266">
        <v>5698.6</v>
      </c>
      <c r="Y266">
        <v>6512.6</v>
      </c>
      <c r="Z266">
        <v>7326.7</v>
      </c>
      <c r="AA266">
        <v>8140.8</v>
      </c>
      <c r="AB266">
        <v>8954.9</v>
      </c>
      <c r="AC266">
        <v>9769</v>
      </c>
      <c r="AD266">
        <v>10583</v>
      </c>
      <c r="AE266">
        <v>11397.1</v>
      </c>
      <c r="AF266">
        <v>12211.2</v>
      </c>
      <c r="AG266">
        <v>13025.3</v>
      </c>
      <c r="AH266">
        <v>13839.4</v>
      </c>
      <c r="AI266">
        <v>14653.4</v>
      </c>
      <c r="AJ266">
        <v>15467.5</v>
      </c>
      <c r="AK266">
        <v>16281.6</v>
      </c>
      <c r="AL266">
        <v>16281.6</v>
      </c>
      <c r="AM266">
        <v>16281.6</v>
      </c>
      <c r="AN266">
        <v>16281.6</v>
      </c>
      <c r="AO266">
        <v>16281.6</v>
      </c>
      <c r="AP266">
        <v>16281.6</v>
      </c>
      <c r="AQ266">
        <v>16281.6</v>
      </c>
      <c r="AR266">
        <v>16281.6</v>
      </c>
      <c r="AS266">
        <v>16281.6</v>
      </c>
      <c r="AT266">
        <v>16281.6</v>
      </c>
      <c r="AU266">
        <v>16281.6</v>
      </c>
      <c r="AV266">
        <v>16281.6</v>
      </c>
      <c r="AW266">
        <v>16281.6</v>
      </c>
      <c r="AX266">
        <v>16281.6</v>
      </c>
      <c r="AY266">
        <v>16281.6</v>
      </c>
      <c r="AZ266">
        <v>16281.6</v>
      </c>
      <c r="BA266">
        <v>16281.6</v>
      </c>
      <c r="BB266">
        <v>16281.6</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Z266" s="343" t="s">
        <v>633</v>
      </c>
      <c r="EA266" t="s">
        <v>1010</v>
      </c>
      <c r="EB266">
        <v>1</v>
      </c>
      <c r="EC266">
        <v>48</v>
      </c>
      <c r="ED266" s="184" t="str">
        <f t="shared" si="11"/>
        <v>SDJ200148</v>
      </c>
      <c r="EE266">
        <v>814.1</v>
      </c>
      <c r="EF266">
        <v>10000</v>
      </c>
      <c r="EG266">
        <v>10000</v>
      </c>
      <c r="EH266">
        <v>10000</v>
      </c>
      <c r="EI266">
        <v>10000</v>
      </c>
      <c r="EJ266">
        <v>10000</v>
      </c>
      <c r="EK266">
        <v>10000</v>
      </c>
      <c r="EL266">
        <v>10000</v>
      </c>
      <c r="EM266">
        <v>10000</v>
      </c>
      <c r="EN266">
        <v>10000</v>
      </c>
      <c r="EO266">
        <v>10000</v>
      </c>
      <c r="EP266">
        <v>10000</v>
      </c>
      <c r="EQ266">
        <v>10583</v>
      </c>
      <c r="ER266">
        <v>11397.1</v>
      </c>
      <c r="ES266">
        <v>12211.2</v>
      </c>
      <c r="ET266">
        <v>13025.3</v>
      </c>
      <c r="EU266">
        <v>13839.4</v>
      </c>
      <c r="EV266">
        <v>14653.4</v>
      </c>
      <c r="EW266">
        <v>15467.5</v>
      </c>
      <c r="EX266">
        <v>16281.6</v>
      </c>
      <c r="EY266">
        <v>16281.6</v>
      </c>
      <c r="EZ266">
        <v>16281.6</v>
      </c>
      <c r="FA266">
        <v>16281.6</v>
      </c>
      <c r="FB266">
        <v>16281.6</v>
      </c>
      <c r="FC266">
        <v>16281.6</v>
      </c>
      <c r="FD266">
        <v>16281.6</v>
      </c>
      <c r="FE266">
        <v>16281.6</v>
      </c>
      <c r="FF266">
        <v>16281.6</v>
      </c>
      <c r="FG266">
        <v>16281.6</v>
      </c>
      <c r="FH266">
        <v>16281.6</v>
      </c>
      <c r="FI266">
        <v>16281.6</v>
      </c>
      <c r="FJ266">
        <v>16281.6</v>
      </c>
      <c r="FK266">
        <v>16281.6</v>
      </c>
      <c r="FL266">
        <v>16281.6</v>
      </c>
      <c r="FM266">
        <v>16281.6</v>
      </c>
      <c r="FN266">
        <v>16281.6</v>
      </c>
      <c r="FO266">
        <v>16281.6</v>
      </c>
      <c r="FP266">
        <v>0</v>
      </c>
      <c r="FQ266">
        <v>0</v>
      </c>
      <c r="FR266">
        <v>0</v>
      </c>
      <c r="FS266">
        <v>0</v>
      </c>
      <c r="FT266">
        <v>0</v>
      </c>
      <c r="FU266">
        <v>0</v>
      </c>
      <c r="FV266">
        <v>0</v>
      </c>
      <c r="FW266">
        <v>0</v>
      </c>
      <c r="FX266">
        <v>0</v>
      </c>
      <c r="FY266">
        <v>0</v>
      </c>
      <c r="FZ266">
        <v>0</v>
      </c>
      <c r="GA266">
        <v>0</v>
      </c>
      <c r="GB266">
        <v>0</v>
      </c>
      <c r="GC266">
        <v>0</v>
      </c>
      <c r="GD266">
        <v>0</v>
      </c>
      <c r="GE266">
        <v>0</v>
      </c>
      <c r="GF266">
        <v>0</v>
      </c>
      <c r="GG266">
        <v>0</v>
      </c>
      <c r="GH266">
        <v>0</v>
      </c>
      <c r="GI266">
        <v>0</v>
      </c>
      <c r="GJ266">
        <v>0</v>
      </c>
      <c r="GK266">
        <v>0</v>
      </c>
      <c r="GL266">
        <v>0</v>
      </c>
      <c r="GM266">
        <v>0</v>
      </c>
      <c r="GN266">
        <v>0</v>
      </c>
      <c r="GO266">
        <v>0</v>
      </c>
      <c r="GP266">
        <v>0</v>
      </c>
      <c r="GQ266">
        <v>0</v>
      </c>
      <c r="GR266">
        <v>0</v>
      </c>
      <c r="GS266">
        <v>0</v>
      </c>
      <c r="GT266">
        <v>0</v>
      </c>
      <c r="GU266">
        <v>0</v>
      </c>
      <c r="GV266">
        <v>0</v>
      </c>
      <c r="GW266">
        <v>0</v>
      </c>
      <c r="GX266">
        <v>0</v>
      </c>
      <c r="GY266">
        <v>0</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c r="IK266">
        <v>0</v>
      </c>
    </row>
    <row r="267" spans="13:245" hidden="1">
      <c r="M267" s="343" t="s">
        <v>633</v>
      </c>
      <c r="N267" t="s">
        <v>1010</v>
      </c>
      <c r="O267">
        <v>1</v>
      </c>
      <c r="P267">
        <v>49</v>
      </c>
      <c r="Q267" s="184" t="str">
        <f t="shared" si="10"/>
        <v>SDJ200149</v>
      </c>
      <c r="R267">
        <v>868.1</v>
      </c>
      <c r="S267">
        <v>2000</v>
      </c>
      <c r="T267">
        <v>2604.4</v>
      </c>
      <c r="U267">
        <v>3472.6</v>
      </c>
      <c r="V267">
        <v>4340.7</v>
      </c>
      <c r="W267">
        <v>5208.8</v>
      </c>
      <c r="X267">
        <v>6077</v>
      </c>
      <c r="Y267">
        <v>6945.1</v>
      </c>
      <c r="Z267">
        <v>7813.3</v>
      </c>
      <c r="AA267">
        <v>8681.4</v>
      </c>
      <c r="AB267">
        <v>9549.5</v>
      </c>
      <c r="AC267">
        <v>10417.700000000001</v>
      </c>
      <c r="AD267">
        <v>11285.8</v>
      </c>
      <c r="AE267">
        <v>12154</v>
      </c>
      <c r="AF267">
        <v>13022.1</v>
      </c>
      <c r="AG267">
        <v>13890.2</v>
      </c>
      <c r="AH267">
        <v>14758.4</v>
      </c>
      <c r="AI267">
        <v>15626.5</v>
      </c>
      <c r="AJ267">
        <v>16494.7</v>
      </c>
      <c r="AK267">
        <v>17362.8</v>
      </c>
      <c r="AL267">
        <v>17362.8</v>
      </c>
      <c r="AM267">
        <v>17362.8</v>
      </c>
      <c r="AN267">
        <v>17362.8</v>
      </c>
      <c r="AO267">
        <v>17362.8</v>
      </c>
      <c r="AP267">
        <v>17362.8</v>
      </c>
      <c r="AQ267">
        <v>17362.8</v>
      </c>
      <c r="AR267">
        <v>17362.8</v>
      </c>
      <c r="AS267">
        <v>17362.8</v>
      </c>
      <c r="AT267">
        <v>17362.8</v>
      </c>
      <c r="AU267">
        <v>17362.8</v>
      </c>
      <c r="AV267">
        <v>17362.8</v>
      </c>
      <c r="AW267">
        <v>17362.8</v>
      </c>
      <c r="AX267">
        <v>17362.8</v>
      </c>
      <c r="AY267">
        <v>17362.8</v>
      </c>
      <c r="AZ267">
        <v>17362.8</v>
      </c>
      <c r="BA267">
        <v>17362.8</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Z267" s="343" t="s">
        <v>633</v>
      </c>
      <c r="EA267" t="s">
        <v>1010</v>
      </c>
      <c r="EB267">
        <v>1</v>
      </c>
      <c r="EC267">
        <v>49</v>
      </c>
      <c r="ED267" s="184" t="str">
        <f t="shared" si="11"/>
        <v>SDJ200149</v>
      </c>
      <c r="EE267">
        <v>868.1</v>
      </c>
      <c r="EF267">
        <v>10000</v>
      </c>
      <c r="EG267">
        <v>10000</v>
      </c>
      <c r="EH267">
        <v>10000</v>
      </c>
      <c r="EI267">
        <v>10000</v>
      </c>
      <c r="EJ267">
        <v>10000</v>
      </c>
      <c r="EK267">
        <v>10000</v>
      </c>
      <c r="EL267">
        <v>10000</v>
      </c>
      <c r="EM267">
        <v>10000</v>
      </c>
      <c r="EN267">
        <v>10000</v>
      </c>
      <c r="EO267">
        <v>10000</v>
      </c>
      <c r="EP267">
        <v>10417.700000000001</v>
      </c>
      <c r="EQ267">
        <v>11285.8</v>
      </c>
      <c r="ER267">
        <v>12154</v>
      </c>
      <c r="ES267">
        <v>13022.1</v>
      </c>
      <c r="ET267">
        <v>13890.2</v>
      </c>
      <c r="EU267">
        <v>14758.4</v>
      </c>
      <c r="EV267">
        <v>15626.5</v>
      </c>
      <c r="EW267">
        <v>16494.7</v>
      </c>
      <c r="EX267">
        <v>17362.8</v>
      </c>
      <c r="EY267">
        <v>17362.8</v>
      </c>
      <c r="EZ267">
        <v>17362.8</v>
      </c>
      <c r="FA267">
        <v>17362.8</v>
      </c>
      <c r="FB267">
        <v>17362.8</v>
      </c>
      <c r="FC267">
        <v>17362.8</v>
      </c>
      <c r="FD267">
        <v>17362.8</v>
      </c>
      <c r="FE267">
        <v>17362.8</v>
      </c>
      <c r="FF267">
        <v>17362.8</v>
      </c>
      <c r="FG267">
        <v>17362.8</v>
      </c>
      <c r="FH267">
        <v>17362.8</v>
      </c>
      <c r="FI267">
        <v>17362.8</v>
      </c>
      <c r="FJ267">
        <v>17362.8</v>
      </c>
      <c r="FK267">
        <v>17362.8</v>
      </c>
      <c r="FL267">
        <v>17362.8</v>
      </c>
      <c r="FM267">
        <v>17362.8</v>
      </c>
      <c r="FN267">
        <v>17362.8</v>
      </c>
      <c r="FO267">
        <v>0</v>
      </c>
      <c r="FP267">
        <v>0</v>
      </c>
      <c r="FQ267">
        <v>0</v>
      </c>
      <c r="FR267">
        <v>0</v>
      </c>
      <c r="FS267">
        <v>0</v>
      </c>
      <c r="FT267">
        <v>0</v>
      </c>
      <c r="FU267">
        <v>0</v>
      </c>
      <c r="FV267">
        <v>0</v>
      </c>
      <c r="FW267">
        <v>0</v>
      </c>
      <c r="FX267">
        <v>0</v>
      </c>
      <c r="FY267">
        <v>0</v>
      </c>
      <c r="FZ267">
        <v>0</v>
      </c>
      <c r="GA267">
        <v>0</v>
      </c>
      <c r="GB267">
        <v>0</v>
      </c>
      <c r="GC267">
        <v>0</v>
      </c>
      <c r="GD267">
        <v>0</v>
      </c>
      <c r="GE267">
        <v>0</v>
      </c>
      <c r="GF267">
        <v>0</v>
      </c>
      <c r="GG267">
        <v>0</v>
      </c>
      <c r="GH267">
        <v>0</v>
      </c>
      <c r="GI267">
        <v>0</v>
      </c>
      <c r="GJ267">
        <v>0</v>
      </c>
      <c r="GK267">
        <v>0</v>
      </c>
      <c r="GL267">
        <v>0</v>
      </c>
      <c r="GM267">
        <v>0</v>
      </c>
      <c r="GN267">
        <v>0</v>
      </c>
      <c r="GO267">
        <v>0</v>
      </c>
      <c r="GP267">
        <v>0</v>
      </c>
      <c r="GQ267">
        <v>0</v>
      </c>
      <c r="GR267">
        <v>0</v>
      </c>
      <c r="GS267">
        <v>0</v>
      </c>
      <c r="GT267">
        <v>0</v>
      </c>
      <c r="GU267">
        <v>0</v>
      </c>
      <c r="GV267">
        <v>0</v>
      </c>
      <c r="GW267">
        <v>0</v>
      </c>
      <c r="GX267">
        <v>0</v>
      </c>
      <c r="GY267">
        <v>0</v>
      </c>
      <c r="GZ267">
        <v>0</v>
      </c>
      <c r="HA267">
        <v>0</v>
      </c>
      <c r="HB267">
        <v>0</v>
      </c>
      <c r="HC267">
        <v>0</v>
      </c>
      <c r="HD267">
        <v>0</v>
      </c>
      <c r="HE267">
        <v>0</v>
      </c>
      <c r="HF267">
        <v>0</v>
      </c>
      <c r="HG267">
        <v>0</v>
      </c>
      <c r="HH267">
        <v>0</v>
      </c>
      <c r="HI267">
        <v>0</v>
      </c>
      <c r="HJ267">
        <v>0</v>
      </c>
      <c r="HK267">
        <v>0</v>
      </c>
      <c r="HL267">
        <v>0</v>
      </c>
      <c r="HM267">
        <v>0</v>
      </c>
      <c r="HN267">
        <v>0</v>
      </c>
      <c r="HO267">
        <v>0</v>
      </c>
      <c r="HP267">
        <v>0</v>
      </c>
      <c r="HQ267">
        <v>0</v>
      </c>
      <c r="HR267">
        <v>0</v>
      </c>
      <c r="HS267">
        <v>0</v>
      </c>
      <c r="HT267">
        <v>0</v>
      </c>
      <c r="HU267">
        <v>0</v>
      </c>
      <c r="HV267">
        <v>0</v>
      </c>
      <c r="HW267">
        <v>0</v>
      </c>
      <c r="HX267">
        <v>0</v>
      </c>
      <c r="HY267">
        <v>0</v>
      </c>
      <c r="HZ267">
        <v>0</v>
      </c>
      <c r="IA267">
        <v>0</v>
      </c>
      <c r="IB267">
        <v>0</v>
      </c>
      <c r="IC267">
        <v>0</v>
      </c>
      <c r="ID267">
        <v>0</v>
      </c>
      <c r="IE267">
        <v>0</v>
      </c>
      <c r="IF267">
        <v>0</v>
      </c>
      <c r="IG267">
        <v>0</v>
      </c>
      <c r="IH267">
        <v>0</v>
      </c>
      <c r="II267">
        <v>0</v>
      </c>
      <c r="IJ267">
        <v>0</v>
      </c>
      <c r="IK267">
        <v>0</v>
      </c>
    </row>
    <row r="268" spans="13:245" hidden="1">
      <c r="M268" s="343" t="s">
        <v>633</v>
      </c>
      <c r="N268" t="s">
        <v>1010</v>
      </c>
      <c r="O268">
        <v>1</v>
      </c>
      <c r="P268">
        <v>50</v>
      </c>
      <c r="Q268" s="184" t="str">
        <f t="shared" si="10"/>
        <v>SDJ200150</v>
      </c>
      <c r="R268">
        <v>932.8</v>
      </c>
      <c r="S268">
        <v>2000</v>
      </c>
      <c r="T268">
        <v>2798.4</v>
      </c>
      <c r="U268">
        <v>3731.2</v>
      </c>
      <c r="V268">
        <v>4664</v>
      </c>
      <c r="W268">
        <v>5596.8</v>
      </c>
      <c r="X268">
        <v>6529.6</v>
      </c>
      <c r="Y268">
        <v>7462.4</v>
      </c>
      <c r="Z268">
        <v>8395.2000000000007</v>
      </c>
      <c r="AA268">
        <v>9328</v>
      </c>
      <c r="AB268">
        <v>10260.799999999999</v>
      </c>
      <c r="AC268">
        <v>11193.6</v>
      </c>
      <c r="AD268">
        <v>12126.4</v>
      </c>
      <c r="AE268">
        <v>13059.2</v>
      </c>
      <c r="AF268">
        <v>13992</v>
      </c>
      <c r="AG268">
        <v>14924.8</v>
      </c>
      <c r="AH268">
        <v>15857.6</v>
      </c>
      <c r="AI268">
        <v>16790.400000000001</v>
      </c>
      <c r="AJ268">
        <v>17723.2</v>
      </c>
      <c r="AK268">
        <v>18656</v>
      </c>
      <c r="AL268">
        <v>18656</v>
      </c>
      <c r="AM268">
        <v>18656</v>
      </c>
      <c r="AN268">
        <v>18656</v>
      </c>
      <c r="AO268">
        <v>18656</v>
      </c>
      <c r="AP268">
        <v>18656</v>
      </c>
      <c r="AQ268">
        <v>18656</v>
      </c>
      <c r="AR268">
        <v>18656</v>
      </c>
      <c r="AS268">
        <v>18656</v>
      </c>
      <c r="AT268">
        <v>18656</v>
      </c>
      <c r="AU268">
        <v>18656</v>
      </c>
      <c r="AV268">
        <v>18656</v>
      </c>
      <c r="AW268">
        <v>18656</v>
      </c>
      <c r="AX268">
        <v>18656</v>
      </c>
      <c r="AY268">
        <v>18656</v>
      </c>
      <c r="AZ268">
        <v>18656</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Z268" s="343" t="s">
        <v>633</v>
      </c>
      <c r="EA268" t="s">
        <v>1010</v>
      </c>
      <c r="EB268">
        <v>1</v>
      </c>
      <c r="EC268">
        <v>50</v>
      </c>
      <c r="ED268" s="184" t="str">
        <f t="shared" si="11"/>
        <v>SDJ200150</v>
      </c>
      <c r="EE268">
        <v>932.8</v>
      </c>
      <c r="EF268">
        <v>10000</v>
      </c>
      <c r="EG268">
        <v>10000</v>
      </c>
      <c r="EH268">
        <v>10000</v>
      </c>
      <c r="EI268">
        <v>10000</v>
      </c>
      <c r="EJ268">
        <v>10000</v>
      </c>
      <c r="EK268">
        <v>10000</v>
      </c>
      <c r="EL268">
        <v>10000</v>
      </c>
      <c r="EM268">
        <v>10000</v>
      </c>
      <c r="EN268">
        <v>10000</v>
      </c>
      <c r="EO268">
        <v>10260.799999999999</v>
      </c>
      <c r="EP268">
        <v>11193.6</v>
      </c>
      <c r="EQ268">
        <v>12126.4</v>
      </c>
      <c r="ER268">
        <v>13059.2</v>
      </c>
      <c r="ES268">
        <v>13992</v>
      </c>
      <c r="ET268">
        <v>14924.8</v>
      </c>
      <c r="EU268">
        <v>15857.6</v>
      </c>
      <c r="EV268">
        <v>16790.400000000001</v>
      </c>
      <c r="EW268">
        <v>17723.2</v>
      </c>
      <c r="EX268">
        <v>18656</v>
      </c>
      <c r="EY268">
        <v>18656</v>
      </c>
      <c r="EZ268">
        <v>18656</v>
      </c>
      <c r="FA268">
        <v>18656</v>
      </c>
      <c r="FB268">
        <v>18656</v>
      </c>
      <c r="FC268">
        <v>18656</v>
      </c>
      <c r="FD268">
        <v>18656</v>
      </c>
      <c r="FE268">
        <v>18656</v>
      </c>
      <c r="FF268">
        <v>18656</v>
      </c>
      <c r="FG268">
        <v>18656</v>
      </c>
      <c r="FH268">
        <v>18656</v>
      </c>
      <c r="FI268">
        <v>18656</v>
      </c>
      <c r="FJ268">
        <v>18656</v>
      </c>
      <c r="FK268">
        <v>18656</v>
      </c>
      <c r="FL268">
        <v>18656</v>
      </c>
      <c r="FM268">
        <v>18656</v>
      </c>
      <c r="FN268">
        <v>0</v>
      </c>
      <c r="FO268">
        <v>0</v>
      </c>
      <c r="FP268">
        <v>0</v>
      </c>
      <c r="FQ268">
        <v>0</v>
      </c>
      <c r="FR268">
        <v>0</v>
      </c>
      <c r="FS268">
        <v>0</v>
      </c>
      <c r="FT268">
        <v>0</v>
      </c>
      <c r="FU268">
        <v>0</v>
      </c>
      <c r="FV268">
        <v>0</v>
      </c>
      <c r="FW268">
        <v>0</v>
      </c>
      <c r="FX268">
        <v>0</v>
      </c>
      <c r="FY268">
        <v>0</v>
      </c>
      <c r="FZ268">
        <v>0</v>
      </c>
      <c r="GA268">
        <v>0</v>
      </c>
      <c r="GB268">
        <v>0</v>
      </c>
      <c r="GC268">
        <v>0</v>
      </c>
      <c r="GD268">
        <v>0</v>
      </c>
      <c r="GE268">
        <v>0</v>
      </c>
      <c r="GF268">
        <v>0</v>
      </c>
      <c r="GG268">
        <v>0</v>
      </c>
      <c r="GH268">
        <v>0</v>
      </c>
      <c r="GI268">
        <v>0</v>
      </c>
      <c r="GJ268">
        <v>0</v>
      </c>
      <c r="GK268">
        <v>0</v>
      </c>
      <c r="GL268">
        <v>0</v>
      </c>
      <c r="GM268">
        <v>0</v>
      </c>
      <c r="GN268">
        <v>0</v>
      </c>
      <c r="GO268">
        <v>0</v>
      </c>
      <c r="GP268">
        <v>0</v>
      </c>
      <c r="GQ268">
        <v>0</v>
      </c>
      <c r="GR268">
        <v>0</v>
      </c>
      <c r="GS268">
        <v>0</v>
      </c>
      <c r="GT268">
        <v>0</v>
      </c>
      <c r="GU268">
        <v>0</v>
      </c>
      <c r="GV268">
        <v>0</v>
      </c>
      <c r="GW268">
        <v>0</v>
      </c>
      <c r="GX268">
        <v>0</v>
      </c>
      <c r="GY268">
        <v>0</v>
      </c>
      <c r="GZ268">
        <v>0</v>
      </c>
      <c r="HA268">
        <v>0</v>
      </c>
      <c r="HB268">
        <v>0</v>
      </c>
      <c r="HC268">
        <v>0</v>
      </c>
      <c r="HD268">
        <v>0</v>
      </c>
      <c r="HE268">
        <v>0</v>
      </c>
      <c r="HF268">
        <v>0</v>
      </c>
      <c r="HG268">
        <v>0</v>
      </c>
      <c r="HH268">
        <v>0</v>
      </c>
      <c r="HI268">
        <v>0</v>
      </c>
      <c r="HJ268">
        <v>0</v>
      </c>
      <c r="HK268">
        <v>0</v>
      </c>
      <c r="HL268">
        <v>0</v>
      </c>
      <c r="HM268">
        <v>0</v>
      </c>
      <c r="HN268">
        <v>0</v>
      </c>
      <c r="HO268">
        <v>0</v>
      </c>
      <c r="HP268">
        <v>0</v>
      </c>
      <c r="HQ268">
        <v>0</v>
      </c>
      <c r="HR268">
        <v>0</v>
      </c>
      <c r="HS268">
        <v>0</v>
      </c>
      <c r="HT268">
        <v>0</v>
      </c>
      <c r="HU268">
        <v>0</v>
      </c>
      <c r="HV268">
        <v>0</v>
      </c>
      <c r="HW268">
        <v>0</v>
      </c>
      <c r="HX268">
        <v>0</v>
      </c>
      <c r="HY268">
        <v>0</v>
      </c>
      <c r="HZ268">
        <v>0</v>
      </c>
      <c r="IA268">
        <v>0</v>
      </c>
      <c r="IB268">
        <v>0</v>
      </c>
      <c r="IC268">
        <v>0</v>
      </c>
      <c r="ID268">
        <v>0</v>
      </c>
      <c r="IE268">
        <v>0</v>
      </c>
      <c r="IF268">
        <v>0</v>
      </c>
      <c r="IG268">
        <v>0</v>
      </c>
      <c r="IH268">
        <v>0</v>
      </c>
      <c r="II268">
        <v>0</v>
      </c>
      <c r="IJ268">
        <v>0</v>
      </c>
      <c r="IK268">
        <v>0</v>
      </c>
    </row>
    <row r="269" spans="13:245" hidden="1">
      <c r="M269" s="343" t="s">
        <v>633</v>
      </c>
      <c r="N269" t="s">
        <v>1010</v>
      </c>
      <c r="O269">
        <v>2</v>
      </c>
      <c r="P269">
        <v>0</v>
      </c>
      <c r="Q269" s="184" t="str">
        <f t="shared" si="10"/>
        <v>SDJ200200</v>
      </c>
      <c r="R269">
        <v>247</v>
      </c>
      <c r="S269">
        <v>2000</v>
      </c>
      <c r="T269">
        <v>2000</v>
      </c>
      <c r="U269">
        <v>2000</v>
      </c>
      <c r="V269">
        <v>2000</v>
      </c>
      <c r="W269">
        <v>2000</v>
      </c>
      <c r="X269">
        <v>2000</v>
      </c>
      <c r="Y269">
        <v>2000</v>
      </c>
      <c r="Z269">
        <v>2222.8000000000002</v>
      </c>
      <c r="AA269">
        <v>2469.8000000000002</v>
      </c>
      <c r="AB269">
        <v>2716.8</v>
      </c>
      <c r="AC269">
        <v>2963.8</v>
      </c>
      <c r="AD269">
        <v>3210.7</v>
      </c>
      <c r="AE269">
        <v>3457.7</v>
      </c>
      <c r="AF269">
        <v>3704.7</v>
      </c>
      <c r="AG269">
        <v>3951.7</v>
      </c>
      <c r="AH269">
        <v>4198.7</v>
      </c>
      <c r="AI269">
        <v>4445.6000000000004</v>
      </c>
      <c r="AJ269">
        <v>4692.6000000000004</v>
      </c>
      <c r="AK269">
        <v>4939.6000000000004</v>
      </c>
      <c r="AL269">
        <v>4939.6000000000004</v>
      </c>
      <c r="AM269">
        <v>4939.6000000000004</v>
      </c>
      <c r="AN269">
        <v>4939.6000000000004</v>
      </c>
      <c r="AO269">
        <v>4939.6000000000004</v>
      </c>
      <c r="AP269">
        <v>4939.6000000000004</v>
      </c>
      <c r="AQ269">
        <v>4939.6000000000004</v>
      </c>
      <c r="AR269">
        <v>4939.6000000000004</v>
      </c>
      <c r="AS269">
        <v>4939.6000000000004</v>
      </c>
      <c r="AT269">
        <v>4939.6000000000004</v>
      </c>
      <c r="AU269">
        <v>4939.6000000000004</v>
      </c>
      <c r="AV269">
        <v>4939.6000000000004</v>
      </c>
      <c r="AW269">
        <v>4939.6000000000004</v>
      </c>
      <c r="AX269">
        <v>4939.6000000000004</v>
      </c>
      <c r="AY269">
        <v>4939.6000000000004</v>
      </c>
      <c r="AZ269">
        <v>4939.6000000000004</v>
      </c>
      <c r="BA269">
        <v>4939.6000000000004</v>
      </c>
      <c r="BB269">
        <v>4939.6000000000004</v>
      </c>
      <c r="BC269">
        <v>4939.6000000000004</v>
      </c>
      <c r="BD269">
        <v>4939.6000000000004</v>
      </c>
      <c r="BE269">
        <v>4939.6000000000004</v>
      </c>
      <c r="BF269">
        <v>4939.6000000000004</v>
      </c>
      <c r="BG269">
        <v>4939.6000000000004</v>
      </c>
      <c r="BH269">
        <v>4939.6000000000004</v>
      </c>
      <c r="BI269">
        <v>4939.6000000000004</v>
      </c>
      <c r="BJ269">
        <v>4939.6000000000004</v>
      </c>
      <c r="BK269">
        <v>4939.6000000000004</v>
      </c>
      <c r="BL269">
        <v>4939.6000000000004</v>
      </c>
      <c r="BM269">
        <v>4939.6000000000004</v>
      </c>
      <c r="BN269">
        <v>4939.6000000000004</v>
      </c>
      <c r="BO269">
        <v>4939.6000000000004</v>
      </c>
      <c r="BP269">
        <v>4939.6000000000004</v>
      </c>
      <c r="BQ269">
        <v>4939.6000000000004</v>
      </c>
      <c r="BR269">
        <v>4939.6000000000004</v>
      </c>
      <c r="BS269">
        <v>4939.6000000000004</v>
      </c>
      <c r="BT269">
        <v>4939.6000000000004</v>
      </c>
      <c r="BU269">
        <v>4939.6000000000004</v>
      </c>
      <c r="BV269">
        <v>4939.6000000000004</v>
      </c>
      <c r="BW269">
        <v>4939.6000000000004</v>
      </c>
      <c r="BX269">
        <v>4939.6000000000004</v>
      </c>
      <c r="BY269">
        <v>4939.6000000000004</v>
      </c>
      <c r="BZ269">
        <v>4939.6000000000004</v>
      </c>
      <c r="CA269">
        <v>4939.6000000000004</v>
      </c>
      <c r="CB269">
        <v>4939.6000000000004</v>
      </c>
      <c r="CC269">
        <v>4939.6000000000004</v>
      </c>
      <c r="CD269">
        <v>4939.6000000000004</v>
      </c>
      <c r="CE269">
        <v>4939.6000000000004</v>
      </c>
      <c r="CF269">
        <v>4939.6000000000004</v>
      </c>
      <c r="CG269">
        <v>4939.6000000000004</v>
      </c>
      <c r="CH269">
        <v>4939.6000000000004</v>
      </c>
      <c r="CI269">
        <v>4939.6000000000004</v>
      </c>
      <c r="CJ269">
        <v>4939.6000000000004</v>
      </c>
      <c r="CK269">
        <v>4939.6000000000004</v>
      </c>
      <c r="CL269">
        <v>4939.6000000000004</v>
      </c>
      <c r="CM269">
        <v>4939.6000000000004</v>
      </c>
      <c r="CN269">
        <v>4939.6000000000004</v>
      </c>
      <c r="CO269">
        <v>4939.6000000000004</v>
      </c>
      <c r="CP269">
        <v>4939.6000000000004</v>
      </c>
      <c r="CQ269">
        <v>4939.6000000000004</v>
      </c>
      <c r="CR269">
        <v>4939.6000000000004</v>
      </c>
      <c r="CS269">
        <v>4939.6000000000004</v>
      </c>
      <c r="CT269">
        <v>4939.6000000000004</v>
      </c>
      <c r="CU269">
        <v>4939.6000000000004</v>
      </c>
      <c r="CV269">
        <v>4939.6000000000004</v>
      </c>
      <c r="CW269">
        <v>4939.6000000000004</v>
      </c>
      <c r="CX269">
        <v>4939.6000000000004</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Z269" s="343" t="s">
        <v>633</v>
      </c>
      <c r="EA269" t="s">
        <v>1010</v>
      </c>
      <c r="EB269">
        <v>2</v>
      </c>
      <c r="EC269">
        <v>0</v>
      </c>
      <c r="ED269" s="184" t="str">
        <f t="shared" si="11"/>
        <v>SDJ200200</v>
      </c>
      <c r="EE269">
        <v>247</v>
      </c>
      <c r="EF269">
        <v>10000</v>
      </c>
      <c r="EG269">
        <v>10000</v>
      </c>
      <c r="EH269">
        <v>10000</v>
      </c>
      <c r="EI269">
        <v>10000</v>
      </c>
      <c r="EJ269">
        <v>10000</v>
      </c>
      <c r="EK269">
        <v>10000</v>
      </c>
      <c r="EL269">
        <v>10000</v>
      </c>
      <c r="EM269">
        <v>10000</v>
      </c>
      <c r="EN269">
        <v>10000</v>
      </c>
      <c r="EO269">
        <v>10000</v>
      </c>
      <c r="EP269">
        <v>10000</v>
      </c>
      <c r="EQ269">
        <v>10000</v>
      </c>
      <c r="ER269">
        <v>10000</v>
      </c>
      <c r="ES269">
        <v>10000</v>
      </c>
      <c r="ET269">
        <v>10000</v>
      </c>
      <c r="EU269">
        <v>10000</v>
      </c>
      <c r="EV269">
        <v>10000</v>
      </c>
      <c r="EW269">
        <v>10000</v>
      </c>
      <c r="EX269">
        <v>10000</v>
      </c>
      <c r="EY269">
        <v>10000</v>
      </c>
      <c r="EZ269">
        <v>10000</v>
      </c>
      <c r="FA269">
        <v>10000</v>
      </c>
      <c r="FB269">
        <v>10000</v>
      </c>
      <c r="FC269">
        <v>10000</v>
      </c>
      <c r="FD269">
        <v>10000</v>
      </c>
      <c r="FE269">
        <v>10000</v>
      </c>
      <c r="FF269">
        <v>10000</v>
      </c>
      <c r="FG269">
        <v>10000</v>
      </c>
      <c r="FH269">
        <v>10000</v>
      </c>
      <c r="FI269">
        <v>10000</v>
      </c>
      <c r="FJ269">
        <v>10000</v>
      </c>
      <c r="FK269">
        <v>10000</v>
      </c>
      <c r="FL269">
        <v>10000</v>
      </c>
      <c r="FM269">
        <v>10000</v>
      </c>
      <c r="FN269">
        <v>10000</v>
      </c>
      <c r="FO269">
        <v>10000</v>
      </c>
      <c r="FP269">
        <v>10000</v>
      </c>
      <c r="FQ269">
        <v>10000</v>
      </c>
      <c r="FR269">
        <v>10000</v>
      </c>
      <c r="FS269">
        <v>10000</v>
      </c>
      <c r="FT269">
        <v>10000</v>
      </c>
      <c r="FU269">
        <v>10000</v>
      </c>
      <c r="FV269">
        <v>10000</v>
      </c>
      <c r="FW269">
        <v>10000</v>
      </c>
      <c r="FX269">
        <v>10000</v>
      </c>
      <c r="FY269">
        <v>10000</v>
      </c>
      <c r="FZ269">
        <v>10000</v>
      </c>
      <c r="GA269">
        <v>10000</v>
      </c>
      <c r="GB269">
        <v>10000</v>
      </c>
      <c r="GC269">
        <v>10000</v>
      </c>
      <c r="GD269">
        <v>10000</v>
      </c>
      <c r="GE269">
        <v>10000</v>
      </c>
      <c r="GF269">
        <v>10000</v>
      </c>
      <c r="GG269">
        <v>10000</v>
      </c>
      <c r="GH269">
        <v>10000</v>
      </c>
      <c r="GI269">
        <v>10000</v>
      </c>
      <c r="GJ269">
        <v>10000</v>
      </c>
      <c r="GK269">
        <v>10000</v>
      </c>
      <c r="GL269">
        <v>10000</v>
      </c>
      <c r="GM269">
        <v>10000</v>
      </c>
      <c r="GN269">
        <v>10000</v>
      </c>
      <c r="GO269">
        <v>10000</v>
      </c>
      <c r="GP269">
        <v>10000</v>
      </c>
      <c r="GQ269">
        <v>10000</v>
      </c>
      <c r="GR269">
        <v>10000</v>
      </c>
      <c r="GS269">
        <v>10000</v>
      </c>
      <c r="GT269">
        <v>10000</v>
      </c>
      <c r="GU269">
        <v>10000</v>
      </c>
      <c r="GV269">
        <v>10000</v>
      </c>
      <c r="GW269">
        <v>10000</v>
      </c>
      <c r="GX269">
        <v>10000</v>
      </c>
      <c r="GY269">
        <v>10000</v>
      </c>
      <c r="GZ269">
        <v>10000</v>
      </c>
      <c r="HA269">
        <v>10000</v>
      </c>
      <c r="HB269">
        <v>10000</v>
      </c>
      <c r="HC269">
        <v>10000</v>
      </c>
      <c r="HD269">
        <v>10000</v>
      </c>
      <c r="HE269">
        <v>10000</v>
      </c>
      <c r="HF269">
        <v>10000</v>
      </c>
      <c r="HG269">
        <v>10000</v>
      </c>
      <c r="HH269">
        <v>10000</v>
      </c>
      <c r="HI269">
        <v>10000</v>
      </c>
      <c r="HJ269">
        <v>10000</v>
      </c>
      <c r="HK269">
        <v>10000</v>
      </c>
      <c r="HL269">
        <v>0</v>
      </c>
      <c r="HM269">
        <v>0</v>
      </c>
      <c r="HN269">
        <v>0</v>
      </c>
      <c r="HO269">
        <v>0</v>
      </c>
      <c r="HP269">
        <v>0</v>
      </c>
      <c r="HQ269">
        <v>0</v>
      </c>
      <c r="HR269">
        <v>0</v>
      </c>
      <c r="HS269">
        <v>0</v>
      </c>
      <c r="HT269">
        <v>0</v>
      </c>
      <c r="HU269">
        <v>0</v>
      </c>
      <c r="HV269">
        <v>0</v>
      </c>
      <c r="HW269">
        <v>0</v>
      </c>
      <c r="HX269">
        <v>0</v>
      </c>
      <c r="HY269">
        <v>0</v>
      </c>
      <c r="HZ269">
        <v>0</v>
      </c>
      <c r="IA269">
        <v>0</v>
      </c>
      <c r="IB269">
        <v>0</v>
      </c>
      <c r="IC269">
        <v>0</v>
      </c>
      <c r="ID269">
        <v>0</v>
      </c>
      <c r="IE269">
        <v>0</v>
      </c>
      <c r="IF269">
        <v>0</v>
      </c>
      <c r="IG269">
        <v>0</v>
      </c>
      <c r="IH269">
        <v>0</v>
      </c>
      <c r="II269">
        <v>0</v>
      </c>
      <c r="IJ269">
        <v>0</v>
      </c>
      <c r="IK269">
        <v>0</v>
      </c>
    </row>
    <row r="270" spans="13:245" hidden="1">
      <c r="M270" s="343" t="s">
        <v>633</v>
      </c>
      <c r="N270" t="s">
        <v>1010</v>
      </c>
      <c r="O270">
        <v>2</v>
      </c>
      <c r="P270">
        <v>1</v>
      </c>
      <c r="Q270" s="184" t="str">
        <f t="shared" si="10"/>
        <v>SDJ200201</v>
      </c>
      <c r="R270">
        <v>251.2</v>
      </c>
      <c r="S270">
        <v>2000</v>
      </c>
      <c r="T270">
        <v>2000</v>
      </c>
      <c r="U270">
        <v>2000</v>
      </c>
      <c r="V270">
        <v>2000</v>
      </c>
      <c r="W270">
        <v>2000</v>
      </c>
      <c r="X270">
        <v>2000</v>
      </c>
      <c r="Y270">
        <v>2009.8</v>
      </c>
      <c r="Z270">
        <v>2261</v>
      </c>
      <c r="AA270">
        <v>2512.1999999999998</v>
      </c>
      <c r="AB270">
        <v>2763.4</v>
      </c>
      <c r="AC270">
        <v>3014.6</v>
      </c>
      <c r="AD270">
        <v>3265.9</v>
      </c>
      <c r="AE270">
        <v>3517.1</v>
      </c>
      <c r="AF270">
        <v>3768.3</v>
      </c>
      <c r="AG270">
        <v>4019.5</v>
      </c>
      <c r="AH270">
        <v>4270.7</v>
      </c>
      <c r="AI270">
        <v>4522</v>
      </c>
      <c r="AJ270">
        <v>4773.2</v>
      </c>
      <c r="AK270">
        <v>5024.3999999999996</v>
      </c>
      <c r="AL270">
        <v>5024.3999999999996</v>
      </c>
      <c r="AM270">
        <v>5024.3999999999996</v>
      </c>
      <c r="AN270">
        <v>5024.3999999999996</v>
      </c>
      <c r="AO270">
        <v>5024.3999999999996</v>
      </c>
      <c r="AP270">
        <v>5024.3999999999996</v>
      </c>
      <c r="AQ270">
        <v>5024.3999999999996</v>
      </c>
      <c r="AR270">
        <v>5024.3999999999996</v>
      </c>
      <c r="AS270">
        <v>5024.3999999999996</v>
      </c>
      <c r="AT270">
        <v>5024.3999999999996</v>
      </c>
      <c r="AU270">
        <v>5024.3999999999996</v>
      </c>
      <c r="AV270">
        <v>5024.3999999999996</v>
      </c>
      <c r="AW270">
        <v>5024.3999999999996</v>
      </c>
      <c r="AX270">
        <v>5024.3999999999996</v>
      </c>
      <c r="AY270">
        <v>5024.3999999999996</v>
      </c>
      <c r="AZ270">
        <v>5024.3999999999996</v>
      </c>
      <c r="BA270">
        <v>5024.3999999999996</v>
      </c>
      <c r="BB270">
        <v>5024.3999999999996</v>
      </c>
      <c r="BC270">
        <v>5024.3999999999996</v>
      </c>
      <c r="BD270">
        <v>5024.3999999999996</v>
      </c>
      <c r="BE270">
        <v>5024.3999999999996</v>
      </c>
      <c r="BF270">
        <v>5024.3999999999996</v>
      </c>
      <c r="BG270">
        <v>5024.3999999999996</v>
      </c>
      <c r="BH270">
        <v>5024.3999999999996</v>
      </c>
      <c r="BI270">
        <v>5024.3999999999996</v>
      </c>
      <c r="BJ270">
        <v>5024.3999999999996</v>
      </c>
      <c r="BK270">
        <v>5024.3999999999996</v>
      </c>
      <c r="BL270">
        <v>5024.3999999999996</v>
      </c>
      <c r="BM270">
        <v>5024.3999999999996</v>
      </c>
      <c r="BN270">
        <v>5024.3999999999996</v>
      </c>
      <c r="BO270">
        <v>5024.3999999999996</v>
      </c>
      <c r="BP270">
        <v>5024.3999999999996</v>
      </c>
      <c r="BQ270">
        <v>5024.3999999999996</v>
      </c>
      <c r="BR270">
        <v>5024.3999999999996</v>
      </c>
      <c r="BS270">
        <v>5024.3999999999996</v>
      </c>
      <c r="BT270">
        <v>5024.3999999999996</v>
      </c>
      <c r="BU270">
        <v>5024.3999999999996</v>
      </c>
      <c r="BV270">
        <v>5024.3999999999996</v>
      </c>
      <c r="BW270">
        <v>5024.3999999999996</v>
      </c>
      <c r="BX270">
        <v>5024.3999999999996</v>
      </c>
      <c r="BY270">
        <v>5024.3999999999996</v>
      </c>
      <c r="BZ270">
        <v>5024.3999999999996</v>
      </c>
      <c r="CA270">
        <v>5024.3999999999996</v>
      </c>
      <c r="CB270">
        <v>5024.3999999999996</v>
      </c>
      <c r="CC270">
        <v>5024.3999999999996</v>
      </c>
      <c r="CD270">
        <v>5024.3999999999996</v>
      </c>
      <c r="CE270">
        <v>5024.3999999999996</v>
      </c>
      <c r="CF270">
        <v>5024.3999999999996</v>
      </c>
      <c r="CG270">
        <v>5024.3999999999996</v>
      </c>
      <c r="CH270">
        <v>5024.3999999999996</v>
      </c>
      <c r="CI270">
        <v>5024.3999999999996</v>
      </c>
      <c r="CJ270">
        <v>5024.3999999999996</v>
      </c>
      <c r="CK270">
        <v>5024.3999999999996</v>
      </c>
      <c r="CL270">
        <v>5024.3999999999996</v>
      </c>
      <c r="CM270">
        <v>5024.3999999999996</v>
      </c>
      <c r="CN270">
        <v>5024.3999999999996</v>
      </c>
      <c r="CO270">
        <v>5024.3999999999996</v>
      </c>
      <c r="CP270">
        <v>5024.3999999999996</v>
      </c>
      <c r="CQ270">
        <v>5024.3999999999996</v>
      </c>
      <c r="CR270">
        <v>5024.3999999999996</v>
      </c>
      <c r="CS270">
        <v>5024.3999999999996</v>
      </c>
      <c r="CT270">
        <v>5024.3999999999996</v>
      </c>
      <c r="CU270">
        <v>5024.3999999999996</v>
      </c>
      <c r="CV270">
        <v>5024.3999999999996</v>
      </c>
      <c r="CW270">
        <v>5024.3999999999996</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Z270" s="343" t="s">
        <v>633</v>
      </c>
      <c r="EA270" t="s">
        <v>1010</v>
      </c>
      <c r="EB270">
        <v>2</v>
      </c>
      <c r="EC270">
        <v>1</v>
      </c>
      <c r="ED270" s="184" t="str">
        <f t="shared" si="11"/>
        <v>SDJ200201</v>
      </c>
      <c r="EE270">
        <v>251.2</v>
      </c>
      <c r="EF270">
        <v>10000</v>
      </c>
      <c r="EG270">
        <v>10000</v>
      </c>
      <c r="EH270">
        <v>10000</v>
      </c>
      <c r="EI270">
        <v>10000</v>
      </c>
      <c r="EJ270">
        <v>10000</v>
      </c>
      <c r="EK270">
        <v>10000</v>
      </c>
      <c r="EL270">
        <v>10000</v>
      </c>
      <c r="EM270">
        <v>10000</v>
      </c>
      <c r="EN270">
        <v>10000</v>
      </c>
      <c r="EO270">
        <v>10000</v>
      </c>
      <c r="EP270">
        <v>10000</v>
      </c>
      <c r="EQ270">
        <v>10000</v>
      </c>
      <c r="ER270">
        <v>10000</v>
      </c>
      <c r="ES270">
        <v>10000</v>
      </c>
      <c r="ET270">
        <v>10000</v>
      </c>
      <c r="EU270">
        <v>10000</v>
      </c>
      <c r="EV270">
        <v>10000</v>
      </c>
      <c r="EW270">
        <v>10000</v>
      </c>
      <c r="EX270">
        <v>10000</v>
      </c>
      <c r="EY270">
        <v>10000</v>
      </c>
      <c r="EZ270">
        <v>10000</v>
      </c>
      <c r="FA270">
        <v>10000</v>
      </c>
      <c r="FB270">
        <v>10000</v>
      </c>
      <c r="FC270">
        <v>10000</v>
      </c>
      <c r="FD270">
        <v>10000</v>
      </c>
      <c r="FE270">
        <v>10000</v>
      </c>
      <c r="FF270">
        <v>10000</v>
      </c>
      <c r="FG270">
        <v>10000</v>
      </c>
      <c r="FH270">
        <v>10000</v>
      </c>
      <c r="FI270">
        <v>10000</v>
      </c>
      <c r="FJ270">
        <v>10000</v>
      </c>
      <c r="FK270">
        <v>10000</v>
      </c>
      <c r="FL270">
        <v>10000</v>
      </c>
      <c r="FM270">
        <v>10000</v>
      </c>
      <c r="FN270">
        <v>10000</v>
      </c>
      <c r="FO270">
        <v>10000</v>
      </c>
      <c r="FP270">
        <v>10000</v>
      </c>
      <c r="FQ270">
        <v>10000</v>
      </c>
      <c r="FR270">
        <v>10000</v>
      </c>
      <c r="FS270">
        <v>10000</v>
      </c>
      <c r="FT270">
        <v>10000</v>
      </c>
      <c r="FU270">
        <v>10000</v>
      </c>
      <c r="FV270">
        <v>10000</v>
      </c>
      <c r="FW270">
        <v>10000</v>
      </c>
      <c r="FX270">
        <v>10000</v>
      </c>
      <c r="FY270">
        <v>10000</v>
      </c>
      <c r="FZ270">
        <v>10000</v>
      </c>
      <c r="GA270">
        <v>10000</v>
      </c>
      <c r="GB270">
        <v>10000</v>
      </c>
      <c r="GC270">
        <v>10000</v>
      </c>
      <c r="GD270">
        <v>10000</v>
      </c>
      <c r="GE270">
        <v>10000</v>
      </c>
      <c r="GF270">
        <v>10000</v>
      </c>
      <c r="GG270">
        <v>10000</v>
      </c>
      <c r="GH270">
        <v>10000</v>
      </c>
      <c r="GI270">
        <v>10000</v>
      </c>
      <c r="GJ270">
        <v>10000</v>
      </c>
      <c r="GK270">
        <v>10000</v>
      </c>
      <c r="GL270">
        <v>10000</v>
      </c>
      <c r="GM270">
        <v>10000</v>
      </c>
      <c r="GN270">
        <v>10000</v>
      </c>
      <c r="GO270">
        <v>10000</v>
      </c>
      <c r="GP270">
        <v>10000</v>
      </c>
      <c r="GQ270">
        <v>10000</v>
      </c>
      <c r="GR270">
        <v>10000</v>
      </c>
      <c r="GS270">
        <v>10000</v>
      </c>
      <c r="GT270">
        <v>10000</v>
      </c>
      <c r="GU270">
        <v>10000</v>
      </c>
      <c r="GV270">
        <v>10000</v>
      </c>
      <c r="GW270">
        <v>10000</v>
      </c>
      <c r="GX270">
        <v>10000</v>
      </c>
      <c r="GY270">
        <v>10000</v>
      </c>
      <c r="GZ270">
        <v>10000</v>
      </c>
      <c r="HA270">
        <v>10000</v>
      </c>
      <c r="HB270">
        <v>10000</v>
      </c>
      <c r="HC270">
        <v>10000</v>
      </c>
      <c r="HD270">
        <v>10000</v>
      </c>
      <c r="HE270">
        <v>10000</v>
      </c>
      <c r="HF270">
        <v>10000</v>
      </c>
      <c r="HG270">
        <v>10000</v>
      </c>
      <c r="HH270">
        <v>10000</v>
      </c>
      <c r="HI270">
        <v>10000</v>
      </c>
      <c r="HJ270">
        <v>10000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row>
    <row r="271" spans="13:245" hidden="1">
      <c r="M271" s="343" t="s">
        <v>633</v>
      </c>
      <c r="N271" t="s">
        <v>1010</v>
      </c>
      <c r="O271">
        <v>2</v>
      </c>
      <c r="P271">
        <v>2</v>
      </c>
      <c r="Q271" s="184" t="str">
        <f t="shared" si="10"/>
        <v>SDJ200202</v>
      </c>
      <c r="R271">
        <v>255.5</v>
      </c>
      <c r="S271">
        <v>2000</v>
      </c>
      <c r="T271">
        <v>2000</v>
      </c>
      <c r="U271">
        <v>2000</v>
      </c>
      <c r="V271">
        <v>2000</v>
      </c>
      <c r="W271">
        <v>2000</v>
      </c>
      <c r="X271">
        <v>2000</v>
      </c>
      <c r="Y271">
        <v>2043.7</v>
      </c>
      <c r="Z271">
        <v>2299.1</v>
      </c>
      <c r="AA271">
        <v>2554.6</v>
      </c>
      <c r="AB271">
        <v>2810.1</v>
      </c>
      <c r="AC271">
        <v>3065.5</v>
      </c>
      <c r="AD271">
        <v>3321</v>
      </c>
      <c r="AE271">
        <v>3576.4</v>
      </c>
      <c r="AF271">
        <v>3831.9</v>
      </c>
      <c r="AG271">
        <v>4087.4</v>
      </c>
      <c r="AH271">
        <v>4342.8</v>
      </c>
      <c r="AI271">
        <v>4598.3</v>
      </c>
      <c r="AJ271">
        <v>4853.7</v>
      </c>
      <c r="AK271">
        <v>5109.2</v>
      </c>
      <c r="AL271">
        <v>5109.2</v>
      </c>
      <c r="AM271">
        <v>5109.2</v>
      </c>
      <c r="AN271">
        <v>5109.2</v>
      </c>
      <c r="AO271">
        <v>5109.2</v>
      </c>
      <c r="AP271">
        <v>5109.2</v>
      </c>
      <c r="AQ271">
        <v>5109.2</v>
      </c>
      <c r="AR271">
        <v>5109.2</v>
      </c>
      <c r="AS271">
        <v>5109.2</v>
      </c>
      <c r="AT271">
        <v>5109.2</v>
      </c>
      <c r="AU271">
        <v>5109.2</v>
      </c>
      <c r="AV271">
        <v>5109.2</v>
      </c>
      <c r="AW271">
        <v>5109.2</v>
      </c>
      <c r="AX271">
        <v>5109.2</v>
      </c>
      <c r="AY271">
        <v>5109.2</v>
      </c>
      <c r="AZ271">
        <v>5109.2</v>
      </c>
      <c r="BA271">
        <v>5109.2</v>
      </c>
      <c r="BB271">
        <v>5109.2</v>
      </c>
      <c r="BC271">
        <v>5109.2</v>
      </c>
      <c r="BD271">
        <v>5109.2</v>
      </c>
      <c r="BE271">
        <v>5109.2</v>
      </c>
      <c r="BF271">
        <v>5109.2</v>
      </c>
      <c r="BG271">
        <v>5109.2</v>
      </c>
      <c r="BH271">
        <v>5109.2</v>
      </c>
      <c r="BI271">
        <v>5109.2</v>
      </c>
      <c r="BJ271">
        <v>5109.2</v>
      </c>
      <c r="BK271">
        <v>5109.2</v>
      </c>
      <c r="BL271">
        <v>5109.2</v>
      </c>
      <c r="BM271">
        <v>5109.2</v>
      </c>
      <c r="BN271">
        <v>5109.2</v>
      </c>
      <c r="BO271">
        <v>5109.2</v>
      </c>
      <c r="BP271">
        <v>5109.2</v>
      </c>
      <c r="BQ271">
        <v>5109.2</v>
      </c>
      <c r="BR271">
        <v>5109.2</v>
      </c>
      <c r="BS271">
        <v>5109.2</v>
      </c>
      <c r="BT271">
        <v>5109.2</v>
      </c>
      <c r="BU271">
        <v>5109.2</v>
      </c>
      <c r="BV271">
        <v>5109.2</v>
      </c>
      <c r="BW271">
        <v>5109.2</v>
      </c>
      <c r="BX271">
        <v>5109.2</v>
      </c>
      <c r="BY271">
        <v>5109.2</v>
      </c>
      <c r="BZ271">
        <v>5109.2</v>
      </c>
      <c r="CA271">
        <v>5109.2</v>
      </c>
      <c r="CB271">
        <v>5109.2</v>
      </c>
      <c r="CC271">
        <v>5109.2</v>
      </c>
      <c r="CD271">
        <v>5109.2</v>
      </c>
      <c r="CE271">
        <v>5109.2</v>
      </c>
      <c r="CF271">
        <v>5109.2</v>
      </c>
      <c r="CG271">
        <v>5109.2</v>
      </c>
      <c r="CH271">
        <v>5109.2</v>
      </c>
      <c r="CI271">
        <v>5109.2</v>
      </c>
      <c r="CJ271">
        <v>5109.2</v>
      </c>
      <c r="CK271">
        <v>5109.2</v>
      </c>
      <c r="CL271">
        <v>5109.2</v>
      </c>
      <c r="CM271">
        <v>5109.2</v>
      </c>
      <c r="CN271">
        <v>5109.2</v>
      </c>
      <c r="CO271">
        <v>5109.2</v>
      </c>
      <c r="CP271">
        <v>5109.2</v>
      </c>
      <c r="CQ271">
        <v>5109.2</v>
      </c>
      <c r="CR271">
        <v>5109.2</v>
      </c>
      <c r="CS271">
        <v>5109.2</v>
      </c>
      <c r="CT271">
        <v>5109.2</v>
      </c>
      <c r="CU271">
        <v>5109.2</v>
      </c>
      <c r="CV271">
        <v>5109.2</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Z271" s="343" t="s">
        <v>633</v>
      </c>
      <c r="EA271" t="s">
        <v>1010</v>
      </c>
      <c r="EB271">
        <v>2</v>
      </c>
      <c r="EC271">
        <v>2</v>
      </c>
      <c r="ED271" s="184" t="str">
        <f t="shared" si="11"/>
        <v>SDJ200202</v>
      </c>
      <c r="EE271">
        <v>255.5</v>
      </c>
      <c r="EF271">
        <v>10000</v>
      </c>
      <c r="EG271">
        <v>10000</v>
      </c>
      <c r="EH271">
        <v>10000</v>
      </c>
      <c r="EI271">
        <v>10000</v>
      </c>
      <c r="EJ271">
        <v>10000</v>
      </c>
      <c r="EK271">
        <v>10000</v>
      </c>
      <c r="EL271">
        <v>10000</v>
      </c>
      <c r="EM271">
        <v>10000</v>
      </c>
      <c r="EN271">
        <v>10000</v>
      </c>
      <c r="EO271">
        <v>10000</v>
      </c>
      <c r="EP271">
        <v>10000</v>
      </c>
      <c r="EQ271">
        <v>10000</v>
      </c>
      <c r="ER271">
        <v>10000</v>
      </c>
      <c r="ES271">
        <v>10000</v>
      </c>
      <c r="ET271">
        <v>10000</v>
      </c>
      <c r="EU271">
        <v>10000</v>
      </c>
      <c r="EV271">
        <v>10000</v>
      </c>
      <c r="EW271">
        <v>10000</v>
      </c>
      <c r="EX271">
        <v>10000</v>
      </c>
      <c r="EY271">
        <v>10000</v>
      </c>
      <c r="EZ271">
        <v>10000</v>
      </c>
      <c r="FA271">
        <v>10000</v>
      </c>
      <c r="FB271">
        <v>10000</v>
      </c>
      <c r="FC271">
        <v>10000</v>
      </c>
      <c r="FD271">
        <v>10000</v>
      </c>
      <c r="FE271">
        <v>10000</v>
      </c>
      <c r="FF271">
        <v>10000</v>
      </c>
      <c r="FG271">
        <v>10000</v>
      </c>
      <c r="FH271">
        <v>10000</v>
      </c>
      <c r="FI271">
        <v>10000</v>
      </c>
      <c r="FJ271">
        <v>10000</v>
      </c>
      <c r="FK271">
        <v>10000</v>
      </c>
      <c r="FL271">
        <v>10000</v>
      </c>
      <c r="FM271">
        <v>10000</v>
      </c>
      <c r="FN271">
        <v>10000</v>
      </c>
      <c r="FO271">
        <v>10000</v>
      </c>
      <c r="FP271">
        <v>10000</v>
      </c>
      <c r="FQ271">
        <v>10000</v>
      </c>
      <c r="FR271">
        <v>10000</v>
      </c>
      <c r="FS271">
        <v>10000</v>
      </c>
      <c r="FT271">
        <v>10000</v>
      </c>
      <c r="FU271">
        <v>10000</v>
      </c>
      <c r="FV271">
        <v>10000</v>
      </c>
      <c r="FW271">
        <v>10000</v>
      </c>
      <c r="FX271">
        <v>10000</v>
      </c>
      <c r="FY271">
        <v>10000</v>
      </c>
      <c r="FZ271">
        <v>10000</v>
      </c>
      <c r="GA271">
        <v>10000</v>
      </c>
      <c r="GB271">
        <v>10000</v>
      </c>
      <c r="GC271">
        <v>10000</v>
      </c>
      <c r="GD271">
        <v>10000</v>
      </c>
      <c r="GE271">
        <v>10000</v>
      </c>
      <c r="GF271">
        <v>10000</v>
      </c>
      <c r="GG271">
        <v>10000</v>
      </c>
      <c r="GH271">
        <v>10000</v>
      </c>
      <c r="GI271">
        <v>10000</v>
      </c>
      <c r="GJ271">
        <v>10000</v>
      </c>
      <c r="GK271">
        <v>10000</v>
      </c>
      <c r="GL271">
        <v>10000</v>
      </c>
      <c r="GM271">
        <v>10000</v>
      </c>
      <c r="GN271">
        <v>10000</v>
      </c>
      <c r="GO271">
        <v>10000</v>
      </c>
      <c r="GP271">
        <v>10000</v>
      </c>
      <c r="GQ271">
        <v>10000</v>
      </c>
      <c r="GR271">
        <v>10000</v>
      </c>
      <c r="GS271">
        <v>10000</v>
      </c>
      <c r="GT271">
        <v>10000</v>
      </c>
      <c r="GU271">
        <v>10000</v>
      </c>
      <c r="GV271">
        <v>10000</v>
      </c>
      <c r="GW271">
        <v>10000</v>
      </c>
      <c r="GX271">
        <v>10000</v>
      </c>
      <c r="GY271">
        <v>10000</v>
      </c>
      <c r="GZ271">
        <v>10000</v>
      </c>
      <c r="HA271">
        <v>10000</v>
      </c>
      <c r="HB271">
        <v>10000</v>
      </c>
      <c r="HC271">
        <v>10000</v>
      </c>
      <c r="HD271">
        <v>10000</v>
      </c>
      <c r="HE271">
        <v>10000</v>
      </c>
      <c r="HF271">
        <v>10000</v>
      </c>
      <c r="HG271">
        <v>10000</v>
      </c>
      <c r="HH271">
        <v>10000</v>
      </c>
      <c r="HI271">
        <v>10000</v>
      </c>
      <c r="HJ271">
        <v>0</v>
      </c>
      <c r="HK271">
        <v>0</v>
      </c>
      <c r="HL271">
        <v>0</v>
      </c>
      <c r="HM271">
        <v>0</v>
      </c>
      <c r="HN271">
        <v>0</v>
      </c>
      <c r="HO271">
        <v>0</v>
      </c>
      <c r="HP271">
        <v>0</v>
      </c>
      <c r="HQ271">
        <v>0</v>
      </c>
      <c r="HR271">
        <v>0</v>
      </c>
      <c r="HS271">
        <v>0</v>
      </c>
      <c r="HT271">
        <v>0</v>
      </c>
      <c r="HU271">
        <v>0</v>
      </c>
      <c r="HV271">
        <v>0</v>
      </c>
      <c r="HW271">
        <v>0</v>
      </c>
      <c r="HX271">
        <v>0</v>
      </c>
      <c r="HY271">
        <v>0</v>
      </c>
      <c r="HZ271">
        <v>0</v>
      </c>
      <c r="IA271">
        <v>0</v>
      </c>
      <c r="IB271">
        <v>0</v>
      </c>
      <c r="IC271">
        <v>0</v>
      </c>
      <c r="ID271">
        <v>0</v>
      </c>
      <c r="IE271">
        <v>0</v>
      </c>
      <c r="IF271">
        <v>0</v>
      </c>
      <c r="IG271">
        <v>0</v>
      </c>
      <c r="IH271">
        <v>0</v>
      </c>
      <c r="II271">
        <v>0</v>
      </c>
      <c r="IJ271">
        <v>0</v>
      </c>
      <c r="IK271">
        <v>0</v>
      </c>
    </row>
    <row r="272" spans="13:245" hidden="1">
      <c r="M272" s="343" t="s">
        <v>633</v>
      </c>
      <c r="N272" t="s">
        <v>1010</v>
      </c>
      <c r="O272">
        <v>2</v>
      </c>
      <c r="P272">
        <v>3</v>
      </c>
      <c r="Q272" s="184" t="str">
        <f t="shared" si="10"/>
        <v>SDJ200203</v>
      </c>
      <c r="R272">
        <v>259.7</v>
      </c>
      <c r="S272">
        <v>2000</v>
      </c>
      <c r="T272">
        <v>2000</v>
      </c>
      <c r="U272">
        <v>2000</v>
      </c>
      <c r="V272">
        <v>2000</v>
      </c>
      <c r="W272">
        <v>2000</v>
      </c>
      <c r="X272">
        <v>2000</v>
      </c>
      <c r="Y272">
        <v>2077.6</v>
      </c>
      <c r="Z272">
        <v>2337.3000000000002</v>
      </c>
      <c r="AA272">
        <v>2597</v>
      </c>
      <c r="AB272">
        <v>2856.7</v>
      </c>
      <c r="AC272">
        <v>3116.4</v>
      </c>
      <c r="AD272">
        <v>3376.1</v>
      </c>
      <c r="AE272">
        <v>3635.8</v>
      </c>
      <c r="AF272">
        <v>3895.5</v>
      </c>
      <c r="AG272">
        <v>4155.2</v>
      </c>
      <c r="AH272">
        <v>4414.8999999999996</v>
      </c>
      <c r="AI272">
        <v>4674.6000000000004</v>
      </c>
      <c r="AJ272">
        <v>4934.3</v>
      </c>
      <c r="AK272">
        <v>5194</v>
      </c>
      <c r="AL272">
        <v>5194</v>
      </c>
      <c r="AM272">
        <v>5194</v>
      </c>
      <c r="AN272">
        <v>5194</v>
      </c>
      <c r="AO272">
        <v>5194</v>
      </c>
      <c r="AP272">
        <v>5194</v>
      </c>
      <c r="AQ272">
        <v>5194</v>
      </c>
      <c r="AR272">
        <v>5194</v>
      </c>
      <c r="AS272">
        <v>5194</v>
      </c>
      <c r="AT272">
        <v>5194</v>
      </c>
      <c r="AU272">
        <v>5194</v>
      </c>
      <c r="AV272">
        <v>5194</v>
      </c>
      <c r="AW272">
        <v>5194</v>
      </c>
      <c r="AX272">
        <v>5194</v>
      </c>
      <c r="AY272">
        <v>5194</v>
      </c>
      <c r="AZ272">
        <v>5194</v>
      </c>
      <c r="BA272">
        <v>5194</v>
      </c>
      <c r="BB272">
        <v>5194</v>
      </c>
      <c r="BC272">
        <v>5194</v>
      </c>
      <c r="BD272">
        <v>5194</v>
      </c>
      <c r="BE272">
        <v>5194</v>
      </c>
      <c r="BF272">
        <v>5194</v>
      </c>
      <c r="BG272">
        <v>5194</v>
      </c>
      <c r="BH272">
        <v>5194</v>
      </c>
      <c r="BI272">
        <v>5194</v>
      </c>
      <c r="BJ272">
        <v>5194</v>
      </c>
      <c r="BK272">
        <v>5194</v>
      </c>
      <c r="BL272">
        <v>5194</v>
      </c>
      <c r="BM272">
        <v>5194</v>
      </c>
      <c r="BN272">
        <v>5194</v>
      </c>
      <c r="BO272">
        <v>5194</v>
      </c>
      <c r="BP272">
        <v>5194</v>
      </c>
      <c r="BQ272">
        <v>5194</v>
      </c>
      <c r="BR272">
        <v>5194</v>
      </c>
      <c r="BS272">
        <v>5194</v>
      </c>
      <c r="BT272">
        <v>5194</v>
      </c>
      <c r="BU272">
        <v>5194</v>
      </c>
      <c r="BV272">
        <v>5194</v>
      </c>
      <c r="BW272">
        <v>5194</v>
      </c>
      <c r="BX272">
        <v>5194</v>
      </c>
      <c r="BY272">
        <v>5194</v>
      </c>
      <c r="BZ272">
        <v>5194</v>
      </c>
      <c r="CA272">
        <v>5194</v>
      </c>
      <c r="CB272">
        <v>5194</v>
      </c>
      <c r="CC272">
        <v>5194</v>
      </c>
      <c r="CD272">
        <v>5194</v>
      </c>
      <c r="CE272">
        <v>5194</v>
      </c>
      <c r="CF272">
        <v>5194</v>
      </c>
      <c r="CG272">
        <v>5194</v>
      </c>
      <c r="CH272">
        <v>5194</v>
      </c>
      <c r="CI272">
        <v>5194</v>
      </c>
      <c r="CJ272">
        <v>5194</v>
      </c>
      <c r="CK272">
        <v>5194</v>
      </c>
      <c r="CL272">
        <v>5194</v>
      </c>
      <c r="CM272">
        <v>5194</v>
      </c>
      <c r="CN272">
        <v>5194</v>
      </c>
      <c r="CO272">
        <v>5194</v>
      </c>
      <c r="CP272">
        <v>5194</v>
      </c>
      <c r="CQ272">
        <v>5194</v>
      </c>
      <c r="CR272">
        <v>5194</v>
      </c>
      <c r="CS272">
        <v>5194</v>
      </c>
      <c r="CT272">
        <v>5194</v>
      </c>
      <c r="CU272">
        <v>5194</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Z272" s="343" t="s">
        <v>633</v>
      </c>
      <c r="EA272" t="s">
        <v>1010</v>
      </c>
      <c r="EB272">
        <v>2</v>
      </c>
      <c r="EC272">
        <v>3</v>
      </c>
      <c r="ED272" s="184" t="str">
        <f t="shared" si="11"/>
        <v>SDJ200203</v>
      </c>
      <c r="EE272">
        <v>259.7</v>
      </c>
      <c r="EF272">
        <v>10000</v>
      </c>
      <c r="EG272">
        <v>10000</v>
      </c>
      <c r="EH272">
        <v>10000</v>
      </c>
      <c r="EI272">
        <v>10000</v>
      </c>
      <c r="EJ272">
        <v>10000</v>
      </c>
      <c r="EK272">
        <v>10000</v>
      </c>
      <c r="EL272">
        <v>10000</v>
      </c>
      <c r="EM272">
        <v>10000</v>
      </c>
      <c r="EN272">
        <v>10000</v>
      </c>
      <c r="EO272">
        <v>10000</v>
      </c>
      <c r="EP272">
        <v>10000</v>
      </c>
      <c r="EQ272">
        <v>10000</v>
      </c>
      <c r="ER272">
        <v>10000</v>
      </c>
      <c r="ES272">
        <v>10000</v>
      </c>
      <c r="ET272">
        <v>10000</v>
      </c>
      <c r="EU272">
        <v>10000</v>
      </c>
      <c r="EV272">
        <v>10000</v>
      </c>
      <c r="EW272">
        <v>10000</v>
      </c>
      <c r="EX272">
        <v>10000</v>
      </c>
      <c r="EY272">
        <v>10000</v>
      </c>
      <c r="EZ272">
        <v>10000</v>
      </c>
      <c r="FA272">
        <v>10000</v>
      </c>
      <c r="FB272">
        <v>10000</v>
      </c>
      <c r="FC272">
        <v>10000</v>
      </c>
      <c r="FD272">
        <v>10000</v>
      </c>
      <c r="FE272">
        <v>10000</v>
      </c>
      <c r="FF272">
        <v>10000</v>
      </c>
      <c r="FG272">
        <v>10000</v>
      </c>
      <c r="FH272">
        <v>10000</v>
      </c>
      <c r="FI272">
        <v>10000</v>
      </c>
      <c r="FJ272">
        <v>10000</v>
      </c>
      <c r="FK272">
        <v>10000</v>
      </c>
      <c r="FL272">
        <v>10000</v>
      </c>
      <c r="FM272">
        <v>10000</v>
      </c>
      <c r="FN272">
        <v>10000</v>
      </c>
      <c r="FO272">
        <v>10000</v>
      </c>
      <c r="FP272">
        <v>10000</v>
      </c>
      <c r="FQ272">
        <v>10000</v>
      </c>
      <c r="FR272">
        <v>10000</v>
      </c>
      <c r="FS272">
        <v>10000</v>
      </c>
      <c r="FT272">
        <v>10000</v>
      </c>
      <c r="FU272">
        <v>10000</v>
      </c>
      <c r="FV272">
        <v>10000</v>
      </c>
      <c r="FW272">
        <v>10000</v>
      </c>
      <c r="FX272">
        <v>10000</v>
      </c>
      <c r="FY272">
        <v>10000</v>
      </c>
      <c r="FZ272">
        <v>10000</v>
      </c>
      <c r="GA272">
        <v>10000</v>
      </c>
      <c r="GB272">
        <v>10000</v>
      </c>
      <c r="GC272">
        <v>10000</v>
      </c>
      <c r="GD272">
        <v>10000</v>
      </c>
      <c r="GE272">
        <v>10000</v>
      </c>
      <c r="GF272">
        <v>10000</v>
      </c>
      <c r="GG272">
        <v>10000</v>
      </c>
      <c r="GH272">
        <v>10000</v>
      </c>
      <c r="GI272">
        <v>10000</v>
      </c>
      <c r="GJ272">
        <v>10000</v>
      </c>
      <c r="GK272">
        <v>10000</v>
      </c>
      <c r="GL272">
        <v>10000</v>
      </c>
      <c r="GM272">
        <v>10000</v>
      </c>
      <c r="GN272">
        <v>10000</v>
      </c>
      <c r="GO272">
        <v>10000</v>
      </c>
      <c r="GP272">
        <v>10000</v>
      </c>
      <c r="GQ272">
        <v>10000</v>
      </c>
      <c r="GR272">
        <v>10000</v>
      </c>
      <c r="GS272">
        <v>10000</v>
      </c>
      <c r="GT272">
        <v>10000</v>
      </c>
      <c r="GU272">
        <v>10000</v>
      </c>
      <c r="GV272">
        <v>10000</v>
      </c>
      <c r="GW272">
        <v>10000</v>
      </c>
      <c r="GX272">
        <v>10000</v>
      </c>
      <c r="GY272">
        <v>10000</v>
      </c>
      <c r="GZ272">
        <v>10000</v>
      </c>
      <c r="HA272">
        <v>10000</v>
      </c>
      <c r="HB272">
        <v>10000</v>
      </c>
      <c r="HC272">
        <v>10000</v>
      </c>
      <c r="HD272">
        <v>10000</v>
      </c>
      <c r="HE272">
        <v>10000</v>
      </c>
      <c r="HF272">
        <v>10000</v>
      </c>
      <c r="HG272">
        <v>10000</v>
      </c>
      <c r="HH272">
        <v>10000</v>
      </c>
      <c r="HI272">
        <v>0</v>
      </c>
      <c r="HJ272">
        <v>0</v>
      </c>
      <c r="HK272">
        <v>0</v>
      </c>
      <c r="HL272">
        <v>0</v>
      </c>
      <c r="HM272">
        <v>0</v>
      </c>
      <c r="HN272">
        <v>0</v>
      </c>
      <c r="HO272">
        <v>0</v>
      </c>
      <c r="HP272">
        <v>0</v>
      </c>
      <c r="HQ272">
        <v>0</v>
      </c>
      <c r="HR272">
        <v>0</v>
      </c>
      <c r="HS272">
        <v>0</v>
      </c>
      <c r="HT272">
        <v>0</v>
      </c>
      <c r="HU272">
        <v>0</v>
      </c>
      <c r="HV272">
        <v>0</v>
      </c>
      <c r="HW272">
        <v>0</v>
      </c>
      <c r="HX272">
        <v>0</v>
      </c>
      <c r="HY272">
        <v>0</v>
      </c>
      <c r="HZ272">
        <v>0</v>
      </c>
      <c r="IA272">
        <v>0</v>
      </c>
      <c r="IB272">
        <v>0</v>
      </c>
      <c r="IC272">
        <v>0</v>
      </c>
      <c r="ID272">
        <v>0</v>
      </c>
      <c r="IE272">
        <v>0</v>
      </c>
      <c r="IF272">
        <v>0</v>
      </c>
      <c r="IG272">
        <v>0</v>
      </c>
      <c r="IH272">
        <v>0</v>
      </c>
      <c r="II272">
        <v>0</v>
      </c>
      <c r="IJ272">
        <v>0</v>
      </c>
      <c r="IK272">
        <v>0</v>
      </c>
    </row>
    <row r="273" spans="13:245" hidden="1">
      <c r="M273" s="343" t="s">
        <v>633</v>
      </c>
      <c r="N273" t="s">
        <v>1010</v>
      </c>
      <c r="O273">
        <v>2</v>
      </c>
      <c r="P273">
        <v>4</v>
      </c>
      <c r="Q273" s="184" t="str">
        <f t="shared" si="10"/>
        <v>SDJ200204</v>
      </c>
      <c r="R273">
        <v>265</v>
      </c>
      <c r="S273">
        <v>2000</v>
      </c>
      <c r="T273">
        <v>2000</v>
      </c>
      <c r="U273">
        <v>2000</v>
      </c>
      <c r="V273">
        <v>2000</v>
      </c>
      <c r="W273">
        <v>2000</v>
      </c>
      <c r="X273">
        <v>2000</v>
      </c>
      <c r="Y273">
        <v>2120</v>
      </c>
      <c r="Z273">
        <v>2385</v>
      </c>
      <c r="AA273">
        <v>2650</v>
      </c>
      <c r="AB273">
        <v>2915</v>
      </c>
      <c r="AC273">
        <v>3180</v>
      </c>
      <c r="AD273">
        <v>3445</v>
      </c>
      <c r="AE273">
        <v>3710</v>
      </c>
      <c r="AF273">
        <v>3975</v>
      </c>
      <c r="AG273">
        <v>4240</v>
      </c>
      <c r="AH273">
        <v>4505</v>
      </c>
      <c r="AI273">
        <v>4770</v>
      </c>
      <c r="AJ273">
        <v>5035</v>
      </c>
      <c r="AK273">
        <v>5300</v>
      </c>
      <c r="AL273">
        <v>5300</v>
      </c>
      <c r="AM273">
        <v>5300</v>
      </c>
      <c r="AN273">
        <v>5300</v>
      </c>
      <c r="AO273">
        <v>5300</v>
      </c>
      <c r="AP273">
        <v>5300</v>
      </c>
      <c r="AQ273">
        <v>5300</v>
      </c>
      <c r="AR273">
        <v>5300</v>
      </c>
      <c r="AS273">
        <v>5300</v>
      </c>
      <c r="AT273">
        <v>5300</v>
      </c>
      <c r="AU273">
        <v>5300</v>
      </c>
      <c r="AV273">
        <v>5300</v>
      </c>
      <c r="AW273">
        <v>5300</v>
      </c>
      <c r="AX273">
        <v>5300</v>
      </c>
      <c r="AY273">
        <v>5300</v>
      </c>
      <c r="AZ273">
        <v>5300</v>
      </c>
      <c r="BA273">
        <v>5300</v>
      </c>
      <c r="BB273">
        <v>5300</v>
      </c>
      <c r="BC273">
        <v>5300</v>
      </c>
      <c r="BD273">
        <v>5300</v>
      </c>
      <c r="BE273">
        <v>5300</v>
      </c>
      <c r="BF273">
        <v>5300</v>
      </c>
      <c r="BG273">
        <v>5300</v>
      </c>
      <c r="BH273">
        <v>5300</v>
      </c>
      <c r="BI273">
        <v>5300</v>
      </c>
      <c r="BJ273">
        <v>5300</v>
      </c>
      <c r="BK273">
        <v>5300</v>
      </c>
      <c r="BL273">
        <v>5300</v>
      </c>
      <c r="BM273">
        <v>5300</v>
      </c>
      <c r="BN273">
        <v>5300</v>
      </c>
      <c r="BO273">
        <v>5300</v>
      </c>
      <c r="BP273">
        <v>5300</v>
      </c>
      <c r="BQ273">
        <v>5300</v>
      </c>
      <c r="BR273">
        <v>5300</v>
      </c>
      <c r="BS273">
        <v>5300</v>
      </c>
      <c r="BT273">
        <v>5300</v>
      </c>
      <c r="BU273">
        <v>5300</v>
      </c>
      <c r="BV273">
        <v>5300</v>
      </c>
      <c r="BW273">
        <v>5300</v>
      </c>
      <c r="BX273">
        <v>5300</v>
      </c>
      <c r="BY273">
        <v>5300</v>
      </c>
      <c r="BZ273">
        <v>5300</v>
      </c>
      <c r="CA273">
        <v>5300</v>
      </c>
      <c r="CB273">
        <v>5300</v>
      </c>
      <c r="CC273">
        <v>5300</v>
      </c>
      <c r="CD273">
        <v>5300</v>
      </c>
      <c r="CE273">
        <v>5300</v>
      </c>
      <c r="CF273">
        <v>5300</v>
      </c>
      <c r="CG273">
        <v>5300</v>
      </c>
      <c r="CH273">
        <v>5300</v>
      </c>
      <c r="CI273">
        <v>5300</v>
      </c>
      <c r="CJ273">
        <v>5300</v>
      </c>
      <c r="CK273">
        <v>5300</v>
      </c>
      <c r="CL273">
        <v>5300</v>
      </c>
      <c r="CM273">
        <v>5300</v>
      </c>
      <c r="CN273">
        <v>5300</v>
      </c>
      <c r="CO273">
        <v>5300</v>
      </c>
      <c r="CP273">
        <v>5300</v>
      </c>
      <c r="CQ273">
        <v>5300</v>
      </c>
      <c r="CR273">
        <v>5300</v>
      </c>
      <c r="CS273">
        <v>5300</v>
      </c>
      <c r="CT273">
        <v>5300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Z273" s="343" t="s">
        <v>633</v>
      </c>
      <c r="EA273" t="s">
        <v>1010</v>
      </c>
      <c r="EB273">
        <v>2</v>
      </c>
      <c r="EC273">
        <v>4</v>
      </c>
      <c r="ED273" s="184" t="str">
        <f t="shared" si="11"/>
        <v>SDJ200204</v>
      </c>
      <c r="EE273">
        <v>265</v>
      </c>
      <c r="EF273">
        <v>10000</v>
      </c>
      <c r="EG273">
        <v>10000</v>
      </c>
      <c r="EH273">
        <v>10000</v>
      </c>
      <c r="EI273">
        <v>10000</v>
      </c>
      <c r="EJ273">
        <v>10000</v>
      </c>
      <c r="EK273">
        <v>10000</v>
      </c>
      <c r="EL273">
        <v>10000</v>
      </c>
      <c r="EM273">
        <v>10000</v>
      </c>
      <c r="EN273">
        <v>10000</v>
      </c>
      <c r="EO273">
        <v>10000</v>
      </c>
      <c r="EP273">
        <v>10000</v>
      </c>
      <c r="EQ273">
        <v>10000</v>
      </c>
      <c r="ER273">
        <v>10000</v>
      </c>
      <c r="ES273">
        <v>10000</v>
      </c>
      <c r="ET273">
        <v>10000</v>
      </c>
      <c r="EU273">
        <v>10000</v>
      </c>
      <c r="EV273">
        <v>10000</v>
      </c>
      <c r="EW273">
        <v>10000</v>
      </c>
      <c r="EX273">
        <v>10000</v>
      </c>
      <c r="EY273">
        <v>10000</v>
      </c>
      <c r="EZ273">
        <v>10000</v>
      </c>
      <c r="FA273">
        <v>10000</v>
      </c>
      <c r="FB273">
        <v>10000</v>
      </c>
      <c r="FC273">
        <v>10000</v>
      </c>
      <c r="FD273">
        <v>10000</v>
      </c>
      <c r="FE273">
        <v>10000</v>
      </c>
      <c r="FF273">
        <v>10000</v>
      </c>
      <c r="FG273">
        <v>10000</v>
      </c>
      <c r="FH273">
        <v>10000</v>
      </c>
      <c r="FI273">
        <v>10000</v>
      </c>
      <c r="FJ273">
        <v>10000</v>
      </c>
      <c r="FK273">
        <v>10000</v>
      </c>
      <c r="FL273">
        <v>10000</v>
      </c>
      <c r="FM273">
        <v>10000</v>
      </c>
      <c r="FN273">
        <v>10000</v>
      </c>
      <c r="FO273">
        <v>10000</v>
      </c>
      <c r="FP273">
        <v>10000</v>
      </c>
      <c r="FQ273">
        <v>10000</v>
      </c>
      <c r="FR273">
        <v>10000</v>
      </c>
      <c r="FS273">
        <v>10000</v>
      </c>
      <c r="FT273">
        <v>10000</v>
      </c>
      <c r="FU273">
        <v>10000</v>
      </c>
      <c r="FV273">
        <v>10000</v>
      </c>
      <c r="FW273">
        <v>10000</v>
      </c>
      <c r="FX273">
        <v>10000</v>
      </c>
      <c r="FY273">
        <v>10000</v>
      </c>
      <c r="FZ273">
        <v>10000</v>
      </c>
      <c r="GA273">
        <v>10000</v>
      </c>
      <c r="GB273">
        <v>10000</v>
      </c>
      <c r="GC273">
        <v>10000</v>
      </c>
      <c r="GD273">
        <v>10000</v>
      </c>
      <c r="GE273">
        <v>10000</v>
      </c>
      <c r="GF273">
        <v>10000</v>
      </c>
      <c r="GG273">
        <v>10000</v>
      </c>
      <c r="GH273">
        <v>10000</v>
      </c>
      <c r="GI273">
        <v>10000</v>
      </c>
      <c r="GJ273">
        <v>10000</v>
      </c>
      <c r="GK273">
        <v>10000</v>
      </c>
      <c r="GL273">
        <v>10000</v>
      </c>
      <c r="GM273">
        <v>10000</v>
      </c>
      <c r="GN273">
        <v>10000</v>
      </c>
      <c r="GO273">
        <v>10000</v>
      </c>
      <c r="GP273">
        <v>10000</v>
      </c>
      <c r="GQ273">
        <v>10000</v>
      </c>
      <c r="GR273">
        <v>10000</v>
      </c>
      <c r="GS273">
        <v>10000</v>
      </c>
      <c r="GT273">
        <v>10000</v>
      </c>
      <c r="GU273">
        <v>10000</v>
      </c>
      <c r="GV273">
        <v>10000</v>
      </c>
      <c r="GW273">
        <v>10000</v>
      </c>
      <c r="GX273">
        <v>10000</v>
      </c>
      <c r="GY273">
        <v>10000</v>
      </c>
      <c r="GZ273">
        <v>10000</v>
      </c>
      <c r="HA273">
        <v>10000</v>
      </c>
      <c r="HB273">
        <v>10000</v>
      </c>
      <c r="HC273">
        <v>10000</v>
      </c>
      <c r="HD273">
        <v>10000</v>
      </c>
      <c r="HE273">
        <v>10000</v>
      </c>
      <c r="HF273">
        <v>10000</v>
      </c>
      <c r="HG273">
        <v>10000</v>
      </c>
      <c r="HH273">
        <v>0</v>
      </c>
      <c r="HI273">
        <v>0</v>
      </c>
      <c r="HJ273">
        <v>0</v>
      </c>
      <c r="HK273">
        <v>0</v>
      </c>
      <c r="HL273">
        <v>0</v>
      </c>
      <c r="HM273">
        <v>0</v>
      </c>
      <c r="HN273">
        <v>0</v>
      </c>
      <c r="HO273">
        <v>0</v>
      </c>
      <c r="HP273">
        <v>0</v>
      </c>
      <c r="HQ273">
        <v>0</v>
      </c>
      <c r="HR273">
        <v>0</v>
      </c>
      <c r="HS273">
        <v>0</v>
      </c>
      <c r="HT273">
        <v>0</v>
      </c>
      <c r="HU273">
        <v>0</v>
      </c>
      <c r="HV273">
        <v>0</v>
      </c>
      <c r="HW273">
        <v>0</v>
      </c>
      <c r="HX273">
        <v>0</v>
      </c>
      <c r="HY273">
        <v>0</v>
      </c>
      <c r="HZ273">
        <v>0</v>
      </c>
      <c r="IA273">
        <v>0</v>
      </c>
      <c r="IB273">
        <v>0</v>
      </c>
      <c r="IC273">
        <v>0</v>
      </c>
      <c r="ID273">
        <v>0</v>
      </c>
      <c r="IE273">
        <v>0</v>
      </c>
      <c r="IF273">
        <v>0</v>
      </c>
      <c r="IG273">
        <v>0</v>
      </c>
      <c r="IH273">
        <v>0</v>
      </c>
      <c r="II273">
        <v>0</v>
      </c>
      <c r="IJ273">
        <v>0</v>
      </c>
      <c r="IK273">
        <v>0</v>
      </c>
    </row>
    <row r="274" spans="13:245" hidden="1">
      <c r="M274" s="343" t="s">
        <v>633</v>
      </c>
      <c r="N274" t="s">
        <v>1010</v>
      </c>
      <c r="O274">
        <v>2</v>
      </c>
      <c r="P274">
        <v>5</v>
      </c>
      <c r="Q274" s="184" t="str">
        <f t="shared" si="10"/>
        <v>SDJ200205</v>
      </c>
      <c r="R274">
        <v>269.2</v>
      </c>
      <c r="S274">
        <v>2000</v>
      </c>
      <c r="T274">
        <v>2000</v>
      </c>
      <c r="U274">
        <v>2000</v>
      </c>
      <c r="V274">
        <v>2000</v>
      </c>
      <c r="W274">
        <v>2000</v>
      </c>
      <c r="X274">
        <v>2000</v>
      </c>
      <c r="Y274">
        <v>2153.9</v>
      </c>
      <c r="Z274">
        <v>2423.1999999999998</v>
      </c>
      <c r="AA274">
        <v>2692.4</v>
      </c>
      <c r="AB274">
        <v>2961.6</v>
      </c>
      <c r="AC274">
        <v>3230.9</v>
      </c>
      <c r="AD274">
        <v>3500.1</v>
      </c>
      <c r="AE274">
        <v>3769.4</v>
      </c>
      <c r="AF274">
        <v>4038.6</v>
      </c>
      <c r="AG274">
        <v>4307.8</v>
      </c>
      <c r="AH274">
        <v>4577.1000000000004</v>
      </c>
      <c r="AI274">
        <v>4846.3</v>
      </c>
      <c r="AJ274">
        <v>5115.6000000000004</v>
      </c>
      <c r="AK274">
        <v>5384.8</v>
      </c>
      <c r="AL274">
        <v>5384.8</v>
      </c>
      <c r="AM274">
        <v>5384.8</v>
      </c>
      <c r="AN274">
        <v>5384.8</v>
      </c>
      <c r="AO274">
        <v>5384.8</v>
      </c>
      <c r="AP274">
        <v>5384.8</v>
      </c>
      <c r="AQ274">
        <v>5384.8</v>
      </c>
      <c r="AR274">
        <v>5384.8</v>
      </c>
      <c r="AS274">
        <v>5384.8</v>
      </c>
      <c r="AT274">
        <v>5384.8</v>
      </c>
      <c r="AU274">
        <v>5384.8</v>
      </c>
      <c r="AV274">
        <v>5384.8</v>
      </c>
      <c r="AW274">
        <v>5384.8</v>
      </c>
      <c r="AX274">
        <v>5384.8</v>
      </c>
      <c r="AY274">
        <v>5384.8</v>
      </c>
      <c r="AZ274">
        <v>5384.8</v>
      </c>
      <c r="BA274">
        <v>5384.8</v>
      </c>
      <c r="BB274">
        <v>5384.8</v>
      </c>
      <c r="BC274">
        <v>5384.8</v>
      </c>
      <c r="BD274">
        <v>5384.8</v>
      </c>
      <c r="BE274">
        <v>5384.8</v>
      </c>
      <c r="BF274">
        <v>5384.8</v>
      </c>
      <c r="BG274">
        <v>5384.8</v>
      </c>
      <c r="BH274">
        <v>5384.8</v>
      </c>
      <c r="BI274">
        <v>5384.8</v>
      </c>
      <c r="BJ274">
        <v>5384.8</v>
      </c>
      <c r="BK274">
        <v>5384.8</v>
      </c>
      <c r="BL274">
        <v>5384.8</v>
      </c>
      <c r="BM274">
        <v>5384.8</v>
      </c>
      <c r="BN274">
        <v>5384.8</v>
      </c>
      <c r="BO274">
        <v>5384.8</v>
      </c>
      <c r="BP274">
        <v>5384.8</v>
      </c>
      <c r="BQ274">
        <v>5384.8</v>
      </c>
      <c r="BR274">
        <v>5384.8</v>
      </c>
      <c r="BS274">
        <v>5384.8</v>
      </c>
      <c r="BT274">
        <v>5384.8</v>
      </c>
      <c r="BU274">
        <v>5384.8</v>
      </c>
      <c r="BV274">
        <v>5384.8</v>
      </c>
      <c r="BW274">
        <v>5384.8</v>
      </c>
      <c r="BX274">
        <v>5384.8</v>
      </c>
      <c r="BY274">
        <v>5384.8</v>
      </c>
      <c r="BZ274">
        <v>5384.8</v>
      </c>
      <c r="CA274">
        <v>5384.8</v>
      </c>
      <c r="CB274">
        <v>5384.8</v>
      </c>
      <c r="CC274">
        <v>5384.8</v>
      </c>
      <c r="CD274">
        <v>5384.8</v>
      </c>
      <c r="CE274">
        <v>5384.8</v>
      </c>
      <c r="CF274">
        <v>5384.8</v>
      </c>
      <c r="CG274">
        <v>5384.8</v>
      </c>
      <c r="CH274">
        <v>5384.8</v>
      </c>
      <c r="CI274">
        <v>5384.8</v>
      </c>
      <c r="CJ274">
        <v>5384.8</v>
      </c>
      <c r="CK274">
        <v>5384.8</v>
      </c>
      <c r="CL274">
        <v>5384.8</v>
      </c>
      <c r="CM274">
        <v>5384.8</v>
      </c>
      <c r="CN274">
        <v>5384.8</v>
      </c>
      <c r="CO274">
        <v>5384.8</v>
      </c>
      <c r="CP274">
        <v>5384.8</v>
      </c>
      <c r="CQ274">
        <v>5384.8</v>
      </c>
      <c r="CR274">
        <v>5384.8</v>
      </c>
      <c r="CS274">
        <v>5384.8</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Z274" s="343" t="s">
        <v>633</v>
      </c>
      <c r="EA274" t="s">
        <v>1010</v>
      </c>
      <c r="EB274">
        <v>2</v>
      </c>
      <c r="EC274">
        <v>5</v>
      </c>
      <c r="ED274" s="184" t="str">
        <f t="shared" si="11"/>
        <v>SDJ200205</v>
      </c>
      <c r="EE274">
        <v>269.2</v>
      </c>
      <c r="EF274">
        <v>10000</v>
      </c>
      <c r="EG274">
        <v>10000</v>
      </c>
      <c r="EH274">
        <v>10000</v>
      </c>
      <c r="EI274">
        <v>10000</v>
      </c>
      <c r="EJ274">
        <v>10000</v>
      </c>
      <c r="EK274">
        <v>10000</v>
      </c>
      <c r="EL274">
        <v>10000</v>
      </c>
      <c r="EM274">
        <v>10000</v>
      </c>
      <c r="EN274">
        <v>10000</v>
      </c>
      <c r="EO274">
        <v>10000</v>
      </c>
      <c r="EP274">
        <v>10000</v>
      </c>
      <c r="EQ274">
        <v>10000</v>
      </c>
      <c r="ER274">
        <v>10000</v>
      </c>
      <c r="ES274">
        <v>10000</v>
      </c>
      <c r="ET274">
        <v>10000</v>
      </c>
      <c r="EU274">
        <v>10000</v>
      </c>
      <c r="EV274">
        <v>10000</v>
      </c>
      <c r="EW274">
        <v>10000</v>
      </c>
      <c r="EX274">
        <v>10000</v>
      </c>
      <c r="EY274">
        <v>10000</v>
      </c>
      <c r="EZ274">
        <v>10000</v>
      </c>
      <c r="FA274">
        <v>10000</v>
      </c>
      <c r="FB274">
        <v>10000</v>
      </c>
      <c r="FC274">
        <v>10000</v>
      </c>
      <c r="FD274">
        <v>10000</v>
      </c>
      <c r="FE274">
        <v>10000</v>
      </c>
      <c r="FF274">
        <v>10000</v>
      </c>
      <c r="FG274">
        <v>10000</v>
      </c>
      <c r="FH274">
        <v>10000</v>
      </c>
      <c r="FI274">
        <v>10000</v>
      </c>
      <c r="FJ274">
        <v>10000</v>
      </c>
      <c r="FK274">
        <v>10000</v>
      </c>
      <c r="FL274">
        <v>10000</v>
      </c>
      <c r="FM274">
        <v>10000</v>
      </c>
      <c r="FN274">
        <v>10000</v>
      </c>
      <c r="FO274">
        <v>10000</v>
      </c>
      <c r="FP274">
        <v>10000</v>
      </c>
      <c r="FQ274">
        <v>10000</v>
      </c>
      <c r="FR274">
        <v>10000</v>
      </c>
      <c r="FS274">
        <v>10000</v>
      </c>
      <c r="FT274">
        <v>10000</v>
      </c>
      <c r="FU274">
        <v>10000</v>
      </c>
      <c r="FV274">
        <v>10000</v>
      </c>
      <c r="FW274">
        <v>10000</v>
      </c>
      <c r="FX274">
        <v>10000</v>
      </c>
      <c r="FY274">
        <v>10000</v>
      </c>
      <c r="FZ274">
        <v>10000</v>
      </c>
      <c r="GA274">
        <v>10000</v>
      </c>
      <c r="GB274">
        <v>10000</v>
      </c>
      <c r="GC274">
        <v>10000</v>
      </c>
      <c r="GD274">
        <v>10000</v>
      </c>
      <c r="GE274">
        <v>10000</v>
      </c>
      <c r="GF274">
        <v>10000</v>
      </c>
      <c r="GG274">
        <v>10000</v>
      </c>
      <c r="GH274">
        <v>10000</v>
      </c>
      <c r="GI274">
        <v>10000</v>
      </c>
      <c r="GJ274">
        <v>10000</v>
      </c>
      <c r="GK274">
        <v>10000</v>
      </c>
      <c r="GL274">
        <v>10000</v>
      </c>
      <c r="GM274">
        <v>10000</v>
      </c>
      <c r="GN274">
        <v>10000</v>
      </c>
      <c r="GO274">
        <v>10000</v>
      </c>
      <c r="GP274">
        <v>10000</v>
      </c>
      <c r="GQ274">
        <v>10000</v>
      </c>
      <c r="GR274">
        <v>10000</v>
      </c>
      <c r="GS274">
        <v>10000</v>
      </c>
      <c r="GT274">
        <v>10000</v>
      </c>
      <c r="GU274">
        <v>10000</v>
      </c>
      <c r="GV274">
        <v>10000</v>
      </c>
      <c r="GW274">
        <v>10000</v>
      </c>
      <c r="GX274">
        <v>10000</v>
      </c>
      <c r="GY274">
        <v>10000</v>
      </c>
      <c r="GZ274">
        <v>10000</v>
      </c>
      <c r="HA274">
        <v>10000</v>
      </c>
      <c r="HB274">
        <v>10000</v>
      </c>
      <c r="HC274">
        <v>10000</v>
      </c>
      <c r="HD274">
        <v>10000</v>
      </c>
      <c r="HE274">
        <v>10000</v>
      </c>
      <c r="HF274">
        <v>10000</v>
      </c>
      <c r="HG274">
        <v>0</v>
      </c>
      <c r="HH274">
        <v>0</v>
      </c>
      <c r="HI274">
        <v>0</v>
      </c>
      <c r="HJ274">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row>
    <row r="275" spans="13:245" hidden="1">
      <c r="M275" s="343" t="s">
        <v>633</v>
      </c>
      <c r="N275" t="s">
        <v>1010</v>
      </c>
      <c r="O275">
        <v>2</v>
      </c>
      <c r="P275">
        <v>6</v>
      </c>
      <c r="Q275" s="184" t="str">
        <f t="shared" si="10"/>
        <v>SDJ200206</v>
      </c>
      <c r="R275">
        <v>273.5</v>
      </c>
      <c r="S275">
        <v>2000</v>
      </c>
      <c r="T275">
        <v>2000</v>
      </c>
      <c r="U275">
        <v>2000</v>
      </c>
      <c r="V275">
        <v>2000</v>
      </c>
      <c r="W275">
        <v>2000</v>
      </c>
      <c r="X275">
        <v>2000</v>
      </c>
      <c r="Y275">
        <v>2187.8000000000002</v>
      </c>
      <c r="Z275">
        <v>2461.3000000000002</v>
      </c>
      <c r="AA275">
        <v>2734.8</v>
      </c>
      <c r="AB275">
        <v>3008.3</v>
      </c>
      <c r="AC275">
        <v>3281.8</v>
      </c>
      <c r="AD275">
        <v>3555.2</v>
      </c>
      <c r="AE275">
        <v>3828.7</v>
      </c>
      <c r="AF275">
        <v>4102.2</v>
      </c>
      <c r="AG275">
        <v>4375.7</v>
      </c>
      <c r="AH275">
        <v>4649.2</v>
      </c>
      <c r="AI275">
        <v>4922.6000000000004</v>
      </c>
      <c r="AJ275">
        <v>5196.1000000000004</v>
      </c>
      <c r="AK275">
        <v>5469.6</v>
      </c>
      <c r="AL275">
        <v>5469.6</v>
      </c>
      <c r="AM275">
        <v>5469.6</v>
      </c>
      <c r="AN275">
        <v>5469.6</v>
      </c>
      <c r="AO275">
        <v>5469.6</v>
      </c>
      <c r="AP275">
        <v>5469.6</v>
      </c>
      <c r="AQ275">
        <v>5469.6</v>
      </c>
      <c r="AR275">
        <v>5469.6</v>
      </c>
      <c r="AS275">
        <v>5469.6</v>
      </c>
      <c r="AT275">
        <v>5469.6</v>
      </c>
      <c r="AU275">
        <v>5469.6</v>
      </c>
      <c r="AV275">
        <v>5469.6</v>
      </c>
      <c r="AW275">
        <v>5469.6</v>
      </c>
      <c r="AX275">
        <v>5469.6</v>
      </c>
      <c r="AY275">
        <v>5469.6</v>
      </c>
      <c r="AZ275">
        <v>5469.6</v>
      </c>
      <c r="BA275">
        <v>5469.6</v>
      </c>
      <c r="BB275">
        <v>5469.6</v>
      </c>
      <c r="BC275">
        <v>5469.6</v>
      </c>
      <c r="BD275">
        <v>5469.6</v>
      </c>
      <c r="BE275">
        <v>5469.6</v>
      </c>
      <c r="BF275">
        <v>5469.6</v>
      </c>
      <c r="BG275">
        <v>5469.6</v>
      </c>
      <c r="BH275">
        <v>5469.6</v>
      </c>
      <c r="BI275">
        <v>5469.6</v>
      </c>
      <c r="BJ275">
        <v>5469.6</v>
      </c>
      <c r="BK275">
        <v>5469.6</v>
      </c>
      <c r="BL275">
        <v>5469.6</v>
      </c>
      <c r="BM275">
        <v>5469.6</v>
      </c>
      <c r="BN275">
        <v>5469.6</v>
      </c>
      <c r="BO275">
        <v>5469.6</v>
      </c>
      <c r="BP275">
        <v>5469.6</v>
      </c>
      <c r="BQ275">
        <v>5469.6</v>
      </c>
      <c r="BR275">
        <v>5469.6</v>
      </c>
      <c r="BS275">
        <v>5469.6</v>
      </c>
      <c r="BT275">
        <v>5469.6</v>
      </c>
      <c r="BU275">
        <v>5469.6</v>
      </c>
      <c r="BV275">
        <v>5469.6</v>
      </c>
      <c r="BW275">
        <v>5469.6</v>
      </c>
      <c r="BX275">
        <v>5469.6</v>
      </c>
      <c r="BY275">
        <v>5469.6</v>
      </c>
      <c r="BZ275">
        <v>5469.6</v>
      </c>
      <c r="CA275">
        <v>5469.6</v>
      </c>
      <c r="CB275">
        <v>5469.6</v>
      </c>
      <c r="CC275">
        <v>5469.6</v>
      </c>
      <c r="CD275">
        <v>5469.6</v>
      </c>
      <c r="CE275">
        <v>5469.6</v>
      </c>
      <c r="CF275">
        <v>5469.6</v>
      </c>
      <c r="CG275">
        <v>5469.6</v>
      </c>
      <c r="CH275">
        <v>5469.6</v>
      </c>
      <c r="CI275">
        <v>5469.6</v>
      </c>
      <c r="CJ275">
        <v>5469.6</v>
      </c>
      <c r="CK275">
        <v>5469.6</v>
      </c>
      <c r="CL275">
        <v>5469.6</v>
      </c>
      <c r="CM275">
        <v>5469.6</v>
      </c>
      <c r="CN275">
        <v>5469.6</v>
      </c>
      <c r="CO275">
        <v>5469.6</v>
      </c>
      <c r="CP275">
        <v>5469.6</v>
      </c>
      <c r="CQ275">
        <v>5469.6</v>
      </c>
      <c r="CR275">
        <v>5469.6</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Z275" s="343" t="s">
        <v>633</v>
      </c>
      <c r="EA275" t="s">
        <v>1010</v>
      </c>
      <c r="EB275">
        <v>2</v>
      </c>
      <c r="EC275">
        <v>6</v>
      </c>
      <c r="ED275" s="184" t="str">
        <f t="shared" si="11"/>
        <v>SDJ200206</v>
      </c>
      <c r="EE275">
        <v>273.5</v>
      </c>
      <c r="EF275">
        <v>10000</v>
      </c>
      <c r="EG275">
        <v>10000</v>
      </c>
      <c r="EH275">
        <v>10000</v>
      </c>
      <c r="EI275">
        <v>10000</v>
      </c>
      <c r="EJ275">
        <v>10000</v>
      </c>
      <c r="EK275">
        <v>10000</v>
      </c>
      <c r="EL275">
        <v>10000</v>
      </c>
      <c r="EM275">
        <v>10000</v>
      </c>
      <c r="EN275">
        <v>10000</v>
      </c>
      <c r="EO275">
        <v>10000</v>
      </c>
      <c r="EP275">
        <v>10000</v>
      </c>
      <c r="EQ275">
        <v>10000</v>
      </c>
      <c r="ER275">
        <v>10000</v>
      </c>
      <c r="ES275">
        <v>10000</v>
      </c>
      <c r="ET275">
        <v>10000</v>
      </c>
      <c r="EU275">
        <v>10000</v>
      </c>
      <c r="EV275">
        <v>10000</v>
      </c>
      <c r="EW275">
        <v>10000</v>
      </c>
      <c r="EX275">
        <v>10000</v>
      </c>
      <c r="EY275">
        <v>10000</v>
      </c>
      <c r="EZ275">
        <v>10000</v>
      </c>
      <c r="FA275">
        <v>10000</v>
      </c>
      <c r="FB275">
        <v>10000</v>
      </c>
      <c r="FC275">
        <v>10000</v>
      </c>
      <c r="FD275">
        <v>10000</v>
      </c>
      <c r="FE275">
        <v>10000</v>
      </c>
      <c r="FF275">
        <v>10000</v>
      </c>
      <c r="FG275">
        <v>10000</v>
      </c>
      <c r="FH275">
        <v>10000</v>
      </c>
      <c r="FI275">
        <v>10000</v>
      </c>
      <c r="FJ275">
        <v>10000</v>
      </c>
      <c r="FK275">
        <v>10000</v>
      </c>
      <c r="FL275">
        <v>10000</v>
      </c>
      <c r="FM275">
        <v>10000</v>
      </c>
      <c r="FN275">
        <v>10000</v>
      </c>
      <c r="FO275">
        <v>10000</v>
      </c>
      <c r="FP275">
        <v>10000</v>
      </c>
      <c r="FQ275">
        <v>10000</v>
      </c>
      <c r="FR275">
        <v>10000</v>
      </c>
      <c r="FS275">
        <v>10000</v>
      </c>
      <c r="FT275">
        <v>10000</v>
      </c>
      <c r="FU275">
        <v>10000</v>
      </c>
      <c r="FV275">
        <v>10000</v>
      </c>
      <c r="FW275">
        <v>10000</v>
      </c>
      <c r="FX275">
        <v>10000</v>
      </c>
      <c r="FY275">
        <v>10000</v>
      </c>
      <c r="FZ275">
        <v>10000</v>
      </c>
      <c r="GA275">
        <v>10000</v>
      </c>
      <c r="GB275">
        <v>10000</v>
      </c>
      <c r="GC275">
        <v>10000</v>
      </c>
      <c r="GD275">
        <v>10000</v>
      </c>
      <c r="GE275">
        <v>10000</v>
      </c>
      <c r="GF275">
        <v>10000</v>
      </c>
      <c r="GG275">
        <v>10000</v>
      </c>
      <c r="GH275">
        <v>10000</v>
      </c>
      <c r="GI275">
        <v>10000</v>
      </c>
      <c r="GJ275">
        <v>10000</v>
      </c>
      <c r="GK275">
        <v>10000</v>
      </c>
      <c r="GL275">
        <v>10000</v>
      </c>
      <c r="GM275">
        <v>10000</v>
      </c>
      <c r="GN275">
        <v>10000</v>
      </c>
      <c r="GO275">
        <v>10000</v>
      </c>
      <c r="GP275">
        <v>10000</v>
      </c>
      <c r="GQ275">
        <v>10000</v>
      </c>
      <c r="GR275">
        <v>10000</v>
      </c>
      <c r="GS275">
        <v>10000</v>
      </c>
      <c r="GT275">
        <v>10000</v>
      </c>
      <c r="GU275">
        <v>10000</v>
      </c>
      <c r="GV275">
        <v>10000</v>
      </c>
      <c r="GW275">
        <v>10000</v>
      </c>
      <c r="GX275">
        <v>10000</v>
      </c>
      <c r="GY275">
        <v>10000</v>
      </c>
      <c r="GZ275">
        <v>10000</v>
      </c>
      <c r="HA275">
        <v>10000</v>
      </c>
      <c r="HB275">
        <v>10000</v>
      </c>
      <c r="HC275">
        <v>10000</v>
      </c>
      <c r="HD275">
        <v>10000</v>
      </c>
      <c r="HE275">
        <v>10000</v>
      </c>
      <c r="HF275">
        <v>0</v>
      </c>
      <c r="HG275">
        <v>0</v>
      </c>
      <c r="HH275">
        <v>0</v>
      </c>
      <c r="HI275">
        <v>0</v>
      </c>
      <c r="HJ275">
        <v>0</v>
      </c>
      <c r="HK275">
        <v>0</v>
      </c>
      <c r="HL275">
        <v>0</v>
      </c>
      <c r="HM275">
        <v>0</v>
      </c>
      <c r="HN275">
        <v>0</v>
      </c>
      <c r="HO275">
        <v>0</v>
      </c>
      <c r="HP275">
        <v>0</v>
      </c>
      <c r="HQ275">
        <v>0</v>
      </c>
      <c r="HR275">
        <v>0</v>
      </c>
      <c r="HS275">
        <v>0</v>
      </c>
      <c r="HT275">
        <v>0</v>
      </c>
      <c r="HU275">
        <v>0</v>
      </c>
      <c r="HV275">
        <v>0</v>
      </c>
      <c r="HW275">
        <v>0</v>
      </c>
      <c r="HX275">
        <v>0</v>
      </c>
      <c r="HY275">
        <v>0</v>
      </c>
      <c r="HZ275">
        <v>0</v>
      </c>
      <c r="IA275">
        <v>0</v>
      </c>
      <c r="IB275">
        <v>0</v>
      </c>
      <c r="IC275">
        <v>0</v>
      </c>
      <c r="ID275">
        <v>0</v>
      </c>
      <c r="IE275">
        <v>0</v>
      </c>
      <c r="IF275">
        <v>0</v>
      </c>
      <c r="IG275">
        <v>0</v>
      </c>
      <c r="IH275">
        <v>0</v>
      </c>
      <c r="II275">
        <v>0</v>
      </c>
      <c r="IJ275">
        <v>0</v>
      </c>
      <c r="IK275">
        <v>0</v>
      </c>
    </row>
    <row r="276" spans="13:245" hidden="1">
      <c r="M276" s="343" t="s">
        <v>633</v>
      </c>
      <c r="N276" t="s">
        <v>1010</v>
      </c>
      <c r="O276">
        <v>2</v>
      </c>
      <c r="P276">
        <v>7</v>
      </c>
      <c r="Q276" s="184" t="str">
        <f t="shared" si="10"/>
        <v>SDJ200207</v>
      </c>
      <c r="R276">
        <v>277.7</v>
      </c>
      <c r="S276">
        <v>2000</v>
      </c>
      <c r="T276">
        <v>2000</v>
      </c>
      <c r="U276">
        <v>2000</v>
      </c>
      <c r="V276">
        <v>2000</v>
      </c>
      <c r="W276">
        <v>2000</v>
      </c>
      <c r="X276">
        <v>2000</v>
      </c>
      <c r="Y276">
        <v>2221.8000000000002</v>
      </c>
      <c r="Z276">
        <v>2499.5</v>
      </c>
      <c r="AA276">
        <v>2777.2</v>
      </c>
      <c r="AB276">
        <v>3054.9</v>
      </c>
      <c r="AC276">
        <v>3332.6</v>
      </c>
      <c r="AD276">
        <v>3610.4</v>
      </c>
      <c r="AE276">
        <v>3888.1</v>
      </c>
      <c r="AF276">
        <v>4165.8</v>
      </c>
      <c r="AG276">
        <v>4443.5</v>
      </c>
      <c r="AH276">
        <v>4721.2</v>
      </c>
      <c r="AI276">
        <v>4999</v>
      </c>
      <c r="AJ276">
        <v>5276.7</v>
      </c>
      <c r="AK276">
        <v>5554.4</v>
      </c>
      <c r="AL276">
        <v>5554.4</v>
      </c>
      <c r="AM276">
        <v>5554.4</v>
      </c>
      <c r="AN276">
        <v>5554.4</v>
      </c>
      <c r="AO276">
        <v>5554.4</v>
      </c>
      <c r="AP276">
        <v>5554.4</v>
      </c>
      <c r="AQ276">
        <v>5554.4</v>
      </c>
      <c r="AR276">
        <v>5554.4</v>
      </c>
      <c r="AS276">
        <v>5554.4</v>
      </c>
      <c r="AT276">
        <v>5554.4</v>
      </c>
      <c r="AU276">
        <v>5554.4</v>
      </c>
      <c r="AV276">
        <v>5554.4</v>
      </c>
      <c r="AW276">
        <v>5554.4</v>
      </c>
      <c r="AX276">
        <v>5554.4</v>
      </c>
      <c r="AY276">
        <v>5554.4</v>
      </c>
      <c r="AZ276">
        <v>5554.4</v>
      </c>
      <c r="BA276">
        <v>5554.4</v>
      </c>
      <c r="BB276">
        <v>5554.4</v>
      </c>
      <c r="BC276">
        <v>5554.4</v>
      </c>
      <c r="BD276">
        <v>5554.4</v>
      </c>
      <c r="BE276">
        <v>5554.4</v>
      </c>
      <c r="BF276">
        <v>5554.4</v>
      </c>
      <c r="BG276">
        <v>5554.4</v>
      </c>
      <c r="BH276">
        <v>5554.4</v>
      </c>
      <c r="BI276">
        <v>5554.4</v>
      </c>
      <c r="BJ276">
        <v>5554.4</v>
      </c>
      <c r="BK276">
        <v>5554.4</v>
      </c>
      <c r="BL276">
        <v>5554.4</v>
      </c>
      <c r="BM276">
        <v>5554.4</v>
      </c>
      <c r="BN276">
        <v>5554.4</v>
      </c>
      <c r="BO276">
        <v>5554.4</v>
      </c>
      <c r="BP276">
        <v>5554.4</v>
      </c>
      <c r="BQ276">
        <v>5554.4</v>
      </c>
      <c r="BR276">
        <v>5554.4</v>
      </c>
      <c r="BS276">
        <v>5554.4</v>
      </c>
      <c r="BT276">
        <v>5554.4</v>
      </c>
      <c r="BU276">
        <v>5554.4</v>
      </c>
      <c r="BV276">
        <v>5554.4</v>
      </c>
      <c r="BW276">
        <v>5554.4</v>
      </c>
      <c r="BX276">
        <v>5554.4</v>
      </c>
      <c r="BY276">
        <v>5554.4</v>
      </c>
      <c r="BZ276">
        <v>5554.4</v>
      </c>
      <c r="CA276">
        <v>5554.4</v>
      </c>
      <c r="CB276">
        <v>5554.4</v>
      </c>
      <c r="CC276">
        <v>5554.4</v>
      </c>
      <c r="CD276">
        <v>5554.4</v>
      </c>
      <c r="CE276">
        <v>5554.4</v>
      </c>
      <c r="CF276">
        <v>5554.4</v>
      </c>
      <c r="CG276">
        <v>5554.4</v>
      </c>
      <c r="CH276">
        <v>5554.4</v>
      </c>
      <c r="CI276">
        <v>5554.4</v>
      </c>
      <c r="CJ276">
        <v>5554.4</v>
      </c>
      <c r="CK276">
        <v>5554.4</v>
      </c>
      <c r="CL276">
        <v>5554.4</v>
      </c>
      <c r="CM276">
        <v>5554.4</v>
      </c>
      <c r="CN276">
        <v>5554.4</v>
      </c>
      <c r="CO276">
        <v>5554.4</v>
      </c>
      <c r="CP276">
        <v>5554.4</v>
      </c>
      <c r="CQ276">
        <v>5554.4</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Z276" s="343" t="s">
        <v>633</v>
      </c>
      <c r="EA276" t="s">
        <v>1010</v>
      </c>
      <c r="EB276">
        <v>2</v>
      </c>
      <c r="EC276">
        <v>7</v>
      </c>
      <c r="ED276" s="184" t="str">
        <f t="shared" si="11"/>
        <v>SDJ200207</v>
      </c>
      <c r="EE276">
        <v>277.7</v>
      </c>
      <c r="EF276">
        <v>10000</v>
      </c>
      <c r="EG276">
        <v>10000</v>
      </c>
      <c r="EH276">
        <v>10000</v>
      </c>
      <c r="EI276">
        <v>10000</v>
      </c>
      <c r="EJ276">
        <v>10000</v>
      </c>
      <c r="EK276">
        <v>10000</v>
      </c>
      <c r="EL276">
        <v>10000</v>
      </c>
      <c r="EM276">
        <v>10000</v>
      </c>
      <c r="EN276">
        <v>10000</v>
      </c>
      <c r="EO276">
        <v>10000</v>
      </c>
      <c r="EP276">
        <v>10000</v>
      </c>
      <c r="EQ276">
        <v>10000</v>
      </c>
      <c r="ER276">
        <v>10000</v>
      </c>
      <c r="ES276">
        <v>10000</v>
      </c>
      <c r="ET276">
        <v>10000</v>
      </c>
      <c r="EU276">
        <v>10000</v>
      </c>
      <c r="EV276">
        <v>10000</v>
      </c>
      <c r="EW276">
        <v>10000</v>
      </c>
      <c r="EX276">
        <v>10000</v>
      </c>
      <c r="EY276">
        <v>10000</v>
      </c>
      <c r="EZ276">
        <v>10000</v>
      </c>
      <c r="FA276">
        <v>10000</v>
      </c>
      <c r="FB276">
        <v>10000</v>
      </c>
      <c r="FC276">
        <v>10000</v>
      </c>
      <c r="FD276">
        <v>10000</v>
      </c>
      <c r="FE276">
        <v>10000</v>
      </c>
      <c r="FF276">
        <v>10000</v>
      </c>
      <c r="FG276">
        <v>10000</v>
      </c>
      <c r="FH276">
        <v>10000</v>
      </c>
      <c r="FI276">
        <v>10000</v>
      </c>
      <c r="FJ276">
        <v>10000</v>
      </c>
      <c r="FK276">
        <v>10000</v>
      </c>
      <c r="FL276">
        <v>10000</v>
      </c>
      <c r="FM276">
        <v>10000</v>
      </c>
      <c r="FN276">
        <v>10000</v>
      </c>
      <c r="FO276">
        <v>10000</v>
      </c>
      <c r="FP276">
        <v>10000</v>
      </c>
      <c r="FQ276">
        <v>10000</v>
      </c>
      <c r="FR276">
        <v>10000</v>
      </c>
      <c r="FS276">
        <v>10000</v>
      </c>
      <c r="FT276">
        <v>10000</v>
      </c>
      <c r="FU276">
        <v>10000</v>
      </c>
      <c r="FV276">
        <v>10000</v>
      </c>
      <c r="FW276">
        <v>10000</v>
      </c>
      <c r="FX276">
        <v>10000</v>
      </c>
      <c r="FY276">
        <v>10000</v>
      </c>
      <c r="FZ276">
        <v>10000</v>
      </c>
      <c r="GA276">
        <v>10000</v>
      </c>
      <c r="GB276">
        <v>10000</v>
      </c>
      <c r="GC276">
        <v>10000</v>
      </c>
      <c r="GD276">
        <v>10000</v>
      </c>
      <c r="GE276">
        <v>10000</v>
      </c>
      <c r="GF276">
        <v>10000</v>
      </c>
      <c r="GG276">
        <v>10000</v>
      </c>
      <c r="GH276">
        <v>10000</v>
      </c>
      <c r="GI276">
        <v>10000</v>
      </c>
      <c r="GJ276">
        <v>10000</v>
      </c>
      <c r="GK276">
        <v>10000</v>
      </c>
      <c r="GL276">
        <v>10000</v>
      </c>
      <c r="GM276">
        <v>10000</v>
      </c>
      <c r="GN276">
        <v>10000</v>
      </c>
      <c r="GO276">
        <v>10000</v>
      </c>
      <c r="GP276">
        <v>10000</v>
      </c>
      <c r="GQ276">
        <v>10000</v>
      </c>
      <c r="GR276">
        <v>10000</v>
      </c>
      <c r="GS276">
        <v>10000</v>
      </c>
      <c r="GT276">
        <v>10000</v>
      </c>
      <c r="GU276">
        <v>10000</v>
      </c>
      <c r="GV276">
        <v>10000</v>
      </c>
      <c r="GW276">
        <v>10000</v>
      </c>
      <c r="GX276">
        <v>10000</v>
      </c>
      <c r="GY276">
        <v>10000</v>
      </c>
      <c r="GZ276">
        <v>10000</v>
      </c>
      <c r="HA276">
        <v>10000</v>
      </c>
      <c r="HB276">
        <v>10000</v>
      </c>
      <c r="HC276">
        <v>10000</v>
      </c>
      <c r="HD276">
        <v>10000</v>
      </c>
      <c r="HE276">
        <v>0</v>
      </c>
      <c r="HF276">
        <v>0</v>
      </c>
      <c r="HG276">
        <v>0</v>
      </c>
      <c r="HH276">
        <v>0</v>
      </c>
      <c r="HI276">
        <v>0</v>
      </c>
      <c r="HJ276">
        <v>0</v>
      </c>
      <c r="HK276">
        <v>0</v>
      </c>
      <c r="HL276">
        <v>0</v>
      </c>
      <c r="HM276">
        <v>0</v>
      </c>
      <c r="HN276">
        <v>0</v>
      </c>
      <c r="HO276">
        <v>0</v>
      </c>
      <c r="HP276">
        <v>0</v>
      </c>
      <c r="HQ276">
        <v>0</v>
      </c>
      <c r="HR276">
        <v>0</v>
      </c>
      <c r="HS276">
        <v>0</v>
      </c>
      <c r="HT276">
        <v>0</v>
      </c>
      <c r="HU276">
        <v>0</v>
      </c>
      <c r="HV276">
        <v>0</v>
      </c>
      <c r="HW276">
        <v>0</v>
      </c>
      <c r="HX276">
        <v>0</v>
      </c>
      <c r="HY276">
        <v>0</v>
      </c>
      <c r="HZ276">
        <v>0</v>
      </c>
      <c r="IA276">
        <v>0</v>
      </c>
      <c r="IB276">
        <v>0</v>
      </c>
      <c r="IC276">
        <v>0</v>
      </c>
      <c r="ID276">
        <v>0</v>
      </c>
      <c r="IE276">
        <v>0</v>
      </c>
      <c r="IF276">
        <v>0</v>
      </c>
      <c r="IG276">
        <v>0</v>
      </c>
      <c r="IH276">
        <v>0</v>
      </c>
      <c r="II276">
        <v>0</v>
      </c>
      <c r="IJ276">
        <v>0</v>
      </c>
      <c r="IK276">
        <v>0</v>
      </c>
    </row>
    <row r="277" spans="13:245" hidden="1">
      <c r="M277" s="343" t="s">
        <v>633</v>
      </c>
      <c r="N277" t="s">
        <v>1010</v>
      </c>
      <c r="O277">
        <v>2</v>
      </c>
      <c r="P277">
        <v>8</v>
      </c>
      <c r="Q277" s="184" t="str">
        <f t="shared" si="10"/>
        <v>SDJ200208</v>
      </c>
      <c r="R277">
        <v>282</v>
      </c>
      <c r="S277">
        <v>2000</v>
      </c>
      <c r="T277">
        <v>2000</v>
      </c>
      <c r="U277">
        <v>2000</v>
      </c>
      <c r="V277">
        <v>2000</v>
      </c>
      <c r="W277">
        <v>2000</v>
      </c>
      <c r="X277">
        <v>2000</v>
      </c>
      <c r="Y277">
        <v>2255.6999999999998</v>
      </c>
      <c r="Z277">
        <v>2537.6</v>
      </c>
      <c r="AA277">
        <v>2819.6</v>
      </c>
      <c r="AB277">
        <v>3101.6</v>
      </c>
      <c r="AC277">
        <v>3383.5</v>
      </c>
      <c r="AD277">
        <v>3665.5</v>
      </c>
      <c r="AE277">
        <v>3947.4</v>
      </c>
      <c r="AF277">
        <v>4229.3999999999996</v>
      </c>
      <c r="AG277">
        <v>4511.3999999999996</v>
      </c>
      <c r="AH277">
        <v>4793.3</v>
      </c>
      <c r="AI277">
        <v>5075.3</v>
      </c>
      <c r="AJ277">
        <v>5357.2</v>
      </c>
      <c r="AK277">
        <v>5639.2</v>
      </c>
      <c r="AL277">
        <v>5639.2</v>
      </c>
      <c r="AM277">
        <v>5639.2</v>
      </c>
      <c r="AN277">
        <v>5639.2</v>
      </c>
      <c r="AO277">
        <v>5639.2</v>
      </c>
      <c r="AP277">
        <v>5639.2</v>
      </c>
      <c r="AQ277">
        <v>5639.2</v>
      </c>
      <c r="AR277">
        <v>5639.2</v>
      </c>
      <c r="AS277">
        <v>5639.2</v>
      </c>
      <c r="AT277">
        <v>5639.2</v>
      </c>
      <c r="AU277">
        <v>5639.2</v>
      </c>
      <c r="AV277">
        <v>5639.2</v>
      </c>
      <c r="AW277">
        <v>5639.2</v>
      </c>
      <c r="AX277">
        <v>5639.2</v>
      </c>
      <c r="AY277">
        <v>5639.2</v>
      </c>
      <c r="AZ277">
        <v>5639.2</v>
      </c>
      <c r="BA277">
        <v>5639.2</v>
      </c>
      <c r="BB277">
        <v>5639.2</v>
      </c>
      <c r="BC277">
        <v>5639.2</v>
      </c>
      <c r="BD277">
        <v>5639.2</v>
      </c>
      <c r="BE277">
        <v>5639.2</v>
      </c>
      <c r="BF277">
        <v>5639.2</v>
      </c>
      <c r="BG277">
        <v>5639.2</v>
      </c>
      <c r="BH277">
        <v>5639.2</v>
      </c>
      <c r="BI277">
        <v>5639.2</v>
      </c>
      <c r="BJ277">
        <v>5639.2</v>
      </c>
      <c r="BK277">
        <v>5639.2</v>
      </c>
      <c r="BL277">
        <v>5639.2</v>
      </c>
      <c r="BM277">
        <v>5639.2</v>
      </c>
      <c r="BN277">
        <v>5639.2</v>
      </c>
      <c r="BO277">
        <v>5639.2</v>
      </c>
      <c r="BP277">
        <v>5639.2</v>
      </c>
      <c r="BQ277">
        <v>5639.2</v>
      </c>
      <c r="BR277">
        <v>5639.2</v>
      </c>
      <c r="BS277">
        <v>5639.2</v>
      </c>
      <c r="BT277">
        <v>5639.2</v>
      </c>
      <c r="BU277">
        <v>5639.2</v>
      </c>
      <c r="BV277">
        <v>5639.2</v>
      </c>
      <c r="BW277">
        <v>5639.2</v>
      </c>
      <c r="BX277">
        <v>5639.2</v>
      </c>
      <c r="BY277">
        <v>5639.2</v>
      </c>
      <c r="BZ277">
        <v>5639.2</v>
      </c>
      <c r="CA277">
        <v>5639.2</v>
      </c>
      <c r="CB277">
        <v>5639.2</v>
      </c>
      <c r="CC277">
        <v>5639.2</v>
      </c>
      <c r="CD277">
        <v>5639.2</v>
      </c>
      <c r="CE277">
        <v>5639.2</v>
      </c>
      <c r="CF277">
        <v>5639.2</v>
      </c>
      <c r="CG277">
        <v>5639.2</v>
      </c>
      <c r="CH277">
        <v>5639.2</v>
      </c>
      <c r="CI277">
        <v>5639.2</v>
      </c>
      <c r="CJ277">
        <v>5639.2</v>
      </c>
      <c r="CK277">
        <v>5639.2</v>
      </c>
      <c r="CL277">
        <v>5639.2</v>
      </c>
      <c r="CM277">
        <v>5639.2</v>
      </c>
      <c r="CN277">
        <v>5639.2</v>
      </c>
      <c r="CO277">
        <v>5639.2</v>
      </c>
      <c r="CP277">
        <v>5639.2</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Z277" s="343" t="s">
        <v>633</v>
      </c>
      <c r="EA277" t="s">
        <v>1010</v>
      </c>
      <c r="EB277">
        <v>2</v>
      </c>
      <c r="EC277">
        <v>8</v>
      </c>
      <c r="ED277" s="184" t="str">
        <f t="shared" si="11"/>
        <v>SDJ200208</v>
      </c>
      <c r="EE277">
        <v>282</v>
      </c>
      <c r="EF277">
        <v>10000</v>
      </c>
      <c r="EG277">
        <v>10000</v>
      </c>
      <c r="EH277">
        <v>10000</v>
      </c>
      <c r="EI277">
        <v>10000</v>
      </c>
      <c r="EJ277">
        <v>10000</v>
      </c>
      <c r="EK277">
        <v>10000</v>
      </c>
      <c r="EL277">
        <v>10000</v>
      </c>
      <c r="EM277">
        <v>10000</v>
      </c>
      <c r="EN277">
        <v>10000</v>
      </c>
      <c r="EO277">
        <v>10000</v>
      </c>
      <c r="EP277">
        <v>10000</v>
      </c>
      <c r="EQ277">
        <v>10000</v>
      </c>
      <c r="ER277">
        <v>10000</v>
      </c>
      <c r="ES277">
        <v>10000</v>
      </c>
      <c r="ET277">
        <v>10000</v>
      </c>
      <c r="EU277">
        <v>10000</v>
      </c>
      <c r="EV277">
        <v>10000</v>
      </c>
      <c r="EW277">
        <v>10000</v>
      </c>
      <c r="EX277">
        <v>10000</v>
      </c>
      <c r="EY277">
        <v>10000</v>
      </c>
      <c r="EZ277">
        <v>10000</v>
      </c>
      <c r="FA277">
        <v>10000</v>
      </c>
      <c r="FB277">
        <v>10000</v>
      </c>
      <c r="FC277">
        <v>10000</v>
      </c>
      <c r="FD277">
        <v>10000</v>
      </c>
      <c r="FE277">
        <v>10000</v>
      </c>
      <c r="FF277">
        <v>10000</v>
      </c>
      <c r="FG277">
        <v>10000</v>
      </c>
      <c r="FH277">
        <v>10000</v>
      </c>
      <c r="FI277">
        <v>10000</v>
      </c>
      <c r="FJ277">
        <v>10000</v>
      </c>
      <c r="FK277">
        <v>10000</v>
      </c>
      <c r="FL277">
        <v>10000</v>
      </c>
      <c r="FM277">
        <v>10000</v>
      </c>
      <c r="FN277">
        <v>10000</v>
      </c>
      <c r="FO277">
        <v>10000</v>
      </c>
      <c r="FP277">
        <v>10000</v>
      </c>
      <c r="FQ277">
        <v>10000</v>
      </c>
      <c r="FR277">
        <v>10000</v>
      </c>
      <c r="FS277">
        <v>10000</v>
      </c>
      <c r="FT277">
        <v>10000</v>
      </c>
      <c r="FU277">
        <v>10000</v>
      </c>
      <c r="FV277">
        <v>10000</v>
      </c>
      <c r="FW277">
        <v>10000</v>
      </c>
      <c r="FX277">
        <v>10000</v>
      </c>
      <c r="FY277">
        <v>10000</v>
      </c>
      <c r="FZ277">
        <v>10000</v>
      </c>
      <c r="GA277">
        <v>10000</v>
      </c>
      <c r="GB277">
        <v>10000</v>
      </c>
      <c r="GC277">
        <v>10000</v>
      </c>
      <c r="GD277">
        <v>10000</v>
      </c>
      <c r="GE277">
        <v>10000</v>
      </c>
      <c r="GF277">
        <v>10000</v>
      </c>
      <c r="GG277">
        <v>10000</v>
      </c>
      <c r="GH277">
        <v>10000</v>
      </c>
      <c r="GI277">
        <v>10000</v>
      </c>
      <c r="GJ277">
        <v>10000</v>
      </c>
      <c r="GK277">
        <v>10000</v>
      </c>
      <c r="GL277">
        <v>10000</v>
      </c>
      <c r="GM277">
        <v>10000</v>
      </c>
      <c r="GN277">
        <v>10000</v>
      </c>
      <c r="GO277">
        <v>10000</v>
      </c>
      <c r="GP277">
        <v>10000</v>
      </c>
      <c r="GQ277">
        <v>10000</v>
      </c>
      <c r="GR277">
        <v>10000</v>
      </c>
      <c r="GS277">
        <v>10000</v>
      </c>
      <c r="GT277">
        <v>10000</v>
      </c>
      <c r="GU277">
        <v>10000</v>
      </c>
      <c r="GV277">
        <v>10000</v>
      </c>
      <c r="GW277">
        <v>10000</v>
      </c>
      <c r="GX277">
        <v>10000</v>
      </c>
      <c r="GY277">
        <v>10000</v>
      </c>
      <c r="GZ277">
        <v>10000</v>
      </c>
      <c r="HA277">
        <v>10000</v>
      </c>
      <c r="HB277">
        <v>10000</v>
      </c>
      <c r="HC277">
        <v>10000</v>
      </c>
      <c r="HD277">
        <v>0</v>
      </c>
      <c r="HE277">
        <v>0</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0</v>
      </c>
      <c r="HZ277">
        <v>0</v>
      </c>
      <c r="IA277">
        <v>0</v>
      </c>
      <c r="IB277">
        <v>0</v>
      </c>
      <c r="IC277">
        <v>0</v>
      </c>
      <c r="ID277">
        <v>0</v>
      </c>
      <c r="IE277">
        <v>0</v>
      </c>
      <c r="IF277">
        <v>0</v>
      </c>
      <c r="IG277">
        <v>0</v>
      </c>
      <c r="IH277">
        <v>0</v>
      </c>
      <c r="II277">
        <v>0</v>
      </c>
      <c r="IJ277">
        <v>0</v>
      </c>
      <c r="IK277">
        <v>0</v>
      </c>
    </row>
    <row r="278" spans="13:245" hidden="1">
      <c r="M278" s="343" t="s">
        <v>633</v>
      </c>
      <c r="N278" t="s">
        <v>1010</v>
      </c>
      <c r="O278">
        <v>2</v>
      </c>
      <c r="P278">
        <v>9</v>
      </c>
      <c r="Q278" s="184" t="str">
        <f t="shared" si="10"/>
        <v>SDJ200209</v>
      </c>
      <c r="R278">
        <v>286.2</v>
      </c>
      <c r="S278">
        <v>2000</v>
      </c>
      <c r="T278">
        <v>2000</v>
      </c>
      <c r="U278">
        <v>2000</v>
      </c>
      <c r="V278">
        <v>2000</v>
      </c>
      <c r="W278">
        <v>2000</v>
      </c>
      <c r="X278">
        <v>2003.4</v>
      </c>
      <c r="Y278">
        <v>2289.6</v>
      </c>
      <c r="Z278">
        <v>2575.8000000000002</v>
      </c>
      <c r="AA278">
        <v>2862</v>
      </c>
      <c r="AB278">
        <v>3148.2</v>
      </c>
      <c r="AC278">
        <v>3434.4</v>
      </c>
      <c r="AD278">
        <v>3720.6</v>
      </c>
      <c r="AE278">
        <v>4006.8</v>
      </c>
      <c r="AF278">
        <v>4293</v>
      </c>
      <c r="AG278">
        <v>4579.2</v>
      </c>
      <c r="AH278">
        <v>4865.3999999999996</v>
      </c>
      <c r="AI278">
        <v>5151.6000000000004</v>
      </c>
      <c r="AJ278">
        <v>5437.8</v>
      </c>
      <c r="AK278">
        <v>5724</v>
      </c>
      <c r="AL278">
        <v>5724</v>
      </c>
      <c r="AM278">
        <v>5724</v>
      </c>
      <c r="AN278">
        <v>5724</v>
      </c>
      <c r="AO278">
        <v>5724</v>
      </c>
      <c r="AP278">
        <v>5724</v>
      </c>
      <c r="AQ278">
        <v>5724</v>
      </c>
      <c r="AR278">
        <v>5724</v>
      </c>
      <c r="AS278">
        <v>5724</v>
      </c>
      <c r="AT278">
        <v>5724</v>
      </c>
      <c r="AU278">
        <v>5724</v>
      </c>
      <c r="AV278">
        <v>5724</v>
      </c>
      <c r="AW278">
        <v>5724</v>
      </c>
      <c r="AX278">
        <v>5724</v>
      </c>
      <c r="AY278">
        <v>5724</v>
      </c>
      <c r="AZ278">
        <v>5724</v>
      </c>
      <c r="BA278">
        <v>5724</v>
      </c>
      <c r="BB278">
        <v>5724</v>
      </c>
      <c r="BC278">
        <v>5724</v>
      </c>
      <c r="BD278">
        <v>5724</v>
      </c>
      <c r="BE278">
        <v>5724</v>
      </c>
      <c r="BF278">
        <v>5724</v>
      </c>
      <c r="BG278">
        <v>5724</v>
      </c>
      <c r="BH278">
        <v>5724</v>
      </c>
      <c r="BI278">
        <v>5724</v>
      </c>
      <c r="BJ278">
        <v>5724</v>
      </c>
      <c r="BK278">
        <v>5724</v>
      </c>
      <c r="BL278">
        <v>5724</v>
      </c>
      <c r="BM278">
        <v>5724</v>
      </c>
      <c r="BN278">
        <v>5724</v>
      </c>
      <c r="BO278">
        <v>5724</v>
      </c>
      <c r="BP278">
        <v>5724</v>
      </c>
      <c r="BQ278">
        <v>5724</v>
      </c>
      <c r="BR278">
        <v>5724</v>
      </c>
      <c r="BS278">
        <v>5724</v>
      </c>
      <c r="BT278">
        <v>5724</v>
      </c>
      <c r="BU278">
        <v>5724</v>
      </c>
      <c r="BV278">
        <v>5724</v>
      </c>
      <c r="BW278">
        <v>5724</v>
      </c>
      <c r="BX278">
        <v>5724</v>
      </c>
      <c r="BY278">
        <v>5724</v>
      </c>
      <c r="BZ278">
        <v>5724</v>
      </c>
      <c r="CA278">
        <v>5724</v>
      </c>
      <c r="CB278">
        <v>5724</v>
      </c>
      <c r="CC278">
        <v>5724</v>
      </c>
      <c r="CD278">
        <v>5724</v>
      </c>
      <c r="CE278">
        <v>5724</v>
      </c>
      <c r="CF278">
        <v>5724</v>
      </c>
      <c r="CG278">
        <v>5724</v>
      </c>
      <c r="CH278">
        <v>5724</v>
      </c>
      <c r="CI278">
        <v>5724</v>
      </c>
      <c r="CJ278">
        <v>5724</v>
      </c>
      <c r="CK278">
        <v>5724</v>
      </c>
      <c r="CL278">
        <v>5724</v>
      </c>
      <c r="CM278">
        <v>5724</v>
      </c>
      <c r="CN278">
        <v>5724</v>
      </c>
      <c r="CO278">
        <v>5724</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Z278" s="343" t="s">
        <v>633</v>
      </c>
      <c r="EA278" t="s">
        <v>1010</v>
      </c>
      <c r="EB278">
        <v>2</v>
      </c>
      <c r="EC278">
        <v>9</v>
      </c>
      <c r="ED278" s="184" t="str">
        <f t="shared" si="11"/>
        <v>SDJ200209</v>
      </c>
      <c r="EE278">
        <v>286.2</v>
      </c>
      <c r="EF278">
        <v>10000</v>
      </c>
      <c r="EG278">
        <v>10000</v>
      </c>
      <c r="EH278">
        <v>10000</v>
      </c>
      <c r="EI278">
        <v>10000</v>
      </c>
      <c r="EJ278">
        <v>10000</v>
      </c>
      <c r="EK278">
        <v>10000</v>
      </c>
      <c r="EL278">
        <v>10000</v>
      </c>
      <c r="EM278">
        <v>10000</v>
      </c>
      <c r="EN278">
        <v>10000</v>
      </c>
      <c r="EO278">
        <v>10000</v>
      </c>
      <c r="EP278">
        <v>10000</v>
      </c>
      <c r="EQ278">
        <v>10000</v>
      </c>
      <c r="ER278">
        <v>10000</v>
      </c>
      <c r="ES278">
        <v>10000</v>
      </c>
      <c r="ET278">
        <v>10000</v>
      </c>
      <c r="EU278">
        <v>10000</v>
      </c>
      <c r="EV278">
        <v>10000</v>
      </c>
      <c r="EW278">
        <v>10000</v>
      </c>
      <c r="EX278">
        <v>10000</v>
      </c>
      <c r="EY278">
        <v>10000</v>
      </c>
      <c r="EZ278">
        <v>10000</v>
      </c>
      <c r="FA278">
        <v>10000</v>
      </c>
      <c r="FB278">
        <v>10000</v>
      </c>
      <c r="FC278">
        <v>10000</v>
      </c>
      <c r="FD278">
        <v>10000</v>
      </c>
      <c r="FE278">
        <v>10000</v>
      </c>
      <c r="FF278">
        <v>10000</v>
      </c>
      <c r="FG278">
        <v>10000</v>
      </c>
      <c r="FH278">
        <v>10000</v>
      </c>
      <c r="FI278">
        <v>10000</v>
      </c>
      <c r="FJ278">
        <v>10000</v>
      </c>
      <c r="FK278">
        <v>10000</v>
      </c>
      <c r="FL278">
        <v>10000</v>
      </c>
      <c r="FM278">
        <v>10000</v>
      </c>
      <c r="FN278">
        <v>10000</v>
      </c>
      <c r="FO278">
        <v>10000</v>
      </c>
      <c r="FP278">
        <v>10000</v>
      </c>
      <c r="FQ278">
        <v>10000</v>
      </c>
      <c r="FR278">
        <v>10000</v>
      </c>
      <c r="FS278">
        <v>10000</v>
      </c>
      <c r="FT278">
        <v>10000</v>
      </c>
      <c r="FU278">
        <v>10000</v>
      </c>
      <c r="FV278">
        <v>10000</v>
      </c>
      <c r="FW278">
        <v>10000</v>
      </c>
      <c r="FX278">
        <v>10000</v>
      </c>
      <c r="FY278">
        <v>10000</v>
      </c>
      <c r="FZ278">
        <v>10000</v>
      </c>
      <c r="GA278">
        <v>10000</v>
      </c>
      <c r="GB278">
        <v>10000</v>
      </c>
      <c r="GC278">
        <v>10000</v>
      </c>
      <c r="GD278">
        <v>10000</v>
      </c>
      <c r="GE278">
        <v>10000</v>
      </c>
      <c r="GF278">
        <v>10000</v>
      </c>
      <c r="GG278">
        <v>10000</v>
      </c>
      <c r="GH278">
        <v>10000</v>
      </c>
      <c r="GI278">
        <v>10000</v>
      </c>
      <c r="GJ278">
        <v>10000</v>
      </c>
      <c r="GK278">
        <v>10000</v>
      </c>
      <c r="GL278">
        <v>10000</v>
      </c>
      <c r="GM278">
        <v>10000</v>
      </c>
      <c r="GN278">
        <v>10000</v>
      </c>
      <c r="GO278">
        <v>10000</v>
      </c>
      <c r="GP278">
        <v>10000</v>
      </c>
      <c r="GQ278">
        <v>10000</v>
      </c>
      <c r="GR278">
        <v>10000</v>
      </c>
      <c r="GS278">
        <v>10000</v>
      </c>
      <c r="GT278">
        <v>10000</v>
      </c>
      <c r="GU278">
        <v>10000</v>
      </c>
      <c r="GV278">
        <v>10000</v>
      </c>
      <c r="GW278">
        <v>10000</v>
      </c>
      <c r="GX278">
        <v>10000</v>
      </c>
      <c r="GY278">
        <v>10000</v>
      </c>
      <c r="GZ278">
        <v>10000</v>
      </c>
      <c r="HA278">
        <v>10000</v>
      </c>
      <c r="HB278">
        <v>10000</v>
      </c>
      <c r="HC278">
        <v>0</v>
      </c>
      <c r="HD278">
        <v>0</v>
      </c>
      <c r="HE278">
        <v>0</v>
      </c>
      <c r="HF278">
        <v>0</v>
      </c>
      <c r="HG278">
        <v>0</v>
      </c>
      <c r="HH278">
        <v>0</v>
      </c>
      <c r="HI278">
        <v>0</v>
      </c>
      <c r="HJ278">
        <v>0</v>
      </c>
      <c r="HK278">
        <v>0</v>
      </c>
      <c r="HL278">
        <v>0</v>
      </c>
      <c r="HM278">
        <v>0</v>
      </c>
      <c r="HN278">
        <v>0</v>
      </c>
      <c r="HO278">
        <v>0</v>
      </c>
      <c r="HP278">
        <v>0</v>
      </c>
      <c r="HQ278">
        <v>0</v>
      </c>
      <c r="HR278">
        <v>0</v>
      </c>
      <c r="HS278">
        <v>0</v>
      </c>
      <c r="HT278">
        <v>0</v>
      </c>
      <c r="HU278">
        <v>0</v>
      </c>
      <c r="HV278">
        <v>0</v>
      </c>
      <c r="HW278">
        <v>0</v>
      </c>
      <c r="HX278">
        <v>0</v>
      </c>
      <c r="HY278">
        <v>0</v>
      </c>
      <c r="HZ278">
        <v>0</v>
      </c>
      <c r="IA278">
        <v>0</v>
      </c>
      <c r="IB278">
        <v>0</v>
      </c>
      <c r="IC278">
        <v>0</v>
      </c>
      <c r="ID278">
        <v>0</v>
      </c>
      <c r="IE278">
        <v>0</v>
      </c>
      <c r="IF278">
        <v>0</v>
      </c>
      <c r="IG278">
        <v>0</v>
      </c>
      <c r="IH278">
        <v>0</v>
      </c>
      <c r="II278">
        <v>0</v>
      </c>
      <c r="IJ278">
        <v>0</v>
      </c>
      <c r="IK278">
        <v>0</v>
      </c>
    </row>
    <row r="279" spans="13:245" hidden="1">
      <c r="M279" s="343" t="s">
        <v>633</v>
      </c>
      <c r="N279" t="s">
        <v>1010</v>
      </c>
      <c r="O279">
        <v>2</v>
      </c>
      <c r="P279">
        <v>10</v>
      </c>
      <c r="Q279" s="184" t="str">
        <f t="shared" si="10"/>
        <v>SDJ200210</v>
      </c>
      <c r="R279">
        <v>290.39999999999998</v>
      </c>
      <c r="S279">
        <v>2000</v>
      </c>
      <c r="T279">
        <v>2000</v>
      </c>
      <c r="U279">
        <v>2000</v>
      </c>
      <c r="V279">
        <v>2000</v>
      </c>
      <c r="W279">
        <v>2000</v>
      </c>
      <c r="X279">
        <v>2033.1</v>
      </c>
      <c r="Y279">
        <v>2323.5</v>
      </c>
      <c r="Z279">
        <v>2614</v>
      </c>
      <c r="AA279">
        <v>2904.4</v>
      </c>
      <c r="AB279">
        <v>3194.8</v>
      </c>
      <c r="AC279">
        <v>3485.3</v>
      </c>
      <c r="AD279">
        <v>3775.7</v>
      </c>
      <c r="AE279">
        <v>4066.2</v>
      </c>
      <c r="AF279">
        <v>4356.6000000000004</v>
      </c>
      <c r="AG279">
        <v>4647</v>
      </c>
      <c r="AH279">
        <v>4937.5</v>
      </c>
      <c r="AI279">
        <v>5227.8999999999996</v>
      </c>
      <c r="AJ279">
        <v>5518.4</v>
      </c>
      <c r="AK279">
        <v>5808.8</v>
      </c>
      <c r="AL279">
        <v>5808.8</v>
      </c>
      <c r="AM279">
        <v>5808.8</v>
      </c>
      <c r="AN279">
        <v>5808.8</v>
      </c>
      <c r="AO279">
        <v>5808.8</v>
      </c>
      <c r="AP279">
        <v>5808.8</v>
      </c>
      <c r="AQ279">
        <v>5808.8</v>
      </c>
      <c r="AR279">
        <v>5808.8</v>
      </c>
      <c r="AS279">
        <v>5808.8</v>
      </c>
      <c r="AT279">
        <v>5808.8</v>
      </c>
      <c r="AU279">
        <v>5808.8</v>
      </c>
      <c r="AV279">
        <v>5808.8</v>
      </c>
      <c r="AW279">
        <v>5808.8</v>
      </c>
      <c r="AX279">
        <v>5808.8</v>
      </c>
      <c r="AY279">
        <v>5808.8</v>
      </c>
      <c r="AZ279">
        <v>5808.8</v>
      </c>
      <c r="BA279">
        <v>5808.8</v>
      </c>
      <c r="BB279">
        <v>5808.8</v>
      </c>
      <c r="BC279">
        <v>5808.8</v>
      </c>
      <c r="BD279">
        <v>5808.8</v>
      </c>
      <c r="BE279">
        <v>5808.8</v>
      </c>
      <c r="BF279">
        <v>5808.8</v>
      </c>
      <c r="BG279">
        <v>5808.8</v>
      </c>
      <c r="BH279">
        <v>5808.8</v>
      </c>
      <c r="BI279">
        <v>5808.8</v>
      </c>
      <c r="BJ279">
        <v>5808.8</v>
      </c>
      <c r="BK279">
        <v>5808.8</v>
      </c>
      <c r="BL279">
        <v>5808.8</v>
      </c>
      <c r="BM279">
        <v>5808.8</v>
      </c>
      <c r="BN279">
        <v>5808.8</v>
      </c>
      <c r="BO279">
        <v>5808.8</v>
      </c>
      <c r="BP279">
        <v>5808.8</v>
      </c>
      <c r="BQ279">
        <v>5808.8</v>
      </c>
      <c r="BR279">
        <v>5808.8</v>
      </c>
      <c r="BS279">
        <v>5808.8</v>
      </c>
      <c r="BT279">
        <v>5808.8</v>
      </c>
      <c r="BU279">
        <v>5808.8</v>
      </c>
      <c r="BV279">
        <v>5808.8</v>
      </c>
      <c r="BW279">
        <v>5808.8</v>
      </c>
      <c r="BX279">
        <v>5808.8</v>
      </c>
      <c r="BY279">
        <v>5808.8</v>
      </c>
      <c r="BZ279">
        <v>5808.8</v>
      </c>
      <c r="CA279">
        <v>5808.8</v>
      </c>
      <c r="CB279">
        <v>5808.8</v>
      </c>
      <c r="CC279">
        <v>5808.8</v>
      </c>
      <c r="CD279">
        <v>5808.8</v>
      </c>
      <c r="CE279">
        <v>5808.8</v>
      </c>
      <c r="CF279">
        <v>5808.8</v>
      </c>
      <c r="CG279">
        <v>5808.8</v>
      </c>
      <c r="CH279">
        <v>5808.8</v>
      </c>
      <c r="CI279">
        <v>5808.8</v>
      </c>
      <c r="CJ279">
        <v>5808.8</v>
      </c>
      <c r="CK279">
        <v>5808.8</v>
      </c>
      <c r="CL279">
        <v>5808.8</v>
      </c>
      <c r="CM279">
        <v>5808.8</v>
      </c>
      <c r="CN279">
        <v>5808.8</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Z279" s="343" t="s">
        <v>633</v>
      </c>
      <c r="EA279" t="s">
        <v>1010</v>
      </c>
      <c r="EB279">
        <v>2</v>
      </c>
      <c r="EC279" s="431">
        <v>10</v>
      </c>
      <c r="ED279" s="184" t="str">
        <f t="shared" si="11"/>
        <v>SDJ200210</v>
      </c>
      <c r="EE279">
        <v>290.39999999999998</v>
      </c>
      <c r="EF279">
        <v>10000</v>
      </c>
      <c r="EG279">
        <v>10000</v>
      </c>
      <c r="EH279">
        <v>10000</v>
      </c>
      <c r="EI279">
        <v>10000</v>
      </c>
      <c r="EJ279">
        <v>10000</v>
      </c>
      <c r="EK279">
        <v>10000</v>
      </c>
      <c r="EL279">
        <v>10000</v>
      </c>
      <c r="EM279">
        <v>10000</v>
      </c>
      <c r="EN279">
        <v>10000</v>
      </c>
      <c r="EO279">
        <v>10000</v>
      </c>
      <c r="EP279">
        <v>10000</v>
      </c>
      <c r="EQ279">
        <v>10000</v>
      </c>
      <c r="ER279">
        <v>10000</v>
      </c>
      <c r="ES279">
        <v>10000</v>
      </c>
      <c r="ET279">
        <v>10000</v>
      </c>
      <c r="EU279">
        <v>10000</v>
      </c>
      <c r="EV279">
        <v>10000</v>
      </c>
      <c r="EW279">
        <v>10000</v>
      </c>
      <c r="EX279">
        <v>10000</v>
      </c>
      <c r="EY279">
        <v>10000</v>
      </c>
      <c r="EZ279">
        <v>10000</v>
      </c>
      <c r="FA279">
        <v>10000</v>
      </c>
      <c r="FB279">
        <v>10000</v>
      </c>
      <c r="FC279">
        <v>10000</v>
      </c>
      <c r="FD279">
        <v>10000</v>
      </c>
      <c r="FE279">
        <v>10000</v>
      </c>
      <c r="FF279">
        <v>10000</v>
      </c>
      <c r="FG279">
        <v>10000</v>
      </c>
      <c r="FH279">
        <v>10000</v>
      </c>
      <c r="FI279">
        <v>10000</v>
      </c>
      <c r="FJ279">
        <v>10000</v>
      </c>
      <c r="FK279">
        <v>10000</v>
      </c>
      <c r="FL279">
        <v>10000</v>
      </c>
      <c r="FM279">
        <v>10000</v>
      </c>
      <c r="FN279">
        <v>10000</v>
      </c>
      <c r="FO279">
        <v>10000</v>
      </c>
      <c r="FP279">
        <v>10000</v>
      </c>
      <c r="FQ279">
        <v>10000</v>
      </c>
      <c r="FR279">
        <v>10000</v>
      </c>
      <c r="FS279">
        <v>10000</v>
      </c>
      <c r="FT279">
        <v>10000</v>
      </c>
      <c r="FU279">
        <v>10000</v>
      </c>
      <c r="FV279">
        <v>10000</v>
      </c>
      <c r="FW279">
        <v>10000</v>
      </c>
      <c r="FX279">
        <v>10000</v>
      </c>
      <c r="FY279">
        <v>10000</v>
      </c>
      <c r="FZ279">
        <v>10000</v>
      </c>
      <c r="GA279">
        <v>10000</v>
      </c>
      <c r="GB279">
        <v>10000</v>
      </c>
      <c r="GC279">
        <v>10000</v>
      </c>
      <c r="GD279">
        <v>10000</v>
      </c>
      <c r="GE279">
        <v>10000</v>
      </c>
      <c r="GF279">
        <v>10000</v>
      </c>
      <c r="GG279">
        <v>10000</v>
      </c>
      <c r="GH279">
        <v>10000</v>
      </c>
      <c r="GI279">
        <v>10000</v>
      </c>
      <c r="GJ279">
        <v>10000</v>
      </c>
      <c r="GK279">
        <v>10000</v>
      </c>
      <c r="GL279">
        <v>10000</v>
      </c>
      <c r="GM279">
        <v>10000</v>
      </c>
      <c r="GN279">
        <v>10000</v>
      </c>
      <c r="GO279">
        <v>10000</v>
      </c>
      <c r="GP279">
        <v>10000</v>
      </c>
      <c r="GQ279">
        <v>10000</v>
      </c>
      <c r="GR279">
        <v>10000</v>
      </c>
      <c r="GS279">
        <v>10000</v>
      </c>
      <c r="GT279">
        <v>10000</v>
      </c>
      <c r="GU279">
        <v>10000</v>
      </c>
      <c r="GV279">
        <v>10000</v>
      </c>
      <c r="GW279">
        <v>10000</v>
      </c>
      <c r="GX279">
        <v>10000</v>
      </c>
      <c r="GY279">
        <v>10000</v>
      </c>
      <c r="GZ279">
        <v>10000</v>
      </c>
      <c r="HA279">
        <v>10000</v>
      </c>
      <c r="HB279">
        <v>0</v>
      </c>
      <c r="HC279">
        <v>0</v>
      </c>
      <c r="HD279">
        <v>0</v>
      </c>
      <c r="HE279">
        <v>0</v>
      </c>
      <c r="HF279">
        <v>0</v>
      </c>
      <c r="HG279">
        <v>0</v>
      </c>
      <c r="HH279">
        <v>0</v>
      </c>
      <c r="HI279">
        <v>0</v>
      </c>
      <c r="HJ279">
        <v>0</v>
      </c>
      <c r="HK279">
        <v>0</v>
      </c>
      <c r="HL279">
        <v>0</v>
      </c>
      <c r="HM279">
        <v>0</v>
      </c>
      <c r="HN279">
        <v>0</v>
      </c>
      <c r="HO279">
        <v>0</v>
      </c>
      <c r="HP279">
        <v>0</v>
      </c>
      <c r="HQ279">
        <v>0</v>
      </c>
      <c r="HR279">
        <v>0</v>
      </c>
      <c r="HS279">
        <v>0</v>
      </c>
      <c r="HT279">
        <v>0</v>
      </c>
      <c r="HU279">
        <v>0</v>
      </c>
      <c r="HV279">
        <v>0</v>
      </c>
      <c r="HW279">
        <v>0</v>
      </c>
      <c r="HX279">
        <v>0</v>
      </c>
      <c r="HY279">
        <v>0</v>
      </c>
      <c r="HZ279">
        <v>0</v>
      </c>
      <c r="IA279">
        <v>0</v>
      </c>
      <c r="IB279">
        <v>0</v>
      </c>
      <c r="IC279">
        <v>0</v>
      </c>
      <c r="ID279">
        <v>0</v>
      </c>
      <c r="IE279">
        <v>0</v>
      </c>
      <c r="IF279">
        <v>0</v>
      </c>
      <c r="IG279">
        <v>0</v>
      </c>
      <c r="IH279">
        <v>0</v>
      </c>
      <c r="II279">
        <v>0</v>
      </c>
      <c r="IJ279">
        <v>0</v>
      </c>
      <c r="IK279">
        <v>0</v>
      </c>
    </row>
    <row r="280" spans="13:245" hidden="1">
      <c r="M280" s="343" t="s">
        <v>633</v>
      </c>
      <c r="N280" t="s">
        <v>1010</v>
      </c>
      <c r="O280">
        <v>2</v>
      </c>
      <c r="P280">
        <v>11</v>
      </c>
      <c r="Q280" s="184" t="str">
        <f t="shared" ref="Q280:Q319" si="12">N280&amp;TEXT(O280,"00")&amp;TEXT(P280,"00")</f>
        <v>SDJ200211</v>
      </c>
      <c r="R280">
        <v>297.89999999999998</v>
      </c>
      <c r="S280">
        <v>2000</v>
      </c>
      <c r="T280">
        <v>2000</v>
      </c>
      <c r="U280">
        <v>2000</v>
      </c>
      <c r="V280">
        <v>2000</v>
      </c>
      <c r="W280">
        <v>2000</v>
      </c>
      <c r="X280">
        <v>2085</v>
      </c>
      <c r="Y280">
        <v>2382.9</v>
      </c>
      <c r="Z280">
        <v>2680.7</v>
      </c>
      <c r="AA280">
        <v>2978.6</v>
      </c>
      <c r="AB280">
        <v>3276.5</v>
      </c>
      <c r="AC280">
        <v>3574.3</v>
      </c>
      <c r="AD280">
        <v>3872.2</v>
      </c>
      <c r="AE280">
        <v>4170</v>
      </c>
      <c r="AF280">
        <v>4467.8999999999996</v>
      </c>
      <c r="AG280">
        <v>4765.8</v>
      </c>
      <c r="AH280">
        <v>5063.6000000000004</v>
      </c>
      <c r="AI280">
        <v>5361.5</v>
      </c>
      <c r="AJ280">
        <v>5659.3</v>
      </c>
      <c r="AK280">
        <v>5957.2</v>
      </c>
      <c r="AL280">
        <v>5957.2</v>
      </c>
      <c r="AM280">
        <v>5957.2</v>
      </c>
      <c r="AN280">
        <v>5957.2</v>
      </c>
      <c r="AO280">
        <v>5957.2</v>
      </c>
      <c r="AP280">
        <v>5957.2</v>
      </c>
      <c r="AQ280">
        <v>5957.2</v>
      </c>
      <c r="AR280">
        <v>5957.2</v>
      </c>
      <c r="AS280">
        <v>5957.2</v>
      </c>
      <c r="AT280">
        <v>5957.2</v>
      </c>
      <c r="AU280">
        <v>5957.2</v>
      </c>
      <c r="AV280">
        <v>5957.2</v>
      </c>
      <c r="AW280">
        <v>5957.2</v>
      </c>
      <c r="AX280">
        <v>5957.2</v>
      </c>
      <c r="AY280">
        <v>5957.2</v>
      </c>
      <c r="AZ280">
        <v>5957.2</v>
      </c>
      <c r="BA280">
        <v>5957.2</v>
      </c>
      <c r="BB280">
        <v>5957.2</v>
      </c>
      <c r="BC280">
        <v>5957.2</v>
      </c>
      <c r="BD280">
        <v>5957.2</v>
      </c>
      <c r="BE280">
        <v>5957.2</v>
      </c>
      <c r="BF280">
        <v>5957.2</v>
      </c>
      <c r="BG280">
        <v>5957.2</v>
      </c>
      <c r="BH280">
        <v>5957.2</v>
      </c>
      <c r="BI280">
        <v>5957.2</v>
      </c>
      <c r="BJ280">
        <v>5957.2</v>
      </c>
      <c r="BK280">
        <v>5957.2</v>
      </c>
      <c r="BL280">
        <v>5957.2</v>
      </c>
      <c r="BM280">
        <v>5957.2</v>
      </c>
      <c r="BN280">
        <v>5957.2</v>
      </c>
      <c r="BO280">
        <v>5957.2</v>
      </c>
      <c r="BP280">
        <v>5957.2</v>
      </c>
      <c r="BQ280">
        <v>5957.2</v>
      </c>
      <c r="BR280">
        <v>5957.2</v>
      </c>
      <c r="BS280">
        <v>5957.2</v>
      </c>
      <c r="BT280">
        <v>5957.2</v>
      </c>
      <c r="BU280">
        <v>5957.2</v>
      </c>
      <c r="BV280">
        <v>5957.2</v>
      </c>
      <c r="BW280">
        <v>5957.2</v>
      </c>
      <c r="BX280">
        <v>5957.2</v>
      </c>
      <c r="BY280">
        <v>5957.2</v>
      </c>
      <c r="BZ280">
        <v>5957.2</v>
      </c>
      <c r="CA280">
        <v>5957.2</v>
      </c>
      <c r="CB280">
        <v>5957.2</v>
      </c>
      <c r="CC280">
        <v>5957.2</v>
      </c>
      <c r="CD280">
        <v>5957.2</v>
      </c>
      <c r="CE280">
        <v>5957.2</v>
      </c>
      <c r="CF280">
        <v>5957.2</v>
      </c>
      <c r="CG280">
        <v>5957.2</v>
      </c>
      <c r="CH280">
        <v>5957.2</v>
      </c>
      <c r="CI280">
        <v>5957.2</v>
      </c>
      <c r="CJ280">
        <v>5957.2</v>
      </c>
      <c r="CK280">
        <v>5957.2</v>
      </c>
      <c r="CL280">
        <v>5957.2</v>
      </c>
      <c r="CM280">
        <v>5957.2</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Z280" s="343" t="s">
        <v>633</v>
      </c>
      <c r="EA280" t="s">
        <v>1010</v>
      </c>
      <c r="EB280">
        <v>2</v>
      </c>
      <c r="EC280">
        <v>11</v>
      </c>
      <c r="ED280" s="184" t="str">
        <f t="shared" ref="ED280:ED319" si="13">EA280&amp;TEXT(EB280,"00")&amp;TEXT(EC280,"00")</f>
        <v>SDJ200211</v>
      </c>
      <c r="EE280">
        <v>297.89999999999998</v>
      </c>
      <c r="EF280">
        <v>10000</v>
      </c>
      <c r="EG280">
        <v>10000</v>
      </c>
      <c r="EH280">
        <v>10000</v>
      </c>
      <c r="EI280">
        <v>10000</v>
      </c>
      <c r="EJ280">
        <v>10000</v>
      </c>
      <c r="EK280">
        <v>10000</v>
      </c>
      <c r="EL280">
        <v>10000</v>
      </c>
      <c r="EM280">
        <v>10000</v>
      </c>
      <c r="EN280">
        <v>10000</v>
      </c>
      <c r="EO280">
        <v>10000</v>
      </c>
      <c r="EP280">
        <v>10000</v>
      </c>
      <c r="EQ280">
        <v>10000</v>
      </c>
      <c r="ER280">
        <v>10000</v>
      </c>
      <c r="ES280">
        <v>10000</v>
      </c>
      <c r="ET280">
        <v>10000</v>
      </c>
      <c r="EU280">
        <v>10000</v>
      </c>
      <c r="EV280">
        <v>10000</v>
      </c>
      <c r="EW280">
        <v>10000</v>
      </c>
      <c r="EX280">
        <v>10000</v>
      </c>
      <c r="EY280">
        <v>10000</v>
      </c>
      <c r="EZ280">
        <v>10000</v>
      </c>
      <c r="FA280">
        <v>10000</v>
      </c>
      <c r="FB280">
        <v>10000</v>
      </c>
      <c r="FC280">
        <v>10000</v>
      </c>
      <c r="FD280">
        <v>10000</v>
      </c>
      <c r="FE280">
        <v>10000</v>
      </c>
      <c r="FF280">
        <v>10000</v>
      </c>
      <c r="FG280">
        <v>10000</v>
      </c>
      <c r="FH280">
        <v>10000</v>
      </c>
      <c r="FI280">
        <v>10000</v>
      </c>
      <c r="FJ280">
        <v>10000</v>
      </c>
      <c r="FK280">
        <v>10000</v>
      </c>
      <c r="FL280">
        <v>10000</v>
      </c>
      <c r="FM280">
        <v>10000</v>
      </c>
      <c r="FN280">
        <v>10000</v>
      </c>
      <c r="FO280">
        <v>10000</v>
      </c>
      <c r="FP280">
        <v>10000</v>
      </c>
      <c r="FQ280">
        <v>10000</v>
      </c>
      <c r="FR280">
        <v>10000</v>
      </c>
      <c r="FS280">
        <v>10000</v>
      </c>
      <c r="FT280">
        <v>10000</v>
      </c>
      <c r="FU280">
        <v>10000</v>
      </c>
      <c r="FV280">
        <v>10000</v>
      </c>
      <c r="FW280">
        <v>10000</v>
      </c>
      <c r="FX280">
        <v>10000</v>
      </c>
      <c r="FY280">
        <v>10000</v>
      </c>
      <c r="FZ280">
        <v>10000</v>
      </c>
      <c r="GA280">
        <v>10000</v>
      </c>
      <c r="GB280">
        <v>10000</v>
      </c>
      <c r="GC280">
        <v>10000</v>
      </c>
      <c r="GD280">
        <v>10000</v>
      </c>
      <c r="GE280">
        <v>10000</v>
      </c>
      <c r="GF280">
        <v>10000</v>
      </c>
      <c r="GG280">
        <v>10000</v>
      </c>
      <c r="GH280">
        <v>10000</v>
      </c>
      <c r="GI280">
        <v>10000</v>
      </c>
      <c r="GJ280">
        <v>10000</v>
      </c>
      <c r="GK280">
        <v>10000</v>
      </c>
      <c r="GL280">
        <v>10000</v>
      </c>
      <c r="GM280">
        <v>10000</v>
      </c>
      <c r="GN280">
        <v>10000</v>
      </c>
      <c r="GO280">
        <v>10000</v>
      </c>
      <c r="GP280">
        <v>10000</v>
      </c>
      <c r="GQ280">
        <v>10000</v>
      </c>
      <c r="GR280">
        <v>10000</v>
      </c>
      <c r="GS280">
        <v>10000</v>
      </c>
      <c r="GT280">
        <v>10000</v>
      </c>
      <c r="GU280">
        <v>10000</v>
      </c>
      <c r="GV280">
        <v>10000</v>
      </c>
      <c r="GW280">
        <v>10000</v>
      </c>
      <c r="GX280">
        <v>10000</v>
      </c>
      <c r="GY280">
        <v>10000</v>
      </c>
      <c r="GZ280">
        <v>10000</v>
      </c>
      <c r="HA280">
        <v>0</v>
      </c>
      <c r="HB280">
        <v>0</v>
      </c>
      <c r="HC280">
        <v>0</v>
      </c>
      <c r="HD280">
        <v>0</v>
      </c>
      <c r="HE280">
        <v>0</v>
      </c>
      <c r="HF280">
        <v>0</v>
      </c>
      <c r="HG280">
        <v>0</v>
      </c>
      <c r="HH280">
        <v>0</v>
      </c>
      <c r="HI280">
        <v>0</v>
      </c>
      <c r="HJ280">
        <v>0</v>
      </c>
      <c r="HK280">
        <v>0</v>
      </c>
      <c r="HL280">
        <v>0</v>
      </c>
      <c r="HM280">
        <v>0</v>
      </c>
      <c r="HN280">
        <v>0</v>
      </c>
      <c r="HO280">
        <v>0</v>
      </c>
      <c r="HP280">
        <v>0</v>
      </c>
      <c r="HQ280">
        <v>0</v>
      </c>
      <c r="HR280">
        <v>0</v>
      </c>
      <c r="HS280">
        <v>0</v>
      </c>
      <c r="HT280">
        <v>0</v>
      </c>
      <c r="HU280">
        <v>0</v>
      </c>
      <c r="HV280">
        <v>0</v>
      </c>
      <c r="HW280">
        <v>0</v>
      </c>
      <c r="HX280">
        <v>0</v>
      </c>
      <c r="HY280">
        <v>0</v>
      </c>
      <c r="HZ280">
        <v>0</v>
      </c>
      <c r="IA280">
        <v>0</v>
      </c>
      <c r="IB280">
        <v>0</v>
      </c>
      <c r="IC280">
        <v>0</v>
      </c>
      <c r="ID280">
        <v>0</v>
      </c>
      <c r="IE280">
        <v>0</v>
      </c>
      <c r="IF280">
        <v>0</v>
      </c>
      <c r="IG280">
        <v>0</v>
      </c>
      <c r="IH280">
        <v>0</v>
      </c>
      <c r="II280">
        <v>0</v>
      </c>
      <c r="IJ280">
        <v>0</v>
      </c>
      <c r="IK280">
        <v>0</v>
      </c>
    </row>
    <row r="281" spans="13:245" hidden="1">
      <c r="M281" s="343" t="s">
        <v>633</v>
      </c>
      <c r="N281" t="s">
        <v>1010</v>
      </c>
      <c r="O281">
        <v>2</v>
      </c>
      <c r="P281">
        <v>12</v>
      </c>
      <c r="Q281" s="184" t="str">
        <f t="shared" si="12"/>
        <v>SDJ200212</v>
      </c>
      <c r="R281">
        <v>305.3</v>
      </c>
      <c r="S281">
        <v>2000</v>
      </c>
      <c r="T281">
        <v>2000</v>
      </c>
      <c r="U281">
        <v>2000</v>
      </c>
      <c r="V281">
        <v>2000</v>
      </c>
      <c r="W281">
        <v>2000</v>
      </c>
      <c r="X281">
        <v>2137</v>
      </c>
      <c r="Y281">
        <v>2442.1999999999998</v>
      </c>
      <c r="Z281">
        <v>2747.5</v>
      </c>
      <c r="AA281">
        <v>3052.8</v>
      </c>
      <c r="AB281">
        <v>3358.1</v>
      </c>
      <c r="AC281">
        <v>3663.4</v>
      </c>
      <c r="AD281">
        <v>3968.6</v>
      </c>
      <c r="AE281">
        <v>4273.8999999999996</v>
      </c>
      <c r="AF281">
        <v>4579.2</v>
      </c>
      <c r="AG281">
        <v>4884.5</v>
      </c>
      <c r="AH281">
        <v>5189.8</v>
      </c>
      <c r="AI281">
        <v>5495</v>
      </c>
      <c r="AJ281">
        <v>5800.3</v>
      </c>
      <c r="AK281">
        <v>6105.6</v>
      </c>
      <c r="AL281">
        <v>6105.6</v>
      </c>
      <c r="AM281">
        <v>6105.6</v>
      </c>
      <c r="AN281">
        <v>6105.6</v>
      </c>
      <c r="AO281">
        <v>6105.6</v>
      </c>
      <c r="AP281">
        <v>6105.6</v>
      </c>
      <c r="AQ281">
        <v>6105.6</v>
      </c>
      <c r="AR281">
        <v>6105.6</v>
      </c>
      <c r="AS281">
        <v>6105.6</v>
      </c>
      <c r="AT281">
        <v>6105.6</v>
      </c>
      <c r="AU281">
        <v>6105.6</v>
      </c>
      <c r="AV281">
        <v>6105.6</v>
      </c>
      <c r="AW281">
        <v>6105.6</v>
      </c>
      <c r="AX281">
        <v>6105.6</v>
      </c>
      <c r="AY281">
        <v>6105.6</v>
      </c>
      <c r="AZ281">
        <v>6105.6</v>
      </c>
      <c r="BA281">
        <v>6105.6</v>
      </c>
      <c r="BB281">
        <v>6105.6</v>
      </c>
      <c r="BC281">
        <v>6105.6</v>
      </c>
      <c r="BD281">
        <v>6105.6</v>
      </c>
      <c r="BE281">
        <v>6105.6</v>
      </c>
      <c r="BF281">
        <v>6105.6</v>
      </c>
      <c r="BG281">
        <v>6105.6</v>
      </c>
      <c r="BH281">
        <v>6105.6</v>
      </c>
      <c r="BI281">
        <v>6105.6</v>
      </c>
      <c r="BJ281">
        <v>6105.6</v>
      </c>
      <c r="BK281">
        <v>6105.6</v>
      </c>
      <c r="BL281">
        <v>6105.6</v>
      </c>
      <c r="BM281">
        <v>6105.6</v>
      </c>
      <c r="BN281">
        <v>6105.6</v>
      </c>
      <c r="BO281">
        <v>6105.6</v>
      </c>
      <c r="BP281">
        <v>6105.6</v>
      </c>
      <c r="BQ281">
        <v>6105.6</v>
      </c>
      <c r="BR281">
        <v>6105.6</v>
      </c>
      <c r="BS281">
        <v>6105.6</v>
      </c>
      <c r="BT281">
        <v>6105.6</v>
      </c>
      <c r="BU281">
        <v>6105.6</v>
      </c>
      <c r="BV281">
        <v>6105.6</v>
      </c>
      <c r="BW281">
        <v>6105.6</v>
      </c>
      <c r="BX281">
        <v>6105.6</v>
      </c>
      <c r="BY281">
        <v>6105.6</v>
      </c>
      <c r="BZ281">
        <v>6105.6</v>
      </c>
      <c r="CA281">
        <v>6105.6</v>
      </c>
      <c r="CB281">
        <v>6105.6</v>
      </c>
      <c r="CC281">
        <v>6105.6</v>
      </c>
      <c r="CD281">
        <v>6105.6</v>
      </c>
      <c r="CE281">
        <v>6105.6</v>
      </c>
      <c r="CF281">
        <v>6105.6</v>
      </c>
      <c r="CG281">
        <v>6105.6</v>
      </c>
      <c r="CH281">
        <v>6105.6</v>
      </c>
      <c r="CI281">
        <v>6105.6</v>
      </c>
      <c r="CJ281">
        <v>6105.6</v>
      </c>
      <c r="CK281">
        <v>6105.6</v>
      </c>
      <c r="CL281">
        <v>6105.6</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Z281" s="343" t="s">
        <v>633</v>
      </c>
      <c r="EA281" t="s">
        <v>1010</v>
      </c>
      <c r="EB281">
        <v>2</v>
      </c>
      <c r="EC281">
        <v>12</v>
      </c>
      <c r="ED281" s="184" t="str">
        <f t="shared" si="13"/>
        <v>SDJ200212</v>
      </c>
      <c r="EE281">
        <v>305.3</v>
      </c>
      <c r="EF281">
        <v>10000</v>
      </c>
      <c r="EG281">
        <v>10000</v>
      </c>
      <c r="EH281">
        <v>10000</v>
      </c>
      <c r="EI281">
        <v>10000</v>
      </c>
      <c r="EJ281">
        <v>10000</v>
      </c>
      <c r="EK281">
        <v>10000</v>
      </c>
      <c r="EL281">
        <v>10000</v>
      </c>
      <c r="EM281">
        <v>10000</v>
      </c>
      <c r="EN281">
        <v>10000</v>
      </c>
      <c r="EO281">
        <v>10000</v>
      </c>
      <c r="EP281">
        <v>10000</v>
      </c>
      <c r="EQ281">
        <v>10000</v>
      </c>
      <c r="ER281">
        <v>10000</v>
      </c>
      <c r="ES281">
        <v>10000</v>
      </c>
      <c r="ET281">
        <v>10000</v>
      </c>
      <c r="EU281">
        <v>10000</v>
      </c>
      <c r="EV281">
        <v>10000</v>
      </c>
      <c r="EW281">
        <v>10000</v>
      </c>
      <c r="EX281">
        <v>10000</v>
      </c>
      <c r="EY281">
        <v>10000</v>
      </c>
      <c r="EZ281">
        <v>10000</v>
      </c>
      <c r="FA281">
        <v>10000</v>
      </c>
      <c r="FB281">
        <v>10000</v>
      </c>
      <c r="FC281">
        <v>10000</v>
      </c>
      <c r="FD281">
        <v>10000</v>
      </c>
      <c r="FE281">
        <v>10000</v>
      </c>
      <c r="FF281">
        <v>10000</v>
      </c>
      <c r="FG281">
        <v>10000</v>
      </c>
      <c r="FH281">
        <v>10000</v>
      </c>
      <c r="FI281">
        <v>10000</v>
      </c>
      <c r="FJ281">
        <v>10000</v>
      </c>
      <c r="FK281">
        <v>10000</v>
      </c>
      <c r="FL281">
        <v>10000</v>
      </c>
      <c r="FM281">
        <v>10000</v>
      </c>
      <c r="FN281">
        <v>10000</v>
      </c>
      <c r="FO281">
        <v>10000</v>
      </c>
      <c r="FP281">
        <v>10000</v>
      </c>
      <c r="FQ281">
        <v>10000</v>
      </c>
      <c r="FR281">
        <v>10000</v>
      </c>
      <c r="FS281">
        <v>10000</v>
      </c>
      <c r="FT281">
        <v>10000</v>
      </c>
      <c r="FU281">
        <v>10000</v>
      </c>
      <c r="FV281">
        <v>10000</v>
      </c>
      <c r="FW281">
        <v>10000</v>
      </c>
      <c r="FX281">
        <v>10000</v>
      </c>
      <c r="FY281">
        <v>10000</v>
      </c>
      <c r="FZ281">
        <v>10000</v>
      </c>
      <c r="GA281">
        <v>10000</v>
      </c>
      <c r="GB281">
        <v>10000</v>
      </c>
      <c r="GC281">
        <v>10000</v>
      </c>
      <c r="GD281">
        <v>10000</v>
      </c>
      <c r="GE281">
        <v>10000</v>
      </c>
      <c r="GF281">
        <v>10000</v>
      </c>
      <c r="GG281">
        <v>10000</v>
      </c>
      <c r="GH281">
        <v>10000</v>
      </c>
      <c r="GI281">
        <v>10000</v>
      </c>
      <c r="GJ281">
        <v>10000</v>
      </c>
      <c r="GK281">
        <v>10000</v>
      </c>
      <c r="GL281">
        <v>10000</v>
      </c>
      <c r="GM281">
        <v>10000</v>
      </c>
      <c r="GN281">
        <v>10000</v>
      </c>
      <c r="GO281">
        <v>10000</v>
      </c>
      <c r="GP281">
        <v>10000</v>
      </c>
      <c r="GQ281">
        <v>10000</v>
      </c>
      <c r="GR281">
        <v>10000</v>
      </c>
      <c r="GS281">
        <v>10000</v>
      </c>
      <c r="GT281">
        <v>10000</v>
      </c>
      <c r="GU281">
        <v>10000</v>
      </c>
      <c r="GV281">
        <v>10000</v>
      </c>
      <c r="GW281">
        <v>10000</v>
      </c>
      <c r="GX281">
        <v>10000</v>
      </c>
      <c r="GY281">
        <v>10000</v>
      </c>
      <c r="GZ281">
        <v>0</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0</v>
      </c>
      <c r="IH281">
        <v>0</v>
      </c>
      <c r="II281">
        <v>0</v>
      </c>
      <c r="IJ281">
        <v>0</v>
      </c>
      <c r="IK281">
        <v>0</v>
      </c>
    </row>
    <row r="282" spans="13:245" hidden="1">
      <c r="M282" s="343" t="s">
        <v>633</v>
      </c>
      <c r="N282" t="s">
        <v>1010</v>
      </c>
      <c r="O282">
        <v>2</v>
      </c>
      <c r="P282">
        <v>13</v>
      </c>
      <c r="Q282" s="184" t="str">
        <f t="shared" si="12"/>
        <v>SDJ200213</v>
      </c>
      <c r="R282">
        <v>312.7</v>
      </c>
      <c r="S282">
        <v>2000</v>
      </c>
      <c r="T282">
        <v>2000</v>
      </c>
      <c r="U282">
        <v>2000</v>
      </c>
      <c r="V282">
        <v>2000</v>
      </c>
      <c r="W282">
        <v>2000</v>
      </c>
      <c r="X282">
        <v>2188.9</v>
      </c>
      <c r="Y282">
        <v>2501.6</v>
      </c>
      <c r="Z282">
        <v>2814.3</v>
      </c>
      <c r="AA282">
        <v>3127</v>
      </c>
      <c r="AB282">
        <v>3439.7</v>
      </c>
      <c r="AC282">
        <v>3752.4</v>
      </c>
      <c r="AD282">
        <v>4065.1</v>
      </c>
      <c r="AE282">
        <v>4377.8</v>
      </c>
      <c r="AF282">
        <v>4690.5</v>
      </c>
      <c r="AG282">
        <v>5003.2</v>
      </c>
      <c r="AH282">
        <v>5315.9</v>
      </c>
      <c r="AI282">
        <v>5628.6</v>
      </c>
      <c r="AJ282">
        <v>5941.3</v>
      </c>
      <c r="AK282">
        <v>6254</v>
      </c>
      <c r="AL282">
        <v>6254</v>
      </c>
      <c r="AM282">
        <v>6254</v>
      </c>
      <c r="AN282">
        <v>6254</v>
      </c>
      <c r="AO282">
        <v>6254</v>
      </c>
      <c r="AP282">
        <v>6254</v>
      </c>
      <c r="AQ282">
        <v>6254</v>
      </c>
      <c r="AR282">
        <v>6254</v>
      </c>
      <c r="AS282">
        <v>6254</v>
      </c>
      <c r="AT282">
        <v>6254</v>
      </c>
      <c r="AU282">
        <v>6254</v>
      </c>
      <c r="AV282">
        <v>6254</v>
      </c>
      <c r="AW282">
        <v>6254</v>
      </c>
      <c r="AX282">
        <v>6254</v>
      </c>
      <c r="AY282">
        <v>6254</v>
      </c>
      <c r="AZ282">
        <v>6254</v>
      </c>
      <c r="BA282">
        <v>6254</v>
      </c>
      <c r="BB282">
        <v>6254</v>
      </c>
      <c r="BC282">
        <v>6254</v>
      </c>
      <c r="BD282">
        <v>6254</v>
      </c>
      <c r="BE282">
        <v>6254</v>
      </c>
      <c r="BF282">
        <v>6254</v>
      </c>
      <c r="BG282">
        <v>6254</v>
      </c>
      <c r="BH282">
        <v>6254</v>
      </c>
      <c r="BI282">
        <v>6254</v>
      </c>
      <c r="BJ282">
        <v>6254</v>
      </c>
      <c r="BK282">
        <v>6254</v>
      </c>
      <c r="BL282">
        <v>6254</v>
      </c>
      <c r="BM282">
        <v>6254</v>
      </c>
      <c r="BN282">
        <v>6254</v>
      </c>
      <c r="BO282">
        <v>6254</v>
      </c>
      <c r="BP282">
        <v>6254</v>
      </c>
      <c r="BQ282">
        <v>6254</v>
      </c>
      <c r="BR282">
        <v>6254</v>
      </c>
      <c r="BS282">
        <v>6254</v>
      </c>
      <c r="BT282">
        <v>6254</v>
      </c>
      <c r="BU282">
        <v>6254</v>
      </c>
      <c r="BV282">
        <v>6254</v>
      </c>
      <c r="BW282">
        <v>6254</v>
      </c>
      <c r="BX282">
        <v>6254</v>
      </c>
      <c r="BY282">
        <v>6254</v>
      </c>
      <c r="BZ282">
        <v>6254</v>
      </c>
      <c r="CA282">
        <v>6254</v>
      </c>
      <c r="CB282">
        <v>6254</v>
      </c>
      <c r="CC282">
        <v>6254</v>
      </c>
      <c r="CD282">
        <v>6254</v>
      </c>
      <c r="CE282">
        <v>6254</v>
      </c>
      <c r="CF282">
        <v>6254</v>
      </c>
      <c r="CG282">
        <v>6254</v>
      </c>
      <c r="CH282">
        <v>6254</v>
      </c>
      <c r="CI282">
        <v>6254</v>
      </c>
      <c r="CJ282">
        <v>6254</v>
      </c>
      <c r="CK282">
        <v>6254</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Z282" s="343" t="s">
        <v>633</v>
      </c>
      <c r="EA282" t="s">
        <v>1010</v>
      </c>
      <c r="EB282">
        <v>2</v>
      </c>
      <c r="EC282">
        <v>13</v>
      </c>
      <c r="ED282" s="184" t="str">
        <f t="shared" si="13"/>
        <v>SDJ200213</v>
      </c>
      <c r="EE282">
        <v>312.7</v>
      </c>
      <c r="EF282">
        <v>10000</v>
      </c>
      <c r="EG282">
        <v>10000</v>
      </c>
      <c r="EH282">
        <v>10000</v>
      </c>
      <c r="EI282">
        <v>10000</v>
      </c>
      <c r="EJ282">
        <v>10000</v>
      </c>
      <c r="EK282">
        <v>10000</v>
      </c>
      <c r="EL282">
        <v>10000</v>
      </c>
      <c r="EM282">
        <v>10000</v>
      </c>
      <c r="EN282">
        <v>10000</v>
      </c>
      <c r="EO282">
        <v>10000</v>
      </c>
      <c r="EP282">
        <v>10000</v>
      </c>
      <c r="EQ282">
        <v>10000</v>
      </c>
      <c r="ER282">
        <v>10000</v>
      </c>
      <c r="ES282">
        <v>10000</v>
      </c>
      <c r="ET282">
        <v>10000</v>
      </c>
      <c r="EU282">
        <v>10000</v>
      </c>
      <c r="EV282">
        <v>10000</v>
      </c>
      <c r="EW282">
        <v>10000</v>
      </c>
      <c r="EX282">
        <v>10000</v>
      </c>
      <c r="EY282">
        <v>10000</v>
      </c>
      <c r="EZ282">
        <v>10000</v>
      </c>
      <c r="FA282">
        <v>10000</v>
      </c>
      <c r="FB282">
        <v>10000</v>
      </c>
      <c r="FC282">
        <v>10000</v>
      </c>
      <c r="FD282">
        <v>10000</v>
      </c>
      <c r="FE282">
        <v>10000</v>
      </c>
      <c r="FF282">
        <v>10000</v>
      </c>
      <c r="FG282">
        <v>10000</v>
      </c>
      <c r="FH282">
        <v>10000</v>
      </c>
      <c r="FI282">
        <v>10000</v>
      </c>
      <c r="FJ282">
        <v>10000</v>
      </c>
      <c r="FK282">
        <v>10000</v>
      </c>
      <c r="FL282">
        <v>10000</v>
      </c>
      <c r="FM282">
        <v>10000</v>
      </c>
      <c r="FN282">
        <v>10000</v>
      </c>
      <c r="FO282">
        <v>10000</v>
      </c>
      <c r="FP282">
        <v>10000</v>
      </c>
      <c r="FQ282">
        <v>10000</v>
      </c>
      <c r="FR282">
        <v>10000</v>
      </c>
      <c r="FS282">
        <v>10000</v>
      </c>
      <c r="FT282">
        <v>10000</v>
      </c>
      <c r="FU282">
        <v>10000</v>
      </c>
      <c r="FV282">
        <v>10000</v>
      </c>
      <c r="FW282">
        <v>10000</v>
      </c>
      <c r="FX282">
        <v>10000</v>
      </c>
      <c r="FY282">
        <v>10000</v>
      </c>
      <c r="FZ282">
        <v>10000</v>
      </c>
      <c r="GA282">
        <v>10000</v>
      </c>
      <c r="GB282">
        <v>10000</v>
      </c>
      <c r="GC282">
        <v>10000</v>
      </c>
      <c r="GD282">
        <v>10000</v>
      </c>
      <c r="GE282">
        <v>10000</v>
      </c>
      <c r="GF282">
        <v>10000</v>
      </c>
      <c r="GG282">
        <v>10000</v>
      </c>
      <c r="GH282">
        <v>10000</v>
      </c>
      <c r="GI282">
        <v>10000</v>
      </c>
      <c r="GJ282">
        <v>10000</v>
      </c>
      <c r="GK282">
        <v>10000</v>
      </c>
      <c r="GL282">
        <v>10000</v>
      </c>
      <c r="GM282">
        <v>10000</v>
      </c>
      <c r="GN282">
        <v>10000</v>
      </c>
      <c r="GO282">
        <v>10000</v>
      </c>
      <c r="GP282">
        <v>10000</v>
      </c>
      <c r="GQ282">
        <v>10000</v>
      </c>
      <c r="GR282">
        <v>10000</v>
      </c>
      <c r="GS282">
        <v>10000</v>
      </c>
      <c r="GT282">
        <v>10000</v>
      </c>
      <c r="GU282">
        <v>10000</v>
      </c>
      <c r="GV282">
        <v>10000</v>
      </c>
      <c r="GW282">
        <v>10000</v>
      </c>
      <c r="GX282">
        <v>10000</v>
      </c>
      <c r="GY282">
        <v>0</v>
      </c>
      <c r="GZ282">
        <v>0</v>
      </c>
      <c r="HA282">
        <v>0</v>
      </c>
      <c r="HB282">
        <v>0</v>
      </c>
      <c r="HC282">
        <v>0</v>
      </c>
      <c r="HD282">
        <v>0</v>
      </c>
      <c r="HE282">
        <v>0</v>
      </c>
      <c r="HF282">
        <v>0</v>
      </c>
      <c r="HG282">
        <v>0</v>
      </c>
      <c r="HH282">
        <v>0</v>
      </c>
      <c r="HI282">
        <v>0</v>
      </c>
      <c r="HJ282">
        <v>0</v>
      </c>
      <c r="HK282">
        <v>0</v>
      </c>
      <c r="HL282">
        <v>0</v>
      </c>
      <c r="HM282">
        <v>0</v>
      </c>
      <c r="HN282">
        <v>0</v>
      </c>
      <c r="HO282">
        <v>0</v>
      </c>
      <c r="HP282">
        <v>0</v>
      </c>
      <c r="HQ282">
        <v>0</v>
      </c>
      <c r="HR282">
        <v>0</v>
      </c>
      <c r="HS282">
        <v>0</v>
      </c>
      <c r="HT282">
        <v>0</v>
      </c>
      <c r="HU282">
        <v>0</v>
      </c>
      <c r="HV282">
        <v>0</v>
      </c>
      <c r="HW282">
        <v>0</v>
      </c>
      <c r="HX282">
        <v>0</v>
      </c>
      <c r="HY282">
        <v>0</v>
      </c>
      <c r="HZ282">
        <v>0</v>
      </c>
      <c r="IA282">
        <v>0</v>
      </c>
      <c r="IB282">
        <v>0</v>
      </c>
      <c r="IC282">
        <v>0</v>
      </c>
      <c r="ID282">
        <v>0</v>
      </c>
      <c r="IE282">
        <v>0</v>
      </c>
      <c r="IF282">
        <v>0</v>
      </c>
      <c r="IG282">
        <v>0</v>
      </c>
      <c r="IH282">
        <v>0</v>
      </c>
      <c r="II282">
        <v>0</v>
      </c>
      <c r="IJ282">
        <v>0</v>
      </c>
      <c r="IK282">
        <v>0</v>
      </c>
    </row>
    <row r="283" spans="13:245" hidden="1">
      <c r="M283" s="343" t="s">
        <v>633</v>
      </c>
      <c r="N283" t="s">
        <v>1010</v>
      </c>
      <c r="O283">
        <v>2</v>
      </c>
      <c r="P283">
        <v>14</v>
      </c>
      <c r="Q283" s="184" t="str">
        <f t="shared" si="12"/>
        <v>SDJ200214</v>
      </c>
      <c r="R283">
        <v>320.10000000000002</v>
      </c>
      <c r="S283">
        <v>2000</v>
      </c>
      <c r="T283">
        <v>2000</v>
      </c>
      <c r="U283">
        <v>2000</v>
      </c>
      <c r="V283">
        <v>2000</v>
      </c>
      <c r="W283">
        <v>2000</v>
      </c>
      <c r="X283">
        <v>2240.8000000000002</v>
      </c>
      <c r="Y283">
        <v>2561</v>
      </c>
      <c r="Z283">
        <v>2881.1</v>
      </c>
      <c r="AA283">
        <v>3201.2</v>
      </c>
      <c r="AB283">
        <v>3521.3</v>
      </c>
      <c r="AC283">
        <v>3841.4</v>
      </c>
      <c r="AD283">
        <v>4161.6000000000004</v>
      </c>
      <c r="AE283">
        <v>4481.7</v>
      </c>
      <c r="AF283">
        <v>4801.8</v>
      </c>
      <c r="AG283">
        <v>5121.8999999999996</v>
      </c>
      <c r="AH283">
        <v>5442</v>
      </c>
      <c r="AI283">
        <v>5762.2</v>
      </c>
      <c r="AJ283">
        <v>6082.3</v>
      </c>
      <c r="AK283">
        <v>6402.4</v>
      </c>
      <c r="AL283">
        <v>6402.4</v>
      </c>
      <c r="AM283">
        <v>6402.4</v>
      </c>
      <c r="AN283">
        <v>6402.4</v>
      </c>
      <c r="AO283">
        <v>6402.4</v>
      </c>
      <c r="AP283">
        <v>6402.4</v>
      </c>
      <c r="AQ283">
        <v>6402.4</v>
      </c>
      <c r="AR283">
        <v>6402.4</v>
      </c>
      <c r="AS283">
        <v>6402.4</v>
      </c>
      <c r="AT283">
        <v>6402.4</v>
      </c>
      <c r="AU283">
        <v>6402.4</v>
      </c>
      <c r="AV283">
        <v>6402.4</v>
      </c>
      <c r="AW283">
        <v>6402.4</v>
      </c>
      <c r="AX283">
        <v>6402.4</v>
      </c>
      <c r="AY283">
        <v>6402.4</v>
      </c>
      <c r="AZ283">
        <v>6402.4</v>
      </c>
      <c r="BA283">
        <v>6402.4</v>
      </c>
      <c r="BB283">
        <v>6402.4</v>
      </c>
      <c r="BC283">
        <v>6402.4</v>
      </c>
      <c r="BD283">
        <v>6402.4</v>
      </c>
      <c r="BE283">
        <v>6402.4</v>
      </c>
      <c r="BF283">
        <v>6402.4</v>
      </c>
      <c r="BG283">
        <v>6402.4</v>
      </c>
      <c r="BH283">
        <v>6402.4</v>
      </c>
      <c r="BI283">
        <v>6402.4</v>
      </c>
      <c r="BJ283">
        <v>6402.4</v>
      </c>
      <c r="BK283">
        <v>6402.4</v>
      </c>
      <c r="BL283">
        <v>6402.4</v>
      </c>
      <c r="BM283">
        <v>6402.4</v>
      </c>
      <c r="BN283">
        <v>6402.4</v>
      </c>
      <c r="BO283">
        <v>6402.4</v>
      </c>
      <c r="BP283">
        <v>6402.4</v>
      </c>
      <c r="BQ283">
        <v>6402.4</v>
      </c>
      <c r="BR283">
        <v>6402.4</v>
      </c>
      <c r="BS283">
        <v>6402.4</v>
      </c>
      <c r="BT283">
        <v>6402.4</v>
      </c>
      <c r="BU283">
        <v>6402.4</v>
      </c>
      <c r="BV283">
        <v>6402.4</v>
      </c>
      <c r="BW283">
        <v>6402.4</v>
      </c>
      <c r="BX283">
        <v>6402.4</v>
      </c>
      <c r="BY283">
        <v>6402.4</v>
      </c>
      <c r="BZ283">
        <v>6402.4</v>
      </c>
      <c r="CA283">
        <v>6402.4</v>
      </c>
      <c r="CB283">
        <v>6402.4</v>
      </c>
      <c r="CC283">
        <v>6402.4</v>
      </c>
      <c r="CD283">
        <v>6402.4</v>
      </c>
      <c r="CE283">
        <v>6402.4</v>
      </c>
      <c r="CF283">
        <v>6402.4</v>
      </c>
      <c r="CG283">
        <v>6402.4</v>
      </c>
      <c r="CH283">
        <v>6402.4</v>
      </c>
      <c r="CI283">
        <v>6402.4</v>
      </c>
      <c r="CJ283">
        <v>6402.4</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Z283" s="343" t="s">
        <v>633</v>
      </c>
      <c r="EA283" t="s">
        <v>1010</v>
      </c>
      <c r="EB283">
        <v>2</v>
      </c>
      <c r="EC283">
        <v>14</v>
      </c>
      <c r="ED283" s="184" t="str">
        <f t="shared" si="13"/>
        <v>SDJ200214</v>
      </c>
      <c r="EE283">
        <v>320.10000000000002</v>
      </c>
      <c r="EF283">
        <v>10000</v>
      </c>
      <c r="EG283">
        <v>10000</v>
      </c>
      <c r="EH283">
        <v>10000</v>
      </c>
      <c r="EI283">
        <v>10000</v>
      </c>
      <c r="EJ283">
        <v>10000</v>
      </c>
      <c r="EK283">
        <v>10000</v>
      </c>
      <c r="EL283">
        <v>10000</v>
      </c>
      <c r="EM283">
        <v>10000</v>
      </c>
      <c r="EN283">
        <v>10000</v>
      </c>
      <c r="EO283">
        <v>10000</v>
      </c>
      <c r="EP283">
        <v>10000</v>
      </c>
      <c r="EQ283">
        <v>10000</v>
      </c>
      <c r="ER283">
        <v>10000</v>
      </c>
      <c r="ES283">
        <v>10000</v>
      </c>
      <c r="ET283">
        <v>10000</v>
      </c>
      <c r="EU283">
        <v>10000</v>
      </c>
      <c r="EV283">
        <v>10000</v>
      </c>
      <c r="EW283">
        <v>10000</v>
      </c>
      <c r="EX283">
        <v>10000</v>
      </c>
      <c r="EY283">
        <v>10000</v>
      </c>
      <c r="EZ283">
        <v>10000</v>
      </c>
      <c r="FA283">
        <v>10000</v>
      </c>
      <c r="FB283">
        <v>10000</v>
      </c>
      <c r="FC283">
        <v>10000</v>
      </c>
      <c r="FD283">
        <v>10000</v>
      </c>
      <c r="FE283">
        <v>10000</v>
      </c>
      <c r="FF283">
        <v>10000</v>
      </c>
      <c r="FG283">
        <v>10000</v>
      </c>
      <c r="FH283">
        <v>10000</v>
      </c>
      <c r="FI283">
        <v>10000</v>
      </c>
      <c r="FJ283">
        <v>10000</v>
      </c>
      <c r="FK283">
        <v>10000</v>
      </c>
      <c r="FL283">
        <v>10000</v>
      </c>
      <c r="FM283">
        <v>10000</v>
      </c>
      <c r="FN283">
        <v>10000</v>
      </c>
      <c r="FO283">
        <v>10000</v>
      </c>
      <c r="FP283">
        <v>10000</v>
      </c>
      <c r="FQ283">
        <v>10000</v>
      </c>
      <c r="FR283">
        <v>10000</v>
      </c>
      <c r="FS283">
        <v>10000</v>
      </c>
      <c r="FT283">
        <v>10000</v>
      </c>
      <c r="FU283">
        <v>10000</v>
      </c>
      <c r="FV283">
        <v>10000</v>
      </c>
      <c r="FW283">
        <v>10000</v>
      </c>
      <c r="FX283">
        <v>10000</v>
      </c>
      <c r="FY283">
        <v>10000</v>
      </c>
      <c r="FZ283">
        <v>10000</v>
      </c>
      <c r="GA283">
        <v>10000</v>
      </c>
      <c r="GB283">
        <v>10000</v>
      </c>
      <c r="GC283">
        <v>10000</v>
      </c>
      <c r="GD283">
        <v>10000</v>
      </c>
      <c r="GE283">
        <v>10000</v>
      </c>
      <c r="GF283">
        <v>10000</v>
      </c>
      <c r="GG283">
        <v>10000</v>
      </c>
      <c r="GH283">
        <v>10000</v>
      </c>
      <c r="GI283">
        <v>10000</v>
      </c>
      <c r="GJ283">
        <v>10000</v>
      </c>
      <c r="GK283">
        <v>10000</v>
      </c>
      <c r="GL283">
        <v>10000</v>
      </c>
      <c r="GM283">
        <v>10000</v>
      </c>
      <c r="GN283">
        <v>10000</v>
      </c>
      <c r="GO283">
        <v>10000</v>
      </c>
      <c r="GP283">
        <v>10000</v>
      </c>
      <c r="GQ283">
        <v>10000</v>
      </c>
      <c r="GR283">
        <v>10000</v>
      </c>
      <c r="GS283">
        <v>10000</v>
      </c>
      <c r="GT283">
        <v>10000</v>
      </c>
      <c r="GU283">
        <v>10000</v>
      </c>
      <c r="GV283">
        <v>10000</v>
      </c>
      <c r="GW283">
        <v>10000</v>
      </c>
      <c r="GX283">
        <v>0</v>
      </c>
      <c r="GY283">
        <v>0</v>
      </c>
      <c r="GZ283">
        <v>0</v>
      </c>
      <c r="HA283">
        <v>0</v>
      </c>
      <c r="HB283">
        <v>0</v>
      </c>
      <c r="HC283">
        <v>0</v>
      </c>
      <c r="HD283">
        <v>0</v>
      </c>
      <c r="HE283">
        <v>0</v>
      </c>
      <c r="HF283">
        <v>0</v>
      </c>
      <c r="HG283">
        <v>0</v>
      </c>
      <c r="HH283">
        <v>0</v>
      </c>
      <c r="HI283">
        <v>0</v>
      </c>
      <c r="HJ283">
        <v>0</v>
      </c>
      <c r="HK283">
        <v>0</v>
      </c>
      <c r="HL283">
        <v>0</v>
      </c>
      <c r="HM283">
        <v>0</v>
      </c>
      <c r="HN283">
        <v>0</v>
      </c>
      <c r="HO283">
        <v>0</v>
      </c>
      <c r="HP283">
        <v>0</v>
      </c>
      <c r="HQ283">
        <v>0</v>
      </c>
      <c r="HR283">
        <v>0</v>
      </c>
      <c r="HS283">
        <v>0</v>
      </c>
      <c r="HT283">
        <v>0</v>
      </c>
      <c r="HU283">
        <v>0</v>
      </c>
      <c r="HV283">
        <v>0</v>
      </c>
      <c r="HW283">
        <v>0</v>
      </c>
      <c r="HX283">
        <v>0</v>
      </c>
      <c r="HY283">
        <v>0</v>
      </c>
      <c r="HZ283">
        <v>0</v>
      </c>
      <c r="IA283">
        <v>0</v>
      </c>
      <c r="IB283">
        <v>0</v>
      </c>
      <c r="IC283">
        <v>0</v>
      </c>
      <c r="ID283">
        <v>0</v>
      </c>
      <c r="IE283">
        <v>0</v>
      </c>
      <c r="IF283">
        <v>0</v>
      </c>
      <c r="IG283">
        <v>0</v>
      </c>
      <c r="IH283">
        <v>0</v>
      </c>
      <c r="II283">
        <v>0</v>
      </c>
      <c r="IJ283">
        <v>0</v>
      </c>
      <c r="IK283">
        <v>0</v>
      </c>
    </row>
    <row r="284" spans="13:245" hidden="1">
      <c r="M284" s="343" t="s">
        <v>633</v>
      </c>
      <c r="N284" t="s">
        <v>1010</v>
      </c>
      <c r="O284">
        <v>2</v>
      </c>
      <c r="P284">
        <v>15</v>
      </c>
      <c r="Q284" s="184" t="str">
        <f t="shared" si="12"/>
        <v>SDJ200215</v>
      </c>
      <c r="R284">
        <v>328.6</v>
      </c>
      <c r="S284">
        <v>2000</v>
      </c>
      <c r="T284">
        <v>2000</v>
      </c>
      <c r="U284">
        <v>2000</v>
      </c>
      <c r="V284">
        <v>2000</v>
      </c>
      <c r="W284">
        <v>2000</v>
      </c>
      <c r="X284">
        <v>2300.1999999999998</v>
      </c>
      <c r="Y284">
        <v>2628.8</v>
      </c>
      <c r="Z284">
        <v>2957.4</v>
      </c>
      <c r="AA284">
        <v>3286</v>
      </c>
      <c r="AB284">
        <v>3614.6</v>
      </c>
      <c r="AC284">
        <v>3943.2</v>
      </c>
      <c r="AD284">
        <v>4271.8</v>
      </c>
      <c r="AE284">
        <v>4600.3999999999996</v>
      </c>
      <c r="AF284">
        <v>4929</v>
      </c>
      <c r="AG284">
        <v>5257.6</v>
      </c>
      <c r="AH284">
        <v>5586.2</v>
      </c>
      <c r="AI284">
        <v>5914.8</v>
      </c>
      <c r="AJ284">
        <v>6243.4</v>
      </c>
      <c r="AK284">
        <v>6572</v>
      </c>
      <c r="AL284">
        <v>6572</v>
      </c>
      <c r="AM284">
        <v>6572</v>
      </c>
      <c r="AN284">
        <v>6572</v>
      </c>
      <c r="AO284">
        <v>6572</v>
      </c>
      <c r="AP284">
        <v>6572</v>
      </c>
      <c r="AQ284">
        <v>6572</v>
      </c>
      <c r="AR284">
        <v>6572</v>
      </c>
      <c r="AS284">
        <v>6572</v>
      </c>
      <c r="AT284">
        <v>6572</v>
      </c>
      <c r="AU284">
        <v>6572</v>
      </c>
      <c r="AV284">
        <v>6572</v>
      </c>
      <c r="AW284">
        <v>6572</v>
      </c>
      <c r="AX284">
        <v>6572</v>
      </c>
      <c r="AY284">
        <v>6572</v>
      </c>
      <c r="AZ284">
        <v>6572</v>
      </c>
      <c r="BA284">
        <v>6572</v>
      </c>
      <c r="BB284">
        <v>6572</v>
      </c>
      <c r="BC284">
        <v>6572</v>
      </c>
      <c r="BD284">
        <v>6572</v>
      </c>
      <c r="BE284">
        <v>6572</v>
      </c>
      <c r="BF284">
        <v>6572</v>
      </c>
      <c r="BG284">
        <v>6572</v>
      </c>
      <c r="BH284">
        <v>6572</v>
      </c>
      <c r="BI284">
        <v>6572</v>
      </c>
      <c r="BJ284">
        <v>6572</v>
      </c>
      <c r="BK284">
        <v>6572</v>
      </c>
      <c r="BL284">
        <v>6572</v>
      </c>
      <c r="BM284">
        <v>6572</v>
      </c>
      <c r="BN284">
        <v>6572</v>
      </c>
      <c r="BO284">
        <v>6572</v>
      </c>
      <c r="BP284">
        <v>6572</v>
      </c>
      <c r="BQ284">
        <v>6572</v>
      </c>
      <c r="BR284">
        <v>6572</v>
      </c>
      <c r="BS284">
        <v>6572</v>
      </c>
      <c r="BT284">
        <v>6572</v>
      </c>
      <c r="BU284">
        <v>6572</v>
      </c>
      <c r="BV284">
        <v>6572</v>
      </c>
      <c r="BW284">
        <v>6572</v>
      </c>
      <c r="BX284">
        <v>6572</v>
      </c>
      <c r="BY284">
        <v>6572</v>
      </c>
      <c r="BZ284">
        <v>6572</v>
      </c>
      <c r="CA284">
        <v>6572</v>
      </c>
      <c r="CB284">
        <v>6572</v>
      </c>
      <c r="CC284">
        <v>6572</v>
      </c>
      <c r="CD284">
        <v>6572</v>
      </c>
      <c r="CE284">
        <v>6572</v>
      </c>
      <c r="CF284">
        <v>6572</v>
      </c>
      <c r="CG284">
        <v>6572</v>
      </c>
      <c r="CH284">
        <v>6572</v>
      </c>
      <c r="CI284">
        <v>6572</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Z284" s="343" t="s">
        <v>633</v>
      </c>
      <c r="EA284" t="s">
        <v>1010</v>
      </c>
      <c r="EB284">
        <v>2</v>
      </c>
      <c r="EC284">
        <v>15</v>
      </c>
      <c r="ED284" s="184" t="str">
        <f t="shared" si="13"/>
        <v>SDJ200215</v>
      </c>
      <c r="EE284">
        <v>328.6</v>
      </c>
      <c r="EF284">
        <v>10000</v>
      </c>
      <c r="EG284">
        <v>10000</v>
      </c>
      <c r="EH284">
        <v>10000</v>
      </c>
      <c r="EI284">
        <v>10000</v>
      </c>
      <c r="EJ284">
        <v>10000</v>
      </c>
      <c r="EK284">
        <v>10000</v>
      </c>
      <c r="EL284">
        <v>10000</v>
      </c>
      <c r="EM284">
        <v>10000</v>
      </c>
      <c r="EN284">
        <v>10000</v>
      </c>
      <c r="EO284">
        <v>10000</v>
      </c>
      <c r="EP284">
        <v>10000</v>
      </c>
      <c r="EQ284">
        <v>10000</v>
      </c>
      <c r="ER284">
        <v>10000</v>
      </c>
      <c r="ES284">
        <v>10000</v>
      </c>
      <c r="ET284">
        <v>10000</v>
      </c>
      <c r="EU284">
        <v>10000</v>
      </c>
      <c r="EV284">
        <v>10000</v>
      </c>
      <c r="EW284">
        <v>10000</v>
      </c>
      <c r="EX284">
        <v>10000</v>
      </c>
      <c r="EY284">
        <v>10000</v>
      </c>
      <c r="EZ284">
        <v>10000</v>
      </c>
      <c r="FA284">
        <v>10000</v>
      </c>
      <c r="FB284">
        <v>10000</v>
      </c>
      <c r="FC284">
        <v>10000</v>
      </c>
      <c r="FD284">
        <v>10000</v>
      </c>
      <c r="FE284">
        <v>10000</v>
      </c>
      <c r="FF284">
        <v>10000</v>
      </c>
      <c r="FG284">
        <v>10000</v>
      </c>
      <c r="FH284">
        <v>10000</v>
      </c>
      <c r="FI284">
        <v>10000</v>
      </c>
      <c r="FJ284">
        <v>10000</v>
      </c>
      <c r="FK284">
        <v>10000</v>
      </c>
      <c r="FL284">
        <v>10000</v>
      </c>
      <c r="FM284">
        <v>10000</v>
      </c>
      <c r="FN284">
        <v>10000</v>
      </c>
      <c r="FO284">
        <v>10000</v>
      </c>
      <c r="FP284">
        <v>10000</v>
      </c>
      <c r="FQ284">
        <v>10000</v>
      </c>
      <c r="FR284">
        <v>10000</v>
      </c>
      <c r="FS284">
        <v>10000</v>
      </c>
      <c r="FT284">
        <v>10000</v>
      </c>
      <c r="FU284">
        <v>10000</v>
      </c>
      <c r="FV284">
        <v>10000</v>
      </c>
      <c r="FW284">
        <v>10000</v>
      </c>
      <c r="FX284">
        <v>10000</v>
      </c>
      <c r="FY284">
        <v>10000</v>
      </c>
      <c r="FZ284">
        <v>10000</v>
      </c>
      <c r="GA284">
        <v>10000</v>
      </c>
      <c r="GB284">
        <v>10000</v>
      </c>
      <c r="GC284">
        <v>10000</v>
      </c>
      <c r="GD284">
        <v>10000</v>
      </c>
      <c r="GE284">
        <v>10000</v>
      </c>
      <c r="GF284">
        <v>10000</v>
      </c>
      <c r="GG284">
        <v>10000</v>
      </c>
      <c r="GH284">
        <v>10000</v>
      </c>
      <c r="GI284">
        <v>10000</v>
      </c>
      <c r="GJ284">
        <v>10000</v>
      </c>
      <c r="GK284">
        <v>10000</v>
      </c>
      <c r="GL284">
        <v>10000</v>
      </c>
      <c r="GM284">
        <v>10000</v>
      </c>
      <c r="GN284">
        <v>10000</v>
      </c>
      <c r="GO284">
        <v>10000</v>
      </c>
      <c r="GP284">
        <v>10000</v>
      </c>
      <c r="GQ284">
        <v>10000</v>
      </c>
      <c r="GR284">
        <v>10000</v>
      </c>
      <c r="GS284">
        <v>10000</v>
      </c>
      <c r="GT284">
        <v>10000</v>
      </c>
      <c r="GU284">
        <v>10000</v>
      </c>
      <c r="GV284">
        <v>10000</v>
      </c>
      <c r="GW284">
        <v>0</v>
      </c>
      <c r="GX284">
        <v>0</v>
      </c>
      <c r="GY284">
        <v>0</v>
      </c>
      <c r="GZ284">
        <v>0</v>
      </c>
      <c r="HA284">
        <v>0</v>
      </c>
      <c r="HB284">
        <v>0</v>
      </c>
      <c r="HC284">
        <v>0</v>
      </c>
      <c r="HD284">
        <v>0</v>
      </c>
      <c r="HE284">
        <v>0</v>
      </c>
      <c r="HF284">
        <v>0</v>
      </c>
      <c r="HG284">
        <v>0</v>
      </c>
      <c r="HH284">
        <v>0</v>
      </c>
      <c r="HI284">
        <v>0</v>
      </c>
      <c r="HJ284">
        <v>0</v>
      </c>
      <c r="HK284">
        <v>0</v>
      </c>
      <c r="HL284">
        <v>0</v>
      </c>
      <c r="HM284">
        <v>0</v>
      </c>
      <c r="HN284">
        <v>0</v>
      </c>
      <c r="HO284">
        <v>0</v>
      </c>
      <c r="HP284">
        <v>0</v>
      </c>
      <c r="HQ284">
        <v>0</v>
      </c>
      <c r="HR284">
        <v>0</v>
      </c>
      <c r="HS284">
        <v>0</v>
      </c>
      <c r="HT284">
        <v>0</v>
      </c>
      <c r="HU284">
        <v>0</v>
      </c>
      <c r="HV284">
        <v>0</v>
      </c>
      <c r="HW284">
        <v>0</v>
      </c>
      <c r="HX284">
        <v>0</v>
      </c>
      <c r="HY284">
        <v>0</v>
      </c>
      <c r="HZ284">
        <v>0</v>
      </c>
      <c r="IA284">
        <v>0</v>
      </c>
      <c r="IB284">
        <v>0</v>
      </c>
      <c r="IC284">
        <v>0</v>
      </c>
      <c r="ID284">
        <v>0</v>
      </c>
      <c r="IE284">
        <v>0</v>
      </c>
      <c r="IF284">
        <v>0</v>
      </c>
      <c r="IG284">
        <v>0</v>
      </c>
      <c r="IH284">
        <v>0</v>
      </c>
      <c r="II284">
        <v>0</v>
      </c>
      <c r="IJ284">
        <v>0</v>
      </c>
      <c r="IK284">
        <v>0</v>
      </c>
    </row>
    <row r="285" spans="13:245" hidden="1">
      <c r="M285" s="343" t="s">
        <v>633</v>
      </c>
      <c r="N285" t="s">
        <v>1010</v>
      </c>
      <c r="O285">
        <v>2</v>
      </c>
      <c r="P285">
        <v>16</v>
      </c>
      <c r="Q285" s="184" t="str">
        <f t="shared" si="12"/>
        <v>SDJ200216</v>
      </c>
      <c r="R285">
        <v>336</v>
      </c>
      <c r="S285">
        <v>2000</v>
      </c>
      <c r="T285">
        <v>2000</v>
      </c>
      <c r="U285">
        <v>2000</v>
      </c>
      <c r="V285">
        <v>2000</v>
      </c>
      <c r="W285">
        <v>2016.1</v>
      </c>
      <c r="X285">
        <v>2352.1</v>
      </c>
      <c r="Y285">
        <v>2688.2</v>
      </c>
      <c r="Z285">
        <v>3024.2</v>
      </c>
      <c r="AA285">
        <v>3360.2</v>
      </c>
      <c r="AB285">
        <v>3696.2</v>
      </c>
      <c r="AC285">
        <v>4032.2</v>
      </c>
      <c r="AD285">
        <v>4368.3</v>
      </c>
      <c r="AE285">
        <v>4704.3</v>
      </c>
      <c r="AF285">
        <v>5040.3</v>
      </c>
      <c r="AG285">
        <v>5376.3</v>
      </c>
      <c r="AH285">
        <v>5712.3</v>
      </c>
      <c r="AI285">
        <v>6048.4</v>
      </c>
      <c r="AJ285">
        <v>6384.4</v>
      </c>
      <c r="AK285">
        <v>6720.4</v>
      </c>
      <c r="AL285">
        <v>6720.4</v>
      </c>
      <c r="AM285">
        <v>6720.4</v>
      </c>
      <c r="AN285">
        <v>6720.4</v>
      </c>
      <c r="AO285">
        <v>6720.4</v>
      </c>
      <c r="AP285">
        <v>6720.4</v>
      </c>
      <c r="AQ285">
        <v>6720.4</v>
      </c>
      <c r="AR285">
        <v>6720.4</v>
      </c>
      <c r="AS285">
        <v>6720.4</v>
      </c>
      <c r="AT285">
        <v>6720.4</v>
      </c>
      <c r="AU285">
        <v>6720.4</v>
      </c>
      <c r="AV285">
        <v>6720.4</v>
      </c>
      <c r="AW285">
        <v>6720.4</v>
      </c>
      <c r="AX285">
        <v>6720.4</v>
      </c>
      <c r="AY285">
        <v>6720.4</v>
      </c>
      <c r="AZ285">
        <v>6720.4</v>
      </c>
      <c r="BA285">
        <v>6720.4</v>
      </c>
      <c r="BB285">
        <v>6720.4</v>
      </c>
      <c r="BC285">
        <v>6720.4</v>
      </c>
      <c r="BD285">
        <v>6720.4</v>
      </c>
      <c r="BE285">
        <v>6720.4</v>
      </c>
      <c r="BF285">
        <v>6720.4</v>
      </c>
      <c r="BG285">
        <v>6720.4</v>
      </c>
      <c r="BH285">
        <v>6720.4</v>
      </c>
      <c r="BI285">
        <v>6720.4</v>
      </c>
      <c r="BJ285">
        <v>6720.4</v>
      </c>
      <c r="BK285">
        <v>6720.4</v>
      </c>
      <c r="BL285">
        <v>6720.4</v>
      </c>
      <c r="BM285">
        <v>6720.4</v>
      </c>
      <c r="BN285">
        <v>6720.4</v>
      </c>
      <c r="BO285">
        <v>6720.4</v>
      </c>
      <c r="BP285">
        <v>6720.4</v>
      </c>
      <c r="BQ285">
        <v>6720.4</v>
      </c>
      <c r="BR285">
        <v>6720.4</v>
      </c>
      <c r="BS285">
        <v>6720.4</v>
      </c>
      <c r="BT285">
        <v>6720.4</v>
      </c>
      <c r="BU285">
        <v>6720.4</v>
      </c>
      <c r="BV285">
        <v>6720.4</v>
      </c>
      <c r="BW285">
        <v>6720.4</v>
      </c>
      <c r="BX285">
        <v>6720.4</v>
      </c>
      <c r="BY285">
        <v>6720.4</v>
      </c>
      <c r="BZ285">
        <v>6720.4</v>
      </c>
      <c r="CA285">
        <v>6720.4</v>
      </c>
      <c r="CB285">
        <v>6720.4</v>
      </c>
      <c r="CC285">
        <v>6720.4</v>
      </c>
      <c r="CD285">
        <v>6720.4</v>
      </c>
      <c r="CE285">
        <v>6720.4</v>
      </c>
      <c r="CF285">
        <v>6720.4</v>
      </c>
      <c r="CG285">
        <v>6720.4</v>
      </c>
      <c r="CH285">
        <v>6720.4</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Z285" s="343" t="s">
        <v>633</v>
      </c>
      <c r="EA285" t="s">
        <v>1010</v>
      </c>
      <c r="EB285">
        <v>2</v>
      </c>
      <c r="EC285">
        <v>16</v>
      </c>
      <c r="ED285" s="184" t="str">
        <f t="shared" si="13"/>
        <v>SDJ200216</v>
      </c>
      <c r="EE285">
        <v>336</v>
      </c>
      <c r="EF285">
        <v>10000</v>
      </c>
      <c r="EG285">
        <v>10000</v>
      </c>
      <c r="EH285">
        <v>10000</v>
      </c>
      <c r="EI285">
        <v>10000</v>
      </c>
      <c r="EJ285">
        <v>10000</v>
      </c>
      <c r="EK285">
        <v>10000</v>
      </c>
      <c r="EL285">
        <v>10000</v>
      </c>
      <c r="EM285">
        <v>10000</v>
      </c>
      <c r="EN285">
        <v>10000</v>
      </c>
      <c r="EO285">
        <v>10000</v>
      </c>
      <c r="EP285">
        <v>10000</v>
      </c>
      <c r="EQ285">
        <v>10000</v>
      </c>
      <c r="ER285">
        <v>10000</v>
      </c>
      <c r="ES285">
        <v>10000</v>
      </c>
      <c r="ET285">
        <v>10000</v>
      </c>
      <c r="EU285">
        <v>10000</v>
      </c>
      <c r="EV285">
        <v>10000</v>
      </c>
      <c r="EW285">
        <v>10000</v>
      </c>
      <c r="EX285">
        <v>10000</v>
      </c>
      <c r="EY285">
        <v>10000</v>
      </c>
      <c r="EZ285">
        <v>10000</v>
      </c>
      <c r="FA285">
        <v>10000</v>
      </c>
      <c r="FB285">
        <v>10000</v>
      </c>
      <c r="FC285">
        <v>10000</v>
      </c>
      <c r="FD285">
        <v>10000</v>
      </c>
      <c r="FE285">
        <v>10000</v>
      </c>
      <c r="FF285">
        <v>10000</v>
      </c>
      <c r="FG285">
        <v>10000</v>
      </c>
      <c r="FH285">
        <v>10000</v>
      </c>
      <c r="FI285">
        <v>10000</v>
      </c>
      <c r="FJ285">
        <v>10000</v>
      </c>
      <c r="FK285">
        <v>10000</v>
      </c>
      <c r="FL285">
        <v>10000</v>
      </c>
      <c r="FM285">
        <v>10000</v>
      </c>
      <c r="FN285">
        <v>10000</v>
      </c>
      <c r="FO285">
        <v>10000</v>
      </c>
      <c r="FP285">
        <v>10000</v>
      </c>
      <c r="FQ285">
        <v>10000</v>
      </c>
      <c r="FR285">
        <v>10000</v>
      </c>
      <c r="FS285">
        <v>10000</v>
      </c>
      <c r="FT285">
        <v>10000</v>
      </c>
      <c r="FU285">
        <v>10000</v>
      </c>
      <c r="FV285">
        <v>10000</v>
      </c>
      <c r="FW285">
        <v>10000</v>
      </c>
      <c r="FX285">
        <v>10000</v>
      </c>
      <c r="FY285">
        <v>10000</v>
      </c>
      <c r="FZ285">
        <v>10000</v>
      </c>
      <c r="GA285">
        <v>10000</v>
      </c>
      <c r="GB285">
        <v>10000</v>
      </c>
      <c r="GC285">
        <v>10000</v>
      </c>
      <c r="GD285">
        <v>10000</v>
      </c>
      <c r="GE285">
        <v>10000</v>
      </c>
      <c r="GF285">
        <v>10000</v>
      </c>
      <c r="GG285">
        <v>10000</v>
      </c>
      <c r="GH285">
        <v>10000</v>
      </c>
      <c r="GI285">
        <v>10000</v>
      </c>
      <c r="GJ285">
        <v>10000</v>
      </c>
      <c r="GK285">
        <v>10000</v>
      </c>
      <c r="GL285">
        <v>10000</v>
      </c>
      <c r="GM285">
        <v>10000</v>
      </c>
      <c r="GN285">
        <v>10000</v>
      </c>
      <c r="GO285">
        <v>10000</v>
      </c>
      <c r="GP285">
        <v>10000</v>
      </c>
      <c r="GQ285">
        <v>10000</v>
      </c>
      <c r="GR285">
        <v>10000</v>
      </c>
      <c r="GS285">
        <v>10000</v>
      </c>
      <c r="GT285">
        <v>10000</v>
      </c>
      <c r="GU285">
        <v>10000</v>
      </c>
      <c r="GV285">
        <v>0</v>
      </c>
      <c r="GW285">
        <v>0</v>
      </c>
      <c r="GX285">
        <v>0</v>
      </c>
      <c r="GY285">
        <v>0</v>
      </c>
      <c r="GZ285">
        <v>0</v>
      </c>
      <c r="HA285">
        <v>0</v>
      </c>
      <c r="HB285">
        <v>0</v>
      </c>
      <c r="HC285">
        <v>0</v>
      </c>
      <c r="HD285">
        <v>0</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0</v>
      </c>
      <c r="IC285">
        <v>0</v>
      </c>
      <c r="ID285">
        <v>0</v>
      </c>
      <c r="IE285">
        <v>0</v>
      </c>
      <c r="IF285">
        <v>0</v>
      </c>
      <c r="IG285">
        <v>0</v>
      </c>
      <c r="IH285">
        <v>0</v>
      </c>
      <c r="II285">
        <v>0</v>
      </c>
      <c r="IJ285">
        <v>0</v>
      </c>
      <c r="IK285">
        <v>0</v>
      </c>
    </row>
    <row r="286" spans="13:245" hidden="1">
      <c r="M286" s="343" t="s">
        <v>633</v>
      </c>
      <c r="N286" t="s">
        <v>1010</v>
      </c>
      <c r="O286">
        <v>2</v>
      </c>
      <c r="P286">
        <v>17</v>
      </c>
      <c r="Q286" s="184" t="str">
        <f t="shared" si="12"/>
        <v>SDJ200217</v>
      </c>
      <c r="R286">
        <v>343.4</v>
      </c>
      <c r="S286">
        <v>2000</v>
      </c>
      <c r="T286">
        <v>2000</v>
      </c>
      <c r="U286">
        <v>2000</v>
      </c>
      <c r="V286">
        <v>2000</v>
      </c>
      <c r="W286">
        <v>2060.6</v>
      </c>
      <c r="X286">
        <v>2404.1</v>
      </c>
      <c r="Y286">
        <v>2747.5</v>
      </c>
      <c r="Z286">
        <v>3091</v>
      </c>
      <c r="AA286">
        <v>3434.4</v>
      </c>
      <c r="AB286">
        <v>3777.8</v>
      </c>
      <c r="AC286">
        <v>4121.3</v>
      </c>
      <c r="AD286">
        <v>4464.7</v>
      </c>
      <c r="AE286">
        <v>4808.2</v>
      </c>
      <c r="AF286">
        <v>5151.6000000000004</v>
      </c>
      <c r="AG286">
        <v>5495</v>
      </c>
      <c r="AH286">
        <v>5838.5</v>
      </c>
      <c r="AI286">
        <v>6181.9</v>
      </c>
      <c r="AJ286">
        <v>6525.4</v>
      </c>
      <c r="AK286">
        <v>6868.8</v>
      </c>
      <c r="AL286">
        <v>6868.8</v>
      </c>
      <c r="AM286">
        <v>6868.8</v>
      </c>
      <c r="AN286">
        <v>6868.8</v>
      </c>
      <c r="AO286">
        <v>6868.8</v>
      </c>
      <c r="AP286">
        <v>6868.8</v>
      </c>
      <c r="AQ286">
        <v>6868.8</v>
      </c>
      <c r="AR286">
        <v>6868.8</v>
      </c>
      <c r="AS286">
        <v>6868.8</v>
      </c>
      <c r="AT286">
        <v>6868.8</v>
      </c>
      <c r="AU286">
        <v>6868.8</v>
      </c>
      <c r="AV286">
        <v>6868.8</v>
      </c>
      <c r="AW286">
        <v>6868.8</v>
      </c>
      <c r="AX286">
        <v>6868.8</v>
      </c>
      <c r="AY286">
        <v>6868.8</v>
      </c>
      <c r="AZ286">
        <v>6868.8</v>
      </c>
      <c r="BA286">
        <v>6868.8</v>
      </c>
      <c r="BB286">
        <v>6868.8</v>
      </c>
      <c r="BC286">
        <v>6868.8</v>
      </c>
      <c r="BD286">
        <v>6868.8</v>
      </c>
      <c r="BE286">
        <v>6868.8</v>
      </c>
      <c r="BF286">
        <v>6868.8</v>
      </c>
      <c r="BG286">
        <v>6868.8</v>
      </c>
      <c r="BH286">
        <v>6868.8</v>
      </c>
      <c r="BI286">
        <v>6868.8</v>
      </c>
      <c r="BJ286">
        <v>6868.8</v>
      </c>
      <c r="BK286">
        <v>6868.8</v>
      </c>
      <c r="BL286">
        <v>6868.8</v>
      </c>
      <c r="BM286">
        <v>6868.8</v>
      </c>
      <c r="BN286">
        <v>6868.8</v>
      </c>
      <c r="BO286">
        <v>6868.8</v>
      </c>
      <c r="BP286">
        <v>6868.8</v>
      </c>
      <c r="BQ286">
        <v>6868.8</v>
      </c>
      <c r="BR286">
        <v>6868.8</v>
      </c>
      <c r="BS286">
        <v>6868.8</v>
      </c>
      <c r="BT286">
        <v>6868.8</v>
      </c>
      <c r="BU286">
        <v>6868.8</v>
      </c>
      <c r="BV286">
        <v>6868.8</v>
      </c>
      <c r="BW286">
        <v>6868.8</v>
      </c>
      <c r="BX286">
        <v>6868.8</v>
      </c>
      <c r="BY286">
        <v>6868.8</v>
      </c>
      <c r="BZ286">
        <v>6868.8</v>
      </c>
      <c r="CA286">
        <v>6868.8</v>
      </c>
      <c r="CB286">
        <v>6868.8</v>
      </c>
      <c r="CC286">
        <v>6868.8</v>
      </c>
      <c r="CD286">
        <v>6868.8</v>
      </c>
      <c r="CE286">
        <v>6868.8</v>
      </c>
      <c r="CF286">
        <v>6868.8</v>
      </c>
      <c r="CG286">
        <v>6868.8</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Z286" s="343" t="s">
        <v>633</v>
      </c>
      <c r="EA286" t="s">
        <v>1010</v>
      </c>
      <c r="EB286">
        <v>2</v>
      </c>
      <c r="EC286">
        <v>17</v>
      </c>
      <c r="ED286" s="184" t="str">
        <f t="shared" si="13"/>
        <v>SDJ200217</v>
      </c>
      <c r="EE286">
        <v>343.4</v>
      </c>
      <c r="EF286">
        <v>10000</v>
      </c>
      <c r="EG286">
        <v>10000</v>
      </c>
      <c r="EH286">
        <v>10000</v>
      </c>
      <c r="EI286">
        <v>10000</v>
      </c>
      <c r="EJ286">
        <v>10000</v>
      </c>
      <c r="EK286">
        <v>10000</v>
      </c>
      <c r="EL286">
        <v>10000</v>
      </c>
      <c r="EM286">
        <v>10000</v>
      </c>
      <c r="EN286">
        <v>10000</v>
      </c>
      <c r="EO286">
        <v>10000</v>
      </c>
      <c r="EP286">
        <v>10000</v>
      </c>
      <c r="EQ286">
        <v>10000</v>
      </c>
      <c r="ER286">
        <v>10000</v>
      </c>
      <c r="ES286">
        <v>10000</v>
      </c>
      <c r="ET286">
        <v>10000</v>
      </c>
      <c r="EU286">
        <v>10000</v>
      </c>
      <c r="EV286">
        <v>10000</v>
      </c>
      <c r="EW286">
        <v>10000</v>
      </c>
      <c r="EX286">
        <v>10000</v>
      </c>
      <c r="EY286">
        <v>10000</v>
      </c>
      <c r="EZ286">
        <v>10000</v>
      </c>
      <c r="FA286">
        <v>10000</v>
      </c>
      <c r="FB286">
        <v>10000</v>
      </c>
      <c r="FC286">
        <v>10000</v>
      </c>
      <c r="FD286">
        <v>10000</v>
      </c>
      <c r="FE286">
        <v>10000</v>
      </c>
      <c r="FF286">
        <v>10000</v>
      </c>
      <c r="FG286">
        <v>10000</v>
      </c>
      <c r="FH286">
        <v>10000</v>
      </c>
      <c r="FI286">
        <v>10000</v>
      </c>
      <c r="FJ286">
        <v>10000</v>
      </c>
      <c r="FK286">
        <v>10000</v>
      </c>
      <c r="FL286">
        <v>10000</v>
      </c>
      <c r="FM286">
        <v>10000</v>
      </c>
      <c r="FN286">
        <v>10000</v>
      </c>
      <c r="FO286">
        <v>10000</v>
      </c>
      <c r="FP286">
        <v>10000</v>
      </c>
      <c r="FQ286">
        <v>10000</v>
      </c>
      <c r="FR286">
        <v>10000</v>
      </c>
      <c r="FS286">
        <v>10000</v>
      </c>
      <c r="FT286">
        <v>10000</v>
      </c>
      <c r="FU286">
        <v>10000</v>
      </c>
      <c r="FV286">
        <v>10000</v>
      </c>
      <c r="FW286">
        <v>10000</v>
      </c>
      <c r="FX286">
        <v>10000</v>
      </c>
      <c r="FY286">
        <v>10000</v>
      </c>
      <c r="FZ286">
        <v>10000</v>
      </c>
      <c r="GA286">
        <v>10000</v>
      </c>
      <c r="GB286">
        <v>10000</v>
      </c>
      <c r="GC286">
        <v>10000</v>
      </c>
      <c r="GD286">
        <v>10000</v>
      </c>
      <c r="GE286">
        <v>10000</v>
      </c>
      <c r="GF286">
        <v>10000</v>
      </c>
      <c r="GG286">
        <v>10000</v>
      </c>
      <c r="GH286">
        <v>10000</v>
      </c>
      <c r="GI286">
        <v>10000</v>
      </c>
      <c r="GJ286">
        <v>10000</v>
      </c>
      <c r="GK286">
        <v>10000</v>
      </c>
      <c r="GL286">
        <v>10000</v>
      </c>
      <c r="GM286">
        <v>10000</v>
      </c>
      <c r="GN286">
        <v>10000</v>
      </c>
      <c r="GO286">
        <v>10000</v>
      </c>
      <c r="GP286">
        <v>10000</v>
      </c>
      <c r="GQ286">
        <v>10000</v>
      </c>
      <c r="GR286">
        <v>10000</v>
      </c>
      <c r="GS286">
        <v>10000</v>
      </c>
      <c r="GT286">
        <v>10000</v>
      </c>
      <c r="GU286">
        <v>0</v>
      </c>
      <c r="GV286">
        <v>0</v>
      </c>
      <c r="GW286">
        <v>0</v>
      </c>
      <c r="GX286">
        <v>0</v>
      </c>
      <c r="GY286">
        <v>0</v>
      </c>
      <c r="GZ286">
        <v>0</v>
      </c>
      <c r="HA286">
        <v>0</v>
      </c>
      <c r="HB286">
        <v>0</v>
      </c>
      <c r="HC286">
        <v>0</v>
      </c>
      <c r="HD286">
        <v>0</v>
      </c>
      <c r="HE286">
        <v>0</v>
      </c>
      <c r="HF286">
        <v>0</v>
      </c>
      <c r="HG286">
        <v>0</v>
      </c>
      <c r="HH286">
        <v>0</v>
      </c>
      <c r="HI286">
        <v>0</v>
      </c>
      <c r="HJ286">
        <v>0</v>
      </c>
      <c r="HK286">
        <v>0</v>
      </c>
      <c r="HL286">
        <v>0</v>
      </c>
      <c r="HM286">
        <v>0</v>
      </c>
      <c r="HN286">
        <v>0</v>
      </c>
      <c r="HO286">
        <v>0</v>
      </c>
      <c r="HP286">
        <v>0</v>
      </c>
      <c r="HQ286">
        <v>0</v>
      </c>
      <c r="HR286">
        <v>0</v>
      </c>
      <c r="HS286">
        <v>0</v>
      </c>
      <c r="HT286">
        <v>0</v>
      </c>
      <c r="HU286">
        <v>0</v>
      </c>
      <c r="HV286">
        <v>0</v>
      </c>
      <c r="HW286">
        <v>0</v>
      </c>
      <c r="HX286">
        <v>0</v>
      </c>
      <c r="HY286">
        <v>0</v>
      </c>
      <c r="HZ286">
        <v>0</v>
      </c>
      <c r="IA286">
        <v>0</v>
      </c>
      <c r="IB286">
        <v>0</v>
      </c>
      <c r="IC286">
        <v>0</v>
      </c>
      <c r="ID286">
        <v>0</v>
      </c>
      <c r="IE286">
        <v>0</v>
      </c>
      <c r="IF286">
        <v>0</v>
      </c>
      <c r="IG286">
        <v>0</v>
      </c>
      <c r="IH286">
        <v>0</v>
      </c>
      <c r="II286">
        <v>0</v>
      </c>
      <c r="IJ286">
        <v>0</v>
      </c>
      <c r="IK286">
        <v>0</v>
      </c>
    </row>
    <row r="287" spans="13:245" hidden="1">
      <c r="M287" s="343" t="s">
        <v>633</v>
      </c>
      <c r="N287" t="s">
        <v>1010</v>
      </c>
      <c r="O287">
        <v>2</v>
      </c>
      <c r="P287">
        <v>18</v>
      </c>
      <c r="Q287" s="184" t="str">
        <f t="shared" si="12"/>
        <v>SDJ200218</v>
      </c>
      <c r="R287">
        <v>350.9</v>
      </c>
      <c r="S287">
        <v>2000</v>
      </c>
      <c r="T287">
        <v>2000</v>
      </c>
      <c r="U287">
        <v>2000</v>
      </c>
      <c r="V287">
        <v>2000</v>
      </c>
      <c r="W287">
        <v>2105.1999999999998</v>
      </c>
      <c r="X287">
        <v>2456</v>
      </c>
      <c r="Y287">
        <v>2806.9</v>
      </c>
      <c r="Z287">
        <v>3157.7</v>
      </c>
      <c r="AA287">
        <v>3508.6</v>
      </c>
      <c r="AB287">
        <v>3859.5</v>
      </c>
      <c r="AC287">
        <v>4210.3</v>
      </c>
      <c r="AD287">
        <v>4561.2</v>
      </c>
      <c r="AE287">
        <v>4912</v>
      </c>
      <c r="AF287">
        <v>5262.9</v>
      </c>
      <c r="AG287">
        <v>5613.8</v>
      </c>
      <c r="AH287">
        <v>5964.6</v>
      </c>
      <c r="AI287">
        <v>6315.5</v>
      </c>
      <c r="AJ287">
        <v>6666.3</v>
      </c>
      <c r="AK287">
        <v>7017.2</v>
      </c>
      <c r="AL287">
        <v>7017.2</v>
      </c>
      <c r="AM287">
        <v>7017.2</v>
      </c>
      <c r="AN287">
        <v>7017.2</v>
      </c>
      <c r="AO287">
        <v>7017.2</v>
      </c>
      <c r="AP287">
        <v>7017.2</v>
      </c>
      <c r="AQ287">
        <v>7017.2</v>
      </c>
      <c r="AR287">
        <v>7017.2</v>
      </c>
      <c r="AS287">
        <v>7017.2</v>
      </c>
      <c r="AT287">
        <v>7017.2</v>
      </c>
      <c r="AU287">
        <v>7017.2</v>
      </c>
      <c r="AV287">
        <v>7017.2</v>
      </c>
      <c r="AW287">
        <v>7017.2</v>
      </c>
      <c r="AX287">
        <v>7017.2</v>
      </c>
      <c r="AY287">
        <v>7017.2</v>
      </c>
      <c r="AZ287">
        <v>7017.2</v>
      </c>
      <c r="BA287">
        <v>7017.2</v>
      </c>
      <c r="BB287">
        <v>7017.2</v>
      </c>
      <c r="BC287">
        <v>7017.2</v>
      </c>
      <c r="BD287">
        <v>7017.2</v>
      </c>
      <c r="BE287">
        <v>7017.2</v>
      </c>
      <c r="BF287">
        <v>7017.2</v>
      </c>
      <c r="BG287">
        <v>7017.2</v>
      </c>
      <c r="BH287">
        <v>7017.2</v>
      </c>
      <c r="BI287">
        <v>7017.2</v>
      </c>
      <c r="BJ287">
        <v>7017.2</v>
      </c>
      <c r="BK287">
        <v>7017.2</v>
      </c>
      <c r="BL287">
        <v>7017.2</v>
      </c>
      <c r="BM287">
        <v>7017.2</v>
      </c>
      <c r="BN287">
        <v>7017.2</v>
      </c>
      <c r="BO287">
        <v>7017.2</v>
      </c>
      <c r="BP287">
        <v>7017.2</v>
      </c>
      <c r="BQ287">
        <v>7017.2</v>
      </c>
      <c r="BR287">
        <v>7017.2</v>
      </c>
      <c r="BS287">
        <v>7017.2</v>
      </c>
      <c r="BT287">
        <v>7017.2</v>
      </c>
      <c r="BU287">
        <v>7017.2</v>
      </c>
      <c r="BV287">
        <v>7017.2</v>
      </c>
      <c r="BW287">
        <v>7017.2</v>
      </c>
      <c r="BX287">
        <v>7017.2</v>
      </c>
      <c r="BY287">
        <v>7017.2</v>
      </c>
      <c r="BZ287">
        <v>7017.2</v>
      </c>
      <c r="CA287">
        <v>7017.2</v>
      </c>
      <c r="CB287">
        <v>7017.2</v>
      </c>
      <c r="CC287">
        <v>7017.2</v>
      </c>
      <c r="CD287">
        <v>7017.2</v>
      </c>
      <c r="CE287">
        <v>7017.2</v>
      </c>
      <c r="CF287">
        <v>7017.2</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Z287" s="343" t="s">
        <v>633</v>
      </c>
      <c r="EA287" t="s">
        <v>1010</v>
      </c>
      <c r="EB287">
        <v>2</v>
      </c>
      <c r="EC287">
        <v>18</v>
      </c>
      <c r="ED287" s="184" t="str">
        <f t="shared" si="13"/>
        <v>SDJ200218</v>
      </c>
      <c r="EE287">
        <v>350.9</v>
      </c>
      <c r="EF287">
        <v>10000</v>
      </c>
      <c r="EG287">
        <v>10000</v>
      </c>
      <c r="EH287">
        <v>10000</v>
      </c>
      <c r="EI287">
        <v>10000</v>
      </c>
      <c r="EJ287">
        <v>10000</v>
      </c>
      <c r="EK287">
        <v>10000</v>
      </c>
      <c r="EL287">
        <v>10000</v>
      </c>
      <c r="EM287">
        <v>10000</v>
      </c>
      <c r="EN287">
        <v>10000</v>
      </c>
      <c r="EO287">
        <v>10000</v>
      </c>
      <c r="EP287">
        <v>10000</v>
      </c>
      <c r="EQ287">
        <v>10000</v>
      </c>
      <c r="ER287">
        <v>10000</v>
      </c>
      <c r="ES287">
        <v>10000</v>
      </c>
      <c r="ET287">
        <v>10000</v>
      </c>
      <c r="EU287">
        <v>10000</v>
      </c>
      <c r="EV287">
        <v>10000</v>
      </c>
      <c r="EW287">
        <v>10000</v>
      </c>
      <c r="EX287">
        <v>10000</v>
      </c>
      <c r="EY287">
        <v>10000</v>
      </c>
      <c r="EZ287">
        <v>10000</v>
      </c>
      <c r="FA287">
        <v>10000</v>
      </c>
      <c r="FB287">
        <v>10000</v>
      </c>
      <c r="FC287">
        <v>10000</v>
      </c>
      <c r="FD287">
        <v>10000</v>
      </c>
      <c r="FE287">
        <v>10000</v>
      </c>
      <c r="FF287">
        <v>10000</v>
      </c>
      <c r="FG287">
        <v>10000</v>
      </c>
      <c r="FH287">
        <v>10000</v>
      </c>
      <c r="FI287">
        <v>10000</v>
      </c>
      <c r="FJ287">
        <v>10000</v>
      </c>
      <c r="FK287">
        <v>10000</v>
      </c>
      <c r="FL287">
        <v>10000</v>
      </c>
      <c r="FM287">
        <v>10000</v>
      </c>
      <c r="FN287">
        <v>10000</v>
      </c>
      <c r="FO287">
        <v>10000</v>
      </c>
      <c r="FP287">
        <v>10000</v>
      </c>
      <c r="FQ287">
        <v>10000</v>
      </c>
      <c r="FR287">
        <v>10000</v>
      </c>
      <c r="FS287">
        <v>10000</v>
      </c>
      <c r="FT287">
        <v>10000</v>
      </c>
      <c r="FU287">
        <v>10000</v>
      </c>
      <c r="FV287">
        <v>10000</v>
      </c>
      <c r="FW287">
        <v>10000</v>
      </c>
      <c r="FX287">
        <v>10000</v>
      </c>
      <c r="FY287">
        <v>10000</v>
      </c>
      <c r="FZ287">
        <v>10000</v>
      </c>
      <c r="GA287">
        <v>10000</v>
      </c>
      <c r="GB287">
        <v>10000</v>
      </c>
      <c r="GC287">
        <v>10000</v>
      </c>
      <c r="GD287">
        <v>10000</v>
      </c>
      <c r="GE287">
        <v>10000</v>
      </c>
      <c r="GF287">
        <v>10000</v>
      </c>
      <c r="GG287">
        <v>10000</v>
      </c>
      <c r="GH287">
        <v>10000</v>
      </c>
      <c r="GI287">
        <v>10000</v>
      </c>
      <c r="GJ287">
        <v>10000</v>
      </c>
      <c r="GK287">
        <v>10000</v>
      </c>
      <c r="GL287">
        <v>10000</v>
      </c>
      <c r="GM287">
        <v>10000</v>
      </c>
      <c r="GN287">
        <v>10000</v>
      </c>
      <c r="GO287">
        <v>10000</v>
      </c>
      <c r="GP287">
        <v>10000</v>
      </c>
      <c r="GQ287">
        <v>10000</v>
      </c>
      <c r="GR287">
        <v>10000</v>
      </c>
      <c r="GS287">
        <v>10000</v>
      </c>
      <c r="GT287">
        <v>0</v>
      </c>
      <c r="GU287">
        <v>0</v>
      </c>
      <c r="GV287">
        <v>0</v>
      </c>
      <c r="GW287">
        <v>0</v>
      </c>
      <c r="GX287">
        <v>0</v>
      </c>
      <c r="GY287">
        <v>0</v>
      </c>
      <c r="GZ287">
        <v>0</v>
      </c>
      <c r="HA287">
        <v>0</v>
      </c>
      <c r="HB287">
        <v>0</v>
      </c>
      <c r="HC287">
        <v>0</v>
      </c>
      <c r="HD287">
        <v>0</v>
      </c>
      <c r="HE287">
        <v>0</v>
      </c>
      <c r="HF287">
        <v>0</v>
      </c>
      <c r="HG287">
        <v>0</v>
      </c>
      <c r="HH287">
        <v>0</v>
      </c>
      <c r="HI287">
        <v>0</v>
      </c>
      <c r="HJ287">
        <v>0</v>
      </c>
      <c r="HK287">
        <v>0</v>
      </c>
      <c r="HL287">
        <v>0</v>
      </c>
      <c r="HM287">
        <v>0</v>
      </c>
      <c r="HN287">
        <v>0</v>
      </c>
      <c r="HO287">
        <v>0</v>
      </c>
      <c r="HP287">
        <v>0</v>
      </c>
      <c r="HQ287">
        <v>0</v>
      </c>
      <c r="HR287">
        <v>0</v>
      </c>
      <c r="HS287">
        <v>0</v>
      </c>
      <c r="HT287">
        <v>0</v>
      </c>
      <c r="HU287">
        <v>0</v>
      </c>
      <c r="HV287">
        <v>0</v>
      </c>
      <c r="HW287">
        <v>0</v>
      </c>
      <c r="HX287">
        <v>0</v>
      </c>
      <c r="HY287">
        <v>0</v>
      </c>
      <c r="HZ287">
        <v>0</v>
      </c>
      <c r="IA287">
        <v>0</v>
      </c>
      <c r="IB287">
        <v>0</v>
      </c>
      <c r="IC287">
        <v>0</v>
      </c>
      <c r="ID287">
        <v>0</v>
      </c>
      <c r="IE287">
        <v>0</v>
      </c>
      <c r="IF287">
        <v>0</v>
      </c>
      <c r="IG287">
        <v>0</v>
      </c>
      <c r="IH287">
        <v>0</v>
      </c>
      <c r="II287">
        <v>0</v>
      </c>
      <c r="IJ287">
        <v>0</v>
      </c>
      <c r="IK287">
        <v>0</v>
      </c>
    </row>
    <row r="288" spans="13:245" hidden="1">
      <c r="M288" s="343" t="s">
        <v>633</v>
      </c>
      <c r="N288" t="s">
        <v>1010</v>
      </c>
      <c r="O288">
        <v>2</v>
      </c>
      <c r="P288">
        <v>19</v>
      </c>
      <c r="Q288" s="184" t="str">
        <f t="shared" si="12"/>
        <v>SDJ200219</v>
      </c>
      <c r="R288">
        <v>358.3</v>
      </c>
      <c r="S288">
        <v>2000</v>
      </c>
      <c r="T288">
        <v>2000</v>
      </c>
      <c r="U288">
        <v>2000</v>
      </c>
      <c r="V288">
        <v>2000</v>
      </c>
      <c r="W288">
        <v>2149.6999999999998</v>
      </c>
      <c r="X288">
        <v>2508</v>
      </c>
      <c r="Y288">
        <v>2866.2</v>
      </c>
      <c r="Z288">
        <v>3224.5</v>
      </c>
      <c r="AA288">
        <v>3582.8</v>
      </c>
      <c r="AB288">
        <v>3941.1</v>
      </c>
      <c r="AC288">
        <v>4299.3999999999996</v>
      </c>
      <c r="AD288">
        <v>4657.6000000000004</v>
      </c>
      <c r="AE288">
        <v>5015.8999999999996</v>
      </c>
      <c r="AF288">
        <v>5374.2</v>
      </c>
      <c r="AG288">
        <v>5732.5</v>
      </c>
      <c r="AH288">
        <v>6090.8</v>
      </c>
      <c r="AI288">
        <v>6449</v>
      </c>
      <c r="AJ288">
        <v>6807.3</v>
      </c>
      <c r="AK288">
        <v>7165.6</v>
      </c>
      <c r="AL288">
        <v>7165.6</v>
      </c>
      <c r="AM288">
        <v>7165.6</v>
      </c>
      <c r="AN288">
        <v>7165.6</v>
      </c>
      <c r="AO288">
        <v>7165.6</v>
      </c>
      <c r="AP288">
        <v>7165.6</v>
      </c>
      <c r="AQ288">
        <v>7165.6</v>
      </c>
      <c r="AR288">
        <v>7165.6</v>
      </c>
      <c r="AS288">
        <v>7165.6</v>
      </c>
      <c r="AT288">
        <v>7165.6</v>
      </c>
      <c r="AU288">
        <v>7165.6</v>
      </c>
      <c r="AV288">
        <v>7165.6</v>
      </c>
      <c r="AW288">
        <v>7165.6</v>
      </c>
      <c r="AX288">
        <v>7165.6</v>
      </c>
      <c r="AY288">
        <v>7165.6</v>
      </c>
      <c r="AZ288">
        <v>7165.6</v>
      </c>
      <c r="BA288">
        <v>7165.6</v>
      </c>
      <c r="BB288">
        <v>7165.6</v>
      </c>
      <c r="BC288">
        <v>7165.6</v>
      </c>
      <c r="BD288">
        <v>7165.6</v>
      </c>
      <c r="BE288">
        <v>7165.6</v>
      </c>
      <c r="BF288">
        <v>7165.6</v>
      </c>
      <c r="BG288">
        <v>7165.6</v>
      </c>
      <c r="BH288">
        <v>7165.6</v>
      </c>
      <c r="BI288">
        <v>7165.6</v>
      </c>
      <c r="BJ288">
        <v>7165.6</v>
      </c>
      <c r="BK288">
        <v>7165.6</v>
      </c>
      <c r="BL288">
        <v>7165.6</v>
      </c>
      <c r="BM288">
        <v>7165.6</v>
      </c>
      <c r="BN288">
        <v>7165.6</v>
      </c>
      <c r="BO288">
        <v>7165.6</v>
      </c>
      <c r="BP288">
        <v>7165.6</v>
      </c>
      <c r="BQ288">
        <v>7165.6</v>
      </c>
      <c r="BR288">
        <v>7165.6</v>
      </c>
      <c r="BS288">
        <v>7165.6</v>
      </c>
      <c r="BT288">
        <v>7165.6</v>
      </c>
      <c r="BU288">
        <v>7165.6</v>
      </c>
      <c r="BV288">
        <v>7165.6</v>
      </c>
      <c r="BW288">
        <v>7165.6</v>
      </c>
      <c r="BX288">
        <v>7165.6</v>
      </c>
      <c r="BY288">
        <v>7165.6</v>
      </c>
      <c r="BZ288">
        <v>7165.6</v>
      </c>
      <c r="CA288">
        <v>7165.6</v>
      </c>
      <c r="CB288">
        <v>7165.6</v>
      </c>
      <c r="CC288">
        <v>7165.6</v>
      </c>
      <c r="CD288">
        <v>7165.6</v>
      </c>
      <c r="CE288">
        <v>7165.6</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Z288" s="343" t="s">
        <v>633</v>
      </c>
      <c r="EA288" t="s">
        <v>1010</v>
      </c>
      <c r="EB288">
        <v>2</v>
      </c>
      <c r="EC288">
        <v>19</v>
      </c>
      <c r="ED288" s="184" t="str">
        <f t="shared" si="13"/>
        <v>SDJ200219</v>
      </c>
      <c r="EE288">
        <v>358.3</v>
      </c>
      <c r="EF288">
        <v>10000</v>
      </c>
      <c r="EG288">
        <v>10000</v>
      </c>
      <c r="EH288">
        <v>10000</v>
      </c>
      <c r="EI288">
        <v>10000</v>
      </c>
      <c r="EJ288">
        <v>10000</v>
      </c>
      <c r="EK288">
        <v>10000</v>
      </c>
      <c r="EL288">
        <v>10000</v>
      </c>
      <c r="EM288">
        <v>10000</v>
      </c>
      <c r="EN288">
        <v>10000</v>
      </c>
      <c r="EO288">
        <v>10000</v>
      </c>
      <c r="EP288">
        <v>10000</v>
      </c>
      <c r="EQ288">
        <v>10000</v>
      </c>
      <c r="ER288">
        <v>10000</v>
      </c>
      <c r="ES288">
        <v>10000</v>
      </c>
      <c r="ET288">
        <v>10000</v>
      </c>
      <c r="EU288">
        <v>10000</v>
      </c>
      <c r="EV288">
        <v>10000</v>
      </c>
      <c r="EW288">
        <v>10000</v>
      </c>
      <c r="EX288">
        <v>10000</v>
      </c>
      <c r="EY288">
        <v>10000</v>
      </c>
      <c r="EZ288">
        <v>10000</v>
      </c>
      <c r="FA288">
        <v>10000</v>
      </c>
      <c r="FB288">
        <v>10000</v>
      </c>
      <c r="FC288">
        <v>10000</v>
      </c>
      <c r="FD288">
        <v>10000</v>
      </c>
      <c r="FE288">
        <v>10000</v>
      </c>
      <c r="FF288">
        <v>10000</v>
      </c>
      <c r="FG288">
        <v>10000</v>
      </c>
      <c r="FH288">
        <v>10000</v>
      </c>
      <c r="FI288">
        <v>10000</v>
      </c>
      <c r="FJ288">
        <v>10000</v>
      </c>
      <c r="FK288">
        <v>10000</v>
      </c>
      <c r="FL288">
        <v>10000</v>
      </c>
      <c r="FM288">
        <v>10000</v>
      </c>
      <c r="FN288">
        <v>10000</v>
      </c>
      <c r="FO288">
        <v>10000</v>
      </c>
      <c r="FP288">
        <v>10000</v>
      </c>
      <c r="FQ288">
        <v>10000</v>
      </c>
      <c r="FR288">
        <v>10000</v>
      </c>
      <c r="FS288">
        <v>10000</v>
      </c>
      <c r="FT288">
        <v>10000</v>
      </c>
      <c r="FU288">
        <v>10000</v>
      </c>
      <c r="FV288">
        <v>10000</v>
      </c>
      <c r="FW288">
        <v>10000</v>
      </c>
      <c r="FX288">
        <v>10000</v>
      </c>
      <c r="FY288">
        <v>10000</v>
      </c>
      <c r="FZ288">
        <v>10000</v>
      </c>
      <c r="GA288">
        <v>10000</v>
      </c>
      <c r="GB288">
        <v>10000</v>
      </c>
      <c r="GC288">
        <v>10000</v>
      </c>
      <c r="GD288">
        <v>10000</v>
      </c>
      <c r="GE288">
        <v>10000</v>
      </c>
      <c r="GF288">
        <v>10000</v>
      </c>
      <c r="GG288">
        <v>10000</v>
      </c>
      <c r="GH288">
        <v>10000</v>
      </c>
      <c r="GI288">
        <v>10000</v>
      </c>
      <c r="GJ288">
        <v>10000</v>
      </c>
      <c r="GK288">
        <v>10000</v>
      </c>
      <c r="GL288">
        <v>10000</v>
      </c>
      <c r="GM288">
        <v>10000</v>
      </c>
      <c r="GN288">
        <v>10000</v>
      </c>
      <c r="GO288">
        <v>10000</v>
      </c>
      <c r="GP288">
        <v>10000</v>
      </c>
      <c r="GQ288">
        <v>10000</v>
      </c>
      <c r="GR288">
        <v>10000</v>
      </c>
      <c r="GS288">
        <v>0</v>
      </c>
      <c r="GT288">
        <v>0</v>
      </c>
      <c r="GU288">
        <v>0</v>
      </c>
      <c r="GV288">
        <v>0</v>
      </c>
      <c r="GW288">
        <v>0</v>
      </c>
      <c r="GX288">
        <v>0</v>
      </c>
      <c r="GY288">
        <v>0</v>
      </c>
      <c r="GZ288">
        <v>0</v>
      </c>
      <c r="HA288">
        <v>0</v>
      </c>
      <c r="HB288">
        <v>0</v>
      </c>
      <c r="HC288">
        <v>0</v>
      </c>
      <c r="HD288">
        <v>0</v>
      </c>
      <c r="HE288">
        <v>0</v>
      </c>
      <c r="HF288">
        <v>0</v>
      </c>
      <c r="HG288">
        <v>0</v>
      </c>
      <c r="HH288">
        <v>0</v>
      </c>
      <c r="HI288">
        <v>0</v>
      </c>
      <c r="HJ288">
        <v>0</v>
      </c>
      <c r="HK288">
        <v>0</v>
      </c>
      <c r="HL288">
        <v>0</v>
      </c>
      <c r="HM288">
        <v>0</v>
      </c>
      <c r="HN288">
        <v>0</v>
      </c>
      <c r="HO288">
        <v>0</v>
      </c>
      <c r="HP288">
        <v>0</v>
      </c>
      <c r="HQ288">
        <v>0</v>
      </c>
      <c r="HR288">
        <v>0</v>
      </c>
      <c r="HS288">
        <v>0</v>
      </c>
      <c r="HT288">
        <v>0</v>
      </c>
      <c r="HU288">
        <v>0</v>
      </c>
      <c r="HV288">
        <v>0</v>
      </c>
      <c r="HW288">
        <v>0</v>
      </c>
      <c r="HX288">
        <v>0</v>
      </c>
      <c r="HY288">
        <v>0</v>
      </c>
      <c r="HZ288">
        <v>0</v>
      </c>
      <c r="IA288">
        <v>0</v>
      </c>
      <c r="IB288">
        <v>0</v>
      </c>
      <c r="IC288">
        <v>0</v>
      </c>
      <c r="ID288">
        <v>0</v>
      </c>
      <c r="IE288">
        <v>0</v>
      </c>
      <c r="IF288">
        <v>0</v>
      </c>
      <c r="IG288">
        <v>0</v>
      </c>
      <c r="IH288">
        <v>0</v>
      </c>
      <c r="II288">
        <v>0</v>
      </c>
      <c r="IJ288">
        <v>0</v>
      </c>
      <c r="IK288">
        <v>0</v>
      </c>
    </row>
    <row r="289" spans="13:245" hidden="1">
      <c r="M289" s="343" t="s">
        <v>633</v>
      </c>
      <c r="N289" t="s">
        <v>1010</v>
      </c>
      <c r="O289">
        <v>2</v>
      </c>
      <c r="P289">
        <v>20</v>
      </c>
      <c r="Q289" s="184" t="str">
        <f t="shared" si="12"/>
        <v>SDJ200220</v>
      </c>
      <c r="R289">
        <v>365.7</v>
      </c>
      <c r="S289">
        <v>2000</v>
      </c>
      <c r="T289">
        <v>2000</v>
      </c>
      <c r="U289">
        <v>2000</v>
      </c>
      <c r="V289">
        <v>2000</v>
      </c>
      <c r="W289">
        <v>2194.1999999999998</v>
      </c>
      <c r="X289">
        <v>2559.9</v>
      </c>
      <c r="Y289">
        <v>2925.6</v>
      </c>
      <c r="Z289">
        <v>3291.3</v>
      </c>
      <c r="AA289">
        <v>3657</v>
      </c>
      <c r="AB289">
        <v>4022.7</v>
      </c>
      <c r="AC289">
        <v>4388.3999999999996</v>
      </c>
      <c r="AD289">
        <v>4754.1000000000004</v>
      </c>
      <c r="AE289">
        <v>5119.8</v>
      </c>
      <c r="AF289">
        <v>5485.5</v>
      </c>
      <c r="AG289">
        <v>5851.2</v>
      </c>
      <c r="AH289">
        <v>6216.9</v>
      </c>
      <c r="AI289">
        <v>6582.6</v>
      </c>
      <c r="AJ289">
        <v>6948.3</v>
      </c>
      <c r="AK289">
        <v>7314</v>
      </c>
      <c r="AL289">
        <v>7314</v>
      </c>
      <c r="AM289">
        <v>7314</v>
      </c>
      <c r="AN289">
        <v>7314</v>
      </c>
      <c r="AO289">
        <v>7314</v>
      </c>
      <c r="AP289">
        <v>7314</v>
      </c>
      <c r="AQ289">
        <v>7314</v>
      </c>
      <c r="AR289">
        <v>7314</v>
      </c>
      <c r="AS289">
        <v>7314</v>
      </c>
      <c r="AT289">
        <v>7314</v>
      </c>
      <c r="AU289">
        <v>7314</v>
      </c>
      <c r="AV289">
        <v>7314</v>
      </c>
      <c r="AW289">
        <v>7314</v>
      </c>
      <c r="AX289">
        <v>7314</v>
      </c>
      <c r="AY289">
        <v>7314</v>
      </c>
      <c r="AZ289">
        <v>7314</v>
      </c>
      <c r="BA289">
        <v>7314</v>
      </c>
      <c r="BB289">
        <v>7314</v>
      </c>
      <c r="BC289">
        <v>7314</v>
      </c>
      <c r="BD289">
        <v>7314</v>
      </c>
      <c r="BE289">
        <v>7314</v>
      </c>
      <c r="BF289">
        <v>7314</v>
      </c>
      <c r="BG289">
        <v>7314</v>
      </c>
      <c r="BH289">
        <v>7314</v>
      </c>
      <c r="BI289">
        <v>7314</v>
      </c>
      <c r="BJ289">
        <v>7314</v>
      </c>
      <c r="BK289">
        <v>7314</v>
      </c>
      <c r="BL289">
        <v>7314</v>
      </c>
      <c r="BM289">
        <v>7314</v>
      </c>
      <c r="BN289">
        <v>7314</v>
      </c>
      <c r="BO289">
        <v>7314</v>
      </c>
      <c r="BP289">
        <v>7314</v>
      </c>
      <c r="BQ289">
        <v>7314</v>
      </c>
      <c r="BR289">
        <v>7314</v>
      </c>
      <c r="BS289">
        <v>7314</v>
      </c>
      <c r="BT289">
        <v>7314</v>
      </c>
      <c r="BU289">
        <v>7314</v>
      </c>
      <c r="BV289">
        <v>7314</v>
      </c>
      <c r="BW289">
        <v>7314</v>
      </c>
      <c r="BX289">
        <v>7314</v>
      </c>
      <c r="BY289">
        <v>7314</v>
      </c>
      <c r="BZ289">
        <v>7314</v>
      </c>
      <c r="CA289">
        <v>7314</v>
      </c>
      <c r="CB289">
        <v>7314</v>
      </c>
      <c r="CC289">
        <v>7314</v>
      </c>
      <c r="CD289">
        <v>7314</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Z289" s="343" t="s">
        <v>633</v>
      </c>
      <c r="EA289" t="s">
        <v>1010</v>
      </c>
      <c r="EB289">
        <v>2</v>
      </c>
      <c r="EC289">
        <v>20</v>
      </c>
      <c r="ED289" s="184" t="str">
        <f t="shared" si="13"/>
        <v>SDJ200220</v>
      </c>
      <c r="EE289">
        <v>365.7</v>
      </c>
      <c r="EF289">
        <v>10000</v>
      </c>
      <c r="EG289">
        <v>10000</v>
      </c>
      <c r="EH289">
        <v>10000</v>
      </c>
      <c r="EI289">
        <v>10000</v>
      </c>
      <c r="EJ289">
        <v>10000</v>
      </c>
      <c r="EK289">
        <v>10000</v>
      </c>
      <c r="EL289">
        <v>10000</v>
      </c>
      <c r="EM289">
        <v>10000</v>
      </c>
      <c r="EN289">
        <v>10000</v>
      </c>
      <c r="EO289">
        <v>10000</v>
      </c>
      <c r="EP289">
        <v>10000</v>
      </c>
      <c r="EQ289">
        <v>10000</v>
      </c>
      <c r="ER289">
        <v>10000</v>
      </c>
      <c r="ES289">
        <v>10000</v>
      </c>
      <c r="ET289">
        <v>10000</v>
      </c>
      <c r="EU289">
        <v>10000</v>
      </c>
      <c r="EV289">
        <v>10000</v>
      </c>
      <c r="EW289">
        <v>10000</v>
      </c>
      <c r="EX289">
        <v>10000</v>
      </c>
      <c r="EY289">
        <v>10000</v>
      </c>
      <c r="EZ289">
        <v>10000</v>
      </c>
      <c r="FA289">
        <v>10000</v>
      </c>
      <c r="FB289">
        <v>10000</v>
      </c>
      <c r="FC289">
        <v>10000</v>
      </c>
      <c r="FD289">
        <v>10000</v>
      </c>
      <c r="FE289">
        <v>10000</v>
      </c>
      <c r="FF289">
        <v>10000</v>
      </c>
      <c r="FG289">
        <v>10000</v>
      </c>
      <c r="FH289">
        <v>10000</v>
      </c>
      <c r="FI289">
        <v>10000</v>
      </c>
      <c r="FJ289">
        <v>10000</v>
      </c>
      <c r="FK289">
        <v>10000</v>
      </c>
      <c r="FL289">
        <v>10000</v>
      </c>
      <c r="FM289">
        <v>10000</v>
      </c>
      <c r="FN289">
        <v>10000</v>
      </c>
      <c r="FO289">
        <v>10000</v>
      </c>
      <c r="FP289">
        <v>10000</v>
      </c>
      <c r="FQ289">
        <v>10000</v>
      </c>
      <c r="FR289">
        <v>10000</v>
      </c>
      <c r="FS289">
        <v>10000</v>
      </c>
      <c r="FT289">
        <v>10000</v>
      </c>
      <c r="FU289">
        <v>10000</v>
      </c>
      <c r="FV289">
        <v>10000</v>
      </c>
      <c r="FW289">
        <v>10000</v>
      </c>
      <c r="FX289">
        <v>10000</v>
      </c>
      <c r="FY289">
        <v>10000</v>
      </c>
      <c r="FZ289">
        <v>10000</v>
      </c>
      <c r="GA289">
        <v>10000</v>
      </c>
      <c r="GB289">
        <v>10000</v>
      </c>
      <c r="GC289">
        <v>10000</v>
      </c>
      <c r="GD289">
        <v>10000</v>
      </c>
      <c r="GE289">
        <v>10000</v>
      </c>
      <c r="GF289">
        <v>10000</v>
      </c>
      <c r="GG289">
        <v>10000</v>
      </c>
      <c r="GH289">
        <v>10000</v>
      </c>
      <c r="GI289">
        <v>10000</v>
      </c>
      <c r="GJ289">
        <v>10000</v>
      </c>
      <c r="GK289">
        <v>10000</v>
      </c>
      <c r="GL289">
        <v>10000</v>
      </c>
      <c r="GM289">
        <v>10000</v>
      </c>
      <c r="GN289">
        <v>10000</v>
      </c>
      <c r="GO289">
        <v>10000</v>
      </c>
      <c r="GP289">
        <v>10000</v>
      </c>
      <c r="GQ289">
        <v>10000</v>
      </c>
      <c r="GR289">
        <v>0</v>
      </c>
      <c r="GS289">
        <v>0</v>
      </c>
      <c r="GT289">
        <v>0</v>
      </c>
      <c r="GU289">
        <v>0</v>
      </c>
      <c r="GV289">
        <v>0</v>
      </c>
      <c r="GW289">
        <v>0</v>
      </c>
      <c r="GX289">
        <v>0</v>
      </c>
      <c r="GY289">
        <v>0</v>
      </c>
      <c r="GZ289">
        <v>0</v>
      </c>
      <c r="HA289">
        <v>0</v>
      </c>
      <c r="HB289">
        <v>0</v>
      </c>
      <c r="HC289">
        <v>0</v>
      </c>
      <c r="HD289">
        <v>0</v>
      </c>
      <c r="HE289">
        <v>0</v>
      </c>
      <c r="HF289">
        <v>0</v>
      </c>
      <c r="HG289">
        <v>0</v>
      </c>
      <c r="HH289">
        <v>0</v>
      </c>
      <c r="HI289">
        <v>0</v>
      </c>
      <c r="HJ289">
        <v>0</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0</v>
      </c>
      <c r="IH289">
        <v>0</v>
      </c>
      <c r="II289">
        <v>0</v>
      </c>
      <c r="IJ289">
        <v>0</v>
      </c>
      <c r="IK289">
        <v>0</v>
      </c>
    </row>
    <row r="290" spans="13:245" hidden="1">
      <c r="M290" s="343" t="s">
        <v>633</v>
      </c>
      <c r="N290" t="s">
        <v>1010</v>
      </c>
      <c r="O290">
        <v>2</v>
      </c>
      <c r="P290">
        <v>21</v>
      </c>
      <c r="Q290" s="184" t="str">
        <f t="shared" si="12"/>
        <v>SDJ200221</v>
      </c>
      <c r="R290">
        <v>373.1</v>
      </c>
      <c r="S290">
        <v>2000</v>
      </c>
      <c r="T290">
        <v>2000</v>
      </c>
      <c r="U290">
        <v>2000</v>
      </c>
      <c r="V290">
        <v>2000</v>
      </c>
      <c r="W290">
        <v>2238.6999999999998</v>
      </c>
      <c r="X290">
        <v>2611.8000000000002</v>
      </c>
      <c r="Y290">
        <v>2985</v>
      </c>
      <c r="Z290">
        <v>3358.1</v>
      </c>
      <c r="AA290">
        <v>3731.2</v>
      </c>
      <c r="AB290">
        <v>4104.3</v>
      </c>
      <c r="AC290">
        <v>4477.3999999999996</v>
      </c>
      <c r="AD290">
        <v>4850.6000000000004</v>
      </c>
      <c r="AE290">
        <v>5223.7</v>
      </c>
      <c r="AF290">
        <v>5596.8</v>
      </c>
      <c r="AG290">
        <v>5969.9</v>
      </c>
      <c r="AH290">
        <v>6343</v>
      </c>
      <c r="AI290">
        <v>6716.2</v>
      </c>
      <c r="AJ290">
        <v>7089.3</v>
      </c>
      <c r="AK290">
        <v>7462.4</v>
      </c>
      <c r="AL290">
        <v>7462.4</v>
      </c>
      <c r="AM290">
        <v>7462.4</v>
      </c>
      <c r="AN290">
        <v>7462.4</v>
      </c>
      <c r="AO290">
        <v>7462.4</v>
      </c>
      <c r="AP290">
        <v>7462.4</v>
      </c>
      <c r="AQ290">
        <v>7462.4</v>
      </c>
      <c r="AR290">
        <v>7462.4</v>
      </c>
      <c r="AS290">
        <v>7462.4</v>
      </c>
      <c r="AT290">
        <v>7462.4</v>
      </c>
      <c r="AU290">
        <v>7462.4</v>
      </c>
      <c r="AV290">
        <v>7462.4</v>
      </c>
      <c r="AW290">
        <v>7462.4</v>
      </c>
      <c r="AX290">
        <v>7462.4</v>
      </c>
      <c r="AY290">
        <v>7462.4</v>
      </c>
      <c r="AZ290">
        <v>7462.4</v>
      </c>
      <c r="BA290">
        <v>7462.4</v>
      </c>
      <c r="BB290">
        <v>7462.4</v>
      </c>
      <c r="BC290">
        <v>7462.4</v>
      </c>
      <c r="BD290">
        <v>7462.4</v>
      </c>
      <c r="BE290">
        <v>7462.4</v>
      </c>
      <c r="BF290">
        <v>7462.4</v>
      </c>
      <c r="BG290">
        <v>7462.4</v>
      </c>
      <c r="BH290">
        <v>7462.4</v>
      </c>
      <c r="BI290">
        <v>7462.4</v>
      </c>
      <c r="BJ290">
        <v>7462.4</v>
      </c>
      <c r="BK290">
        <v>7462.4</v>
      </c>
      <c r="BL290">
        <v>7462.4</v>
      </c>
      <c r="BM290">
        <v>7462.4</v>
      </c>
      <c r="BN290">
        <v>7462.4</v>
      </c>
      <c r="BO290">
        <v>7462.4</v>
      </c>
      <c r="BP290">
        <v>7462.4</v>
      </c>
      <c r="BQ290">
        <v>7462.4</v>
      </c>
      <c r="BR290">
        <v>7462.4</v>
      </c>
      <c r="BS290">
        <v>7462.4</v>
      </c>
      <c r="BT290">
        <v>7462.4</v>
      </c>
      <c r="BU290">
        <v>7462.4</v>
      </c>
      <c r="BV290">
        <v>7462.4</v>
      </c>
      <c r="BW290">
        <v>7462.4</v>
      </c>
      <c r="BX290">
        <v>7462.4</v>
      </c>
      <c r="BY290">
        <v>7462.4</v>
      </c>
      <c r="BZ290">
        <v>7462.4</v>
      </c>
      <c r="CA290">
        <v>7462.4</v>
      </c>
      <c r="CB290">
        <v>7462.4</v>
      </c>
      <c r="CC290">
        <v>7462.4</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Z290" s="343" t="s">
        <v>633</v>
      </c>
      <c r="EA290" t="s">
        <v>1010</v>
      </c>
      <c r="EB290">
        <v>2</v>
      </c>
      <c r="EC290">
        <v>21</v>
      </c>
      <c r="ED290" s="184" t="str">
        <f t="shared" si="13"/>
        <v>SDJ200221</v>
      </c>
      <c r="EE290">
        <v>373.1</v>
      </c>
      <c r="EF290">
        <v>10000</v>
      </c>
      <c r="EG290">
        <v>10000</v>
      </c>
      <c r="EH290">
        <v>10000</v>
      </c>
      <c r="EI290">
        <v>10000</v>
      </c>
      <c r="EJ290">
        <v>10000</v>
      </c>
      <c r="EK290">
        <v>10000</v>
      </c>
      <c r="EL290">
        <v>10000</v>
      </c>
      <c r="EM290">
        <v>10000</v>
      </c>
      <c r="EN290">
        <v>10000</v>
      </c>
      <c r="EO290">
        <v>10000</v>
      </c>
      <c r="EP290">
        <v>10000</v>
      </c>
      <c r="EQ290">
        <v>10000</v>
      </c>
      <c r="ER290">
        <v>10000</v>
      </c>
      <c r="ES290">
        <v>10000</v>
      </c>
      <c r="ET290">
        <v>10000</v>
      </c>
      <c r="EU290">
        <v>10000</v>
      </c>
      <c r="EV290">
        <v>10000</v>
      </c>
      <c r="EW290">
        <v>10000</v>
      </c>
      <c r="EX290">
        <v>10000</v>
      </c>
      <c r="EY290">
        <v>10000</v>
      </c>
      <c r="EZ290">
        <v>10000</v>
      </c>
      <c r="FA290">
        <v>10000</v>
      </c>
      <c r="FB290">
        <v>10000</v>
      </c>
      <c r="FC290">
        <v>10000</v>
      </c>
      <c r="FD290">
        <v>10000</v>
      </c>
      <c r="FE290">
        <v>10000</v>
      </c>
      <c r="FF290">
        <v>10000</v>
      </c>
      <c r="FG290">
        <v>10000</v>
      </c>
      <c r="FH290">
        <v>10000</v>
      </c>
      <c r="FI290">
        <v>10000</v>
      </c>
      <c r="FJ290">
        <v>10000</v>
      </c>
      <c r="FK290">
        <v>10000</v>
      </c>
      <c r="FL290">
        <v>10000</v>
      </c>
      <c r="FM290">
        <v>10000</v>
      </c>
      <c r="FN290">
        <v>10000</v>
      </c>
      <c r="FO290">
        <v>10000</v>
      </c>
      <c r="FP290">
        <v>10000</v>
      </c>
      <c r="FQ290">
        <v>10000</v>
      </c>
      <c r="FR290">
        <v>10000</v>
      </c>
      <c r="FS290">
        <v>10000</v>
      </c>
      <c r="FT290">
        <v>10000</v>
      </c>
      <c r="FU290">
        <v>10000</v>
      </c>
      <c r="FV290">
        <v>10000</v>
      </c>
      <c r="FW290">
        <v>10000</v>
      </c>
      <c r="FX290">
        <v>10000</v>
      </c>
      <c r="FY290">
        <v>10000</v>
      </c>
      <c r="FZ290">
        <v>10000</v>
      </c>
      <c r="GA290">
        <v>10000</v>
      </c>
      <c r="GB290">
        <v>10000</v>
      </c>
      <c r="GC290">
        <v>10000</v>
      </c>
      <c r="GD290">
        <v>10000</v>
      </c>
      <c r="GE290">
        <v>10000</v>
      </c>
      <c r="GF290">
        <v>10000</v>
      </c>
      <c r="GG290">
        <v>10000</v>
      </c>
      <c r="GH290">
        <v>10000</v>
      </c>
      <c r="GI290">
        <v>10000</v>
      </c>
      <c r="GJ290">
        <v>10000</v>
      </c>
      <c r="GK290">
        <v>10000</v>
      </c>
      <c r="GL290">
        <v>10000</v>
      </c>
      <c r="GM290">
        <v>10000</v>
      </c>
      <c r="GN290">
        <v>10000</v>
      </c>
      <c r="GO290">
        <v>10000</v>
      </c>
      <c r="GP290">
        <v>10000</v>
      </c>
      <c r="GQ290">
        <v>0</v>
      </c>
      <c r="GR290">
        <v>0</v>
      </c>
      <c r="GS290">
        <v>0</v>
      </c>
      <c r="GT290">
        <v>0</v>
      </c>
      <c r="GU290">
        <v>0</v>
      </c>
      <c r="GV290">
        <v>0</v>
      </c>
      <c r="GW290">
        <v>0</v>
      </c>
      <c r="GX290">
        <v>0</v>
      </c>
      <c r="GY290">
        <v>0</v>
      </c>
      <c r="GZ290">
        <v>0</v>
      </c>
      <c r="HA290">
        <v>0</v>
      </c>
      <c r="HB290">
        <v>0</v>
      </c>
      <c r="HC290">
        <v>0</v>
      </c>
      <c r="HD290">
        <v>0</v>
      </c>
      <c r="HE290">
        <v>0</v>
      </c>
      <c r="HF290">
        <v>0</v>
      </c>
      <c r="HG290">
        <v>0</v>
      </c>
      <c r="HH290">
        <v>0</v>
      </c>
      <c r="HI290">
        <v>0</v>
      </c>
      <c r="HJ290">
        <v>0</v>
      </c>
      <c r="HK290">
        <v>0</v>
      </c>
      <c r="HL290">
        <v>0</v>
      </c>
      <c r="HM290">
        <v>0</v>
      </c>
      <c r="HN290">
        <v>0</v>
      </c>
      <c r="HO290">
        <v>0</v>
      </c>
      <c r="HP290">
        <v>0</v>
      </c>
      <c r="HQ290">
        <v>0</v>
      </c>
      <c r="HR290">
        <v>0</v>
      </c>
      <c r="HS290">
        <v>0</v>
      </c>
      <c r="HT290">
        <v>0</v>
      </c>
      <c r="HU290">
        <v>0</v>
      </c>
      <c r="HV290">
        <v>0</v>
      </c>
      <c r="HW290">
        <v>0</v>
      </c>
      <c r="HX290">
        <v>0</v>
      </c>
      <c r="HY290">
        <v>0</v>
      </c>
      <c r="HZ290">
        <v>0</v>
      </c>
      <c r="IA290">
        <v>0</v>
      </c>
      <c r="IB290">
        <v>0</v>
      </c>
      <c r="IC290">
        <v>0</v>
      </c>
      <c r="ID290">
        <v>0</v>
      </c>
      <c r="IE290">
        <v>0</v>
      </c>
      <c r="IF290">
        <v>0</v>
      </c>
      <c r="IG290">
        <v>0</v>
      </c>
      <c r="IH290">
        <v>0</v>
      </c>
      <c r="II290">
        <v>0</v>
      </c>
      <c r="IJ290">
        <v>0</v>
      </c>
      <c r="IK290">
        <v>0</v>
      </c>
    </row>
    <row r="291" spans="13:245" hidden="1">
      <c r="M291" s="343" t="s">
        <v>633</v>
      </c>
      <c r="N291" t="s">
        <v>1010</v>
      </c>
      <c r="O291">
        <v>2</v>
      </c>
      <c r="P291">
        <v>22</v>
      </c>
      <c r="Q291" s="184" t="str">
        <f t="shared" si="12"/>
        <v>SDJ200222</v>
      </c>
      <c r="R291">
        <v>380.5</v>
      </c>
      <c r="S291">
        <v>2000</v>
      </c>
      <c r="T291">
        <v>2000</v>
      </c>
      <c r="U291">
        <v>2000</v>
      </c>
      <c r="V291">
        <v>2000</v>
      </c>
      <c r="W291">
        <v>2283.1999999999998</v>
      </c>
      <c r="X291">
        <v>2663.8</v>
      </c>
      <c r="Y291">
        <v>3044.3</v>
      </c>
      <c r="Z291">
        <v>3424.9</v>
      </c>
      <c r="AA291">
        <v>3805.4</v>
      </c>
      <c r="AB291">
        <v>4185.8999999999996</v>
      </c>
      <c r="AC291">
        <v>4566.5</v>
      </c>
      <c r="AD291">
        <v>4947</v>
      </c>
      <c r="AE291">
        <v>5327.6</v>
      </c>
      <c r="AF291">
        <v>5708.1</v>
      </c>
      <c r="AG291">
        <v>6088.6</v>
      </c>
      <c r="AH291">
        <v>6469.2</v>
      </c>
      <c r="AI291">
        <v>6849.7</v>
      </c>
      <c r="AJ291">
        <v>7230.3</v>
      </c>
      <c r="AK291">
        <v>7610.8</v>
      </c>
      <c r="AL291">
        <v>7610.8</v>
      </c>
      <c r="AM291">
        <v>7610.8</v>
      </c>
      <c r="AN291">
        <v>7610.8</v>
      </c>
      <c r="AO291">
        <v>7610.8</v>
      </c>
      <c r="AP291">
        <v>7610.8</v>
      </c>
      <c r="AQ291">
        <v>7610.8</v>
      </c>
      <c r="AR291">
        <v>7610.8</v>
      </c>
      <c r="AS291">
        <v>7610.8</v>
      </c>
      <c r="AT291">
        <v>7610.8</v>
      </c>
      <c r="AU291">
        <v>7610.8</v>
      </c>
      <c r="AV291">
        <v>7610.8</v>
      </c>
      <c r="AW291">
        <v>7610.8</v>
      </c>
      <c r="AX291">
        <v>7610.8</v>
      </c>
      <c r="AY291">
        <v>7610.8</v>
      </c>
      <c r="AZ291">
        <v>7610.8</v>
      </c>
      <c r="BA291">
        <v>7610.8</v>
      </c>
      <c r="BB291">
        <v>7610.8</v>
      </c>
      <c r="BC291">
        <v>7610.8</v>
      </c>
      <c r="BD291">
        <v>7610.8</v>
      </c>
      <c r="BE291">
        <v>7610.8</v>
      </c>
      <c r="BF291">
        <v>7610.8</v>
      </c>
      <c r="BG291">
        <v>7610.8</v>
      </c>
      <c r="BH291">
        <v>7610.8</v>
      </c>
      <c r="BI291">
        <v>7610.8</v>
      </c>
      <c r="BJ291">
        <v>7610.8</v>
      </c>
      <c r="BK291">
        <v>7610.8</v>
      </c>
      <c r="BL291">
        <v>7610.8</v>
      </c>
      <c r="BM291">
        <v>7610.8</v>
      </c>
      <c r="BN291">
        <v>7610.8</v>
      </c>
      <c r="BO291">
        <v>7610.8</v>
      </c>
      <c r="BP291">
        <v>7610.8</v>
      </c>
      <c r="BQ291">
        <v>7610.8</v>
      </c>
      <c r="BR291">
        <v>7610.8</v>
      </c>
      <c r="BS291">
        <v>7610.8</v>
      </c>
      <c r="BT291">
        <v>7610.8</v>
      </c>
      <c r="BU291">
        <v>7610.8</v>
      </c>
      <c r="BV291">
        <v>7610.8</v>
      </c>
      <c r="BW291">
        <v>7610.8</v>
      </c>
      <c r="BX291">
        <v>7610.8</v>
      </c>
      <c r="BY291">
        <v>7610.8</v>
      </c>
      <c r="BZ291">
        <v>7610.8</v>
      </c>
      <c r="CA291">
        <v>7610.8</v>
      </c>
      <c r="CB291">
        <v>7610.8</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Z291" s="343" t="s">
        <v>633</v>
      </c>
      <c r="EA291" t="s">
        <v>1010</v>
      </c>
      <c r="EB291">
        <v>2</v>
      </c>
      <c r="EC291">
        <v>22</v>
      </c>
      <c r="ED291" s="184" t="str">
        <f t="shared" si="13"/>
        <v>SDJ200222</v>
      </c>
      <c r="EE291">
        <v>380.5</v>
      </c>
      <c r="EF291">
        <v>10000</v>
      </c>
      <c r="EG291">
        <v>10000</v>
      </c>
      <c r="EH291">
        <v>10000</v>
      </c>
      <c r="EI291">
        <v>10000</v>
      </c>
      <c r="EJ291">
        <v>10000</v>
      </c>
      <c r="EK291">
        <v>10000</v>
      </c>
      <c r="EL291">
        <v>10000</v>
      </c>
      <c r="EM291">
        <v>10000</v>
      </c>
      <c r="EN291">
        <v>10000</v>
      </c>
      <c r="EO291">
        <v>10000</v>
      </c>
      <c r="EP291">
        <v>10000</v>
      </c>
      <c r="EQ291">
        <v>10000</v>
      </c>
      <c r="ER291">
        <v>10000</v>
      </c>
      <c r="ES291">
        <v>10000</v>
      </c>
      <c r="ET291">
        <v>10000</v>
      </c>
      <c r="EU291">
        <v>10000</v>
      </c>
      <c r="EV291">
        <v>10000</v>
      </c>
      <c r="EW291">
        <v>10000</v>
      </c>
      <c r="EX291">
        <v>10000</v>
      </c>
      <c r="EY291">
        <v>10000</v>
      </c>
      <c r="EZ291">
        <v>10000</v>
      </c>
      <c r="FA291">
        <v>10000</v>
      </c>
      <c r="FB291">
        <v>10000</v>
      </c>
      <c r="FC291">
        <v>10000</v>
      </c>
      <c r="FD291">
        <v>10000</v>
      </c>
      <c r="FE291">
        <v>10000</v>
      </c>
      <c r="FF291">
        <v>10000</v>
      </c>
      <c r="FG291">
        <v>10000</v>
      </c>
      <c r="FH291">
        <v>10000</v>
      </c>
      <c r="FI291">
        <v>10000</v>
      </c>
      <c r="FJ291">
        <v>10000</v>
      </c>
      <c r="FK291">
        <v>10000</v>
      </c>
      <c r="FL291">
        <v>10000</v>
      </c>
      <c r="FM291">
        <v>10000</v>
      </c>
      <c r="FN291">
        <v>10000</v>
      </c>
      <c r="FO291">
        <v>10000</v>
      </c>
      <c r="FP291">
        <v>10000</v>
      </c>
      <c r="FQ291">
        <v>10000</v>
      </c>
      <c r="FR291">
        <v>10000</v>
      </c>
      <c r="FS291">
        <v>10000</v>
      </c>
      <c r="FT291">
        <v>10000</v>
      </c>
      <c r="FU291">
        <v>10000</v>
      </c>
      <c r="FV291">
        <v>10000</v>
      </c>
      <c r="FW291">
        <v>10000</v>
      </c>
      <c r="FX291">
        <v>10000</v>
      </c>
      <c r="FY291">
        <v>10000</v>
      </c>
      <c r="FZ291">
        <v>10000</v>
      </c>
      <c r="GA291">
        <v>10000</v>
      </c>
      <c r="GB291">
        <v>10000</v>
      </c>
      <c r="GC291">
        <v>10000</v>
      </c>
      <c r="GD291">
        <v>10000</v>
      </c>
      <c r="GE291">
        <v>10000</v>
      </c>
      <c r="GF291">
        <v>10000</v>
      </c>
      <c r="GG291">
        <v>10000</v>
      </c>
      <c r="GH291">
        <v>10000</v>
      </c>
      <c r="GI291">
        <v>10000</v>
      </c>
      <c r="GJ291">
        <v>10000</v>
      </c>
      <c r="GK291">
        <v>10000</v>
      </c>
      <c r="GL291">
        <v>10000</v>
      </c>
      <c r="GM291">
        <v>10000</v>
      </c>
      <c r="GN291">
        <v>10000</v>
      </c>
      <c r="GO291">
        <v>10000</v>
      </c>
      <c r="GP291">
        <v>0</v>
      </c>
      <c r="GQ291">
        <v>0</v>
      </c>
      <c r="GR291">
        <v>0</v>
      </c>
      <c r="GS291">
        <v>0</v>
      </c>
      <c r="GT291">
        <v>0</v>
      </c>
      <c r="GU291">
        <v>0</v>
      </c>
      <c r="GV291">
        <v>0</v>
      </c>
      <c r="GW291">
        <v>0</v>
      </c>
      <c r="GX291">
        <v>0</v>
      </c>
      <c r="GY291">
        <v>0</v>
      </c>
      <c r="GZ291">
        <v>0</v>
      </c>
      <c r="HA291">
        <v>0</v>
      </c>
      <c r="HB291">
        <v>0</v>
      </c>
      <c r="HC291">
        <v>0</v>
      </c>
      <c r="HD291">
        <v>0</v>
      </c>
      <c r="HE291">
        <v>0</v>
      </c>
      <c r="HF291">
        <v>0</v>
      </c>
      <c r="HG291">
        <v>0</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0</v>
      </c>
    </row>
    <row r="292" spans="13:245" hidden="1">
      <c r="M292" s="343" t="s">
        <v>633</v>
      </c>
      <c r="N292" t="s">
        <v>1010</v>
      </c>
      <c r="O292">
        <v>2</v>
      </c>
      <c r="P292">
        <v>23</v>
      </c>
      <c r="Q292" s="184" t="str">
        <f t="shared" si="12"/>
        <v>SDJ200223</v>
      </c>
      <c r="R292">
        <v>388</v>
      </c>
      <c r="S292">
        <v>2000</v>
      </c>
      <c r="T292">
        <v>2000</v>
      </c>
      <c r="U292">
        <v>2000</v>
      </c>
      <c r="V292">
        <v>2000</v>
      </c>
      <c r="W292">
        <v>2327.8000000000002</v>
      </c>
      <c r="X292">
        <v>2715.7</v>
      </c>
      <c r="Y292">
        <v>3103.7</v>
      </c>
      <c r="Z292">
        <v>3491.6</v>
      </c>
      <c r="AA292">
        <v>3879.6</v>
      </c>
      <c r="AB292">
        <v>4267.6000000000004</v>
      </c>
      <c r="AC292">
        <v>4655.5</v>
      </c>
      <c r="AD292">
        <v>5043.5</v>
      </c>
      <c r="AE292">
        <v>5431.4</v>
      </c>
      <c r="AF292">
        <v>5819.4</v>
      </c>
      <c r="AG292">
        <v>6207.4</v>
      </c>
      <c r="AH292">
        <v>6595.3</v>
      </c>
      <c r="AI292">
        <v>6983.3</v>
      </c>
      <c r="AJ292">
        <v>7371.2</v>
      </c>
      <c r="AK292">
        <v>7759.2</v>
      </c>
      <c r="AL292">
        <v>7759.2</v>
      </c>
      <c r="AM292">
        <v>7759.2</v>
      </c>
      <c r="AN292">
        <v>7759.2</v>
      </c>
      <c r="AO292">
        <v>7759.2</v>
      </c>
      <c r="AP292">
        <v>7759.2</v>
      </c>
      <c r="AQ292">
        <v>7759.2</v>
      </c>
      <c r="AR292">
        <v>7759.2</v>
      </c>
      <c r="AS292">
        <v>7759.2</v>
      </c>
      <c r="AT292">
        <v>7759.2</v>
      </c>
      <c r="AU292">
        <v>7759.2</v>
      </c>
      <c r="AV292">
        <v>7759.2</v>
      </c>
      <c r="AW292">
        <v>7759.2</v>
      </c>
      <c r="AX292">
        <v>7759.2</v>
      </c>
      <c r="AY292">
        <v>7759.2</v>
      </c>
      <c r="AZ292">
        <v>7759.2</v>
      </c>
      <c r="BA292">
        <v>7759.2</v>
      </c>
      <c r="BB292">
        <v>7759.2</v>
      </c>
      <c r="BC292">
        <v>7759.2</v>
      </c>
      <c r="BD292">
        <v>7759.2</v>
      </c>
      <c r="BE292">
        <v>7759.2</v>
      </c>
      <c r="BF292">
        <v>7759.2</v>
      </c>
      <c r="BG292">
        <v>7759.2</v>
      </c>
      <c r="BH292">
        <v>7759.2</v>
      </c>
      <c r="BI292">
        <v>7759.2</v>
      </c>
      <c r="BJ292">
        <v>7759.2</v>
      </c>
      <c r="BK292">
        <v>7759.2</v>
      </c>
      <c r="BL292">
        <v>7759.2</v>
      </c>
      <c r="BM292">
        <v>7759.2</v>
      </c>
      <c r="BN292">
        <v>7759.2</v>
      </c>
      <c r="BO292">
        <v>7759.2</v>
      </c>
      <c r="BP292">
        <v>7759.2</v>
      </c>
      <c r="BQ292">
        <v>7759.2</v>
      </c>
      <c r="BR292">
        <v>7759.2</v>
      </c>
      <c r="BS292">
        <v>7759.2</v>
      </c>
      <c r="BT292">
        <v>7759.2</v>
      </c>
      <c r="BU292">
        <v>7759.2</v>
      </c>
      <c r="BV292">
        <v>7759.2</v>
      </c>
      <c r="BW292">
        <v>7759.2</v>
      </c>
      <c r="BX292">
        <v>7759.2</v>
      </c>
      <c r="BY292">
        <v>7759.2</v>
      </c>
      <c r="BZ292">
        <v>7759.2</v>
      </c>
      <c r="CA292">
        <v>7759.2</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Z292" s="343" t="s">
        <v>633</v>
      </c>
      <c r="EA292" t="s">
        <v>1010</v>
      </c>
      <c r="EB292">
        <v>2</v>
      </c>
      <c r="EC292">
        <v>23</v>
      </c>
      <c r="ED292" s="184" t="str">
        <f t="shared" si="13"/>
        <v>SDJ200223</v>
      </c>
      <c r="EE292">
        <v>388</v>
      </c>
      <c r="EF292">
        <v>10000</v>
      </c>
      <c r="EG292">
        <v>10000</v>
      </c>
      <c r="EH292">
        <v>10000</v>
      </c>
      <c r="EI292">
        <v>10000</v>
      </c>
      <c r="EJ292">
        <v>10000</v>
      </c>
      <c r="EK292">
        <v>10000</v>
      </c>
      <c r="EL292">
        <v>10000</v>
      </c>
      <c r="EM292">
        <v>10000</v>
      </c>
      <c r="EN292">
        <v>10000</v>
      </c>
      <c r="EO292">
        <v>10000</v>
      </c>
      <c r="EP292">
        <v>10000</v>
      </c>
      <c r="EQ292">
        <v>10000</v>
      </c>
      <c r="ER292">
        <v>10000</v>
      </c>
      <c r="ES292">
        <v>10000</v>
      </c>
      <c r="ET292">
        <v>10000</v>
      </c>
      <c r="EU292">
        <v>10000</v>
      </c>
      <c r="EV292">
        <v>10000</v>
      </c>
      <c r="EW292">
        <v>10000</v>
      </c>
      <c r="EX292">
        <v>10000</v>
      </c>
      <c r="EY292">
        <v>10000</v>
      </c>
      <c r="EZ292">
        <v>10000</v>
      </c>
      <c r="FA292">
        <v>10000</v>
      </c>
      <c r="FB292">
        <v>10000</v>
      </c>
      <c r="FC292">
        <v>10000</v>
      </c>
      <c r="FD292">
        <v>10000</v>
      </c>
      <c r="FE292">
        <v>10000</v>
      </c>
      <c r="FF292">
        <v>10000</v>
      </c>
      <c r="FG292">
        <v>10000</v>
      </c>
      <c r="FH292">
        <v>10000</v>
      </c>
      <c r="FI292">
        <v>10000</v>
      </c>
      <c r="FJ292">
        <v>10000</v>
      </c>
      <c r="FK292">
        <v>10000</v>
      </c>
      <c r="FL292">
        <v>10000</v>
      </c>
      <c r="FM292">
        <v>10000</v>
      </c>
      <c r="FN292">
        <v>10000</v>
      </c>
      <c r="FO292">
        <v>10000</v>
      </c>
      <c r="FP292">
        <v>10000</v>
      </c>
      <c r="FQ292">
        <v>10000</v>
      </c>
      <c r="FR292">
        <v>10000</v>
      </c>
      <c r="FS292">
        <v>10000</v>
      </c>
      <c r="FT292">
        <v>10000</v>
      </c>
      <c r="FU292">
        <v>10000</v>
      </c>
      <c r="FV292">
        <v>10000</v>
      </c>
      <c r="FW292">
        <v>10000</v>
      </c>
      <c r="FX292">
        <v>10000</v>
      </c>
      <c r="FY292">
        <v>10000</v>
      </c>
      <c r="FZ292">
        <v>10000</v>
      </c>
      <c r="GA292">
        <v>10000</v>
      </c>
      <c r="GB292">
        <v>10000</v>
      </c>
      <c r="GC292">
        <v>10000</v>
      </c>
      <c r="GD292">
        <v>10000</v>
      </c>
      <c r="GE292">
        <v>10000</v>
      </c>
      <c r="GF292">
        <v>10000</v>
      </c>
      <c r="GG292">
        <v>10000</v>
      </c>
      <c r="GH292">
        <v>10000</v>
      </c>
      <c r="GI292">
        <v>10000</v>
      </c>
      <c r="GJ292">
        <v>10000</v>
      </c>
      <c r="GK292">
        <v>10000</v>
      </c>
      <c r="GL292">
        <v>10000</v>
      </c>
      <c r="GM292">
        <v>10000</v>
      </c>
      <c r="GN292">
        <v>10000</v>
      </c>
      <c r="GO292">
        <v>0</v>
      </c>
      <c r="GP292">
        <v>0</v>
      </c>
      <c r="GQ292">
        <v>0</v>
      </c>
      <c r="GR292">
        <v>0</v>
      </c>
      <c r="GS292">
        <v>0</v>
      </c>
      <c r="GT292">
        <v>0</v>
      </c>
      <c r="GU292">
        <v>0</v>
      </c>
      <c r="GV292">
        <v>0</v>
      </c>
      <c r="GW292">
        <v>0</v>
      </c>
      <c r="GX292">
        <v>0</v>
      </c>
      <c r="GY292">
        <v>0</v>
      </c>
      <c r="GZ292">
        <v>0</v>
      </c>
      <c r="HA292">
        <v>0</v>
      </c>
      <c r="HB292">
        <v>0</v>
      </c>
      <c r="HC292">
        <v>0</v>
      </c>
      <c r="HD292">
        <v>0</v>
      </c>
      <c r="HE292">
        <v>0</v>
      </c>
      <c r="HF292">
        <v>0</v>
      </c>
      <c r="HG292">
        <v>0</v>
      </c>
      <c r="HH292">
        <v>0</v>
      </c>
      <c r="HI292">
        <v>0</v>
      </c>
      <c r="HJ292">
        <v>0</v>
      </c>
      <c r="HK292">
        <v>0</v>
      </c>
      <c r="HL292">
        <v>0</v>
      </c>
      <c r="HM292">
        <v>0</v>
      </c>
      <c r="HN292">
        <v>0</v>
      </c>
      <c r="HO292">
        <v>0</v>
      </c>
      <c r="HP292">
        <v>0</v>
      </c>
      <c r="HQ292">
        <v>0</v>
      </c>
      <c r="HR292">
        <v>0</v>
      </c>
      <c r="HS292">
        <v>0</v>
      </c>
      <c r="HT292">
        <v>0</v>
      </c>
      <c r="HU292">
        <v>0</v>
      </c>
      <c r="HV292">
        <v>0</v>
      </c>
      <c r="HW292">
        <v>0</v>
      </c>
      <c r="HX292">
        <v>0</v>
      </c>
      <c r="HY292">
        <v>0</v>
      </c>
      <c r="HZ292">
        <v>0</v>
      </c>
      <c r="IA292">
        <v>0</v>
      </c>
      <c r="IB292">
        <v>0</v>
      </c>
      <c r="IC292">
        <v>0</v>
      </c>
      <c r="ID292">
        <v>0</v>
      </c>
      <c r="IE292">
        <v>0</v>
      </c>
      <c r="IF292">
        <v>0</v>
      </c>
      <c r="IG292">
        <v>0</v>
      </c>
      <c r="IH292">
        <v>0</v>
      </c>
      <c r="II292">
        <v>0</v>
      </c>
      <c r="IJ292">
        <v>0</v>
      </c>
      <c r="IK292">
        <v>0</v>
      </c>
    </row>
    <row r="293" spans="13:245" hidden="1">
      <c r="M293" s="343" t="s">
        <v>633</v>
      </c>
      <c r="N293" t="s">
        <v>1010</v>
      </c>
      <c r="O293">
        <v>2</v>
      </c>
      <c r="P293">
        <v>24</v>
      </c>
      <c r="Q293" s="184" t="str">
        <f t="shared" si="12"/>
        <v>SDJ200224</v>
      </c>
      <c r="R293">
        <v>395.4</v>
      </c>
      <c r="S293">
        <v>2000</v>
      </c>
      <c r="T293">
        <v>2000</v>
      </c>
      <c r="U293">
        <v>2000</v>
      </c>
      <c r="V293">
        <v>2000</v>
      </c>
      <c r="W293">
        <v>2372.3000000000002</v>
      </c>
      <c r="X293">
        <v>2767.7</v>
      </c>
      <c r="Y293">
        <v>3163</v>
      </c>
      <c r="Z293">
        <v>3558.4</v>
      </c>
      <c r="AA293">
        <v>3953.8</v>
      </c>
      <c r="AB293">
        <v>4349.2</v>
      </c>
      <c r="AC293">
        <v>4744.6000000000004</v>
      </c>
      <c r="AD293">
        <v>5139.8999999999996</v>
      </c>
      <c r="AE293">
        <v>5535.3</v>
      </c>
      <c r="AF293">
        <v>5930.7</v>
      </c>
      <c r="AG293">
        <v>6326.1</v>
      </c>
      <c r="AH293">
        <v>6721.5</v>
      </c>
      <c r="AI293">
        <v>7116.8</v>
      </c>
      <c r="AJ293">
        <v>7512.2</v>
      </c>
      <c r="AK293">
        <v>7907.6</v>
      </c>
      <c r="AL293">
        <v>7907.6</v>
      </c>
      <c r="AM293">
        <v>7907.6</v>
      </c>
      <c r="AN293">
        <v>7907.6</v>
      </c>
      <c r="AO293">
        <v>7907.6</v>
      </c>
      <c r="AP293">
        <v>7907.6</v>
      </c>
      <c r="AQ293">
        <v>7907.6</v>
      </c>
      <c r="AR293">
        <v>7907.6</v>
      </c>
      <c r="AS293">
        <v>7907.6</v>
      </c>
      <c r="AT293">
        <v>7907.6</v>
      </c>
      <c r="AU293">
        <v>7907.6</v>
      </c>
      <c r="AV293">
        <v>7907.6</v>
      </c>
      <c r="AW293">
        <v>7907.6</v>
      </c>
      <c r="AX293">
        <v>7907.6</v>
      </c>
      <c r="AY293">
        <v>7907.6</v>
      </c>
      <c r="AZ293">
        <v>7907.6</v>
      </c>
      <c r="BA293">
        <v>7907.6</v>
      </c>
      <c r="BB293">
        <v>7907.6</v>
      </c>
      <c r="BC293">
        <v>7907.6</v>
      </c>
      <c r="BD293">
        <v>7907.6</v>
      </c>
      <c r="BE293">
        <v>7907.6</v>
      </c>
      <c r="BF293">
        <v>7907.6</v>
      </c>
      <c r="BG293">
        <v>7907.6</v>
      </c>
      <c r="BH293">
        <v>7907.6</v>
      </c>
      <c r="BI293">
        <v>7907.6</v>
      </c>
      <c r="BJ293">
        <v>7907.6</v>
      </c>
      <c r="BK293">
        <v>7907.6</v>
      </c>
      <c r="BL293">
        <v>7907.6</v>
      </c>
      <c r="BM293">
        <v>7907.6</v>
      </c>
      <c r="BN293">
        <v>7907.6</v>
      </c>
      <c r="BO293">
        <v>7907.6</v>
      </c>
      <c r="BP293">
        <v>7907.6</v>
      </c>
      <c r="BQ293">
        <v>7907.6</v>
      </c>
      <c r="BR293">
        <v>7907.6</v>
      </c>
      <c r="BS293">
        <v>7907.6</v>
      </c>
      <c r="BT293">
        <v>7907.6</v>
      </c>
      <c r="BU293">
        <v>7907.6</v>
      </c>
      <c r="BV293">
        <v>7907.6</v>
      </c>
      <c r="BW293">
        <v>7907.6</v>
      </c>
      <c r="BX293">
        <v>7907.6</v>
      </c>
      <c r="BY293">
        <v>7907.6</v>
      </c>
      <c r="BZ293">
        <v>7907.6</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Z293" s="343" t="s">
        <v>633</v>
      </c>
      <c r="EA293" t="s">
        <v>1010</v>
      </c>
      <c r="EB293">
        <v>2</v>
      </c>
      <c r="EC293">
        <v>24</v>
      </c>
      <c r="ED293" s="184" t="str">
        <f t="shared" si="13"/>
        <v>SDJ200224</v>
      </c>
      <c r="EE293">
        <v>395.4</v>
      </c>
      <c r="EF293">
        <v>10000</v>
      </c>
      <c r="EG293">
        <v>10000</v>
      </c>
      <c r="EH293">
        <v>10000</v>
      </c>
      <c r="EI293">
        <v>10000</v>
      </c>
      <c r="EJ293">
        <v>10000</v>
      </c>
      <c r="EK293">
        <v>10000</v>
      </c>
      <c r="EL293">
        <v>10000</v>
      </c>
      <c r="EM293">
        <v>10000</v>
      </c>
      <c r="EN293">
        <v>10000</v>
      </c>
      <c r="EO293">
        <v>10000</v>
      </c>
      <c r="EP293">
        <v>10000</v>
      </c>
      <c r="EQ293">
        <v>10000</v>
      </c>
      <c r="ER293">
        <v>10000</v>
      </c>
      <c r="ES293">
        <v>10000</v>
      </c>
      <c r="ET293">
        <v>10000</v>
      </c>
      <c r="EU293">
        <v>10000</v>
      </c>
      <c r="EV293">
        <v>10000</v>
      </c>
      <c r="EW293">
        <v>10000</v>
      </c>
      <c r="EX293">
        <v>10000</v>
      </c>
      <c r="EY293">
        <v>10000</v>
      </c>
      <c r="EZ293">
        <v>10000</v>
      </c>
      <c r="FA293">
        <v>10000</v>
      </c>
      <c r="FB293">
        <v>10000</v>
      </c>
      <c r="FC293">
        <v>10000</v>
      </c>
      <c r="FD293">
        <v>10000</v>
      </c>
      <c r="FE293">
        <v>10000</v>
      </c>
      <c r="FF293">
        <v>10000</v>
      </c>
      <c r="FG293">
        <v>10000</v>
      </c>
      <c r="FH293">
        <v>10000</v>
      </c>
      <c r="FI293">
        <v>10000</v>
      </c>
      <c r="FJ293">
        <v>10000</v>
      </c>
      <c r="FK293">
        <v>10000</v>
      </c>
      <c r="FL293">
        <v>10000</v>
      </c>
      <c r="FM293">
        <v>10000</v>
      </c>
      <c r="FN293">
        <v>10000</v>
      </c>
      <c r="FO293">
        <v>10000</v>
      </c>
      <c r="FP293">
        <v>10000</v>
      </c>
      <c r="FQ293">
        <v>10000</v>
      </c>
      <c r="FR293">
        <v>10000</v>
      </c>
      <c r="FS293">
        <v>10000</v>
      </c>
      <c r="FT293">
        <v>10000</v>
      </c>
      <c r="FU293">
        <v>10000</v>
      </c>
      <c r="FV293">
        <v>10000</v>
      </c>
      <c r="FW293">
        <v>10000</v>
      </c>
      <c r="FX293">
        <v>10000</v>
      </c>
      <c r="FY293">
        <v>10000</v>
      </c>
      <c r="FZ293">
        <v>10000</v>
      </c>
      <c r="GA293">
        <v>10000</v>
      </c>
      <c r="GB293">
        <v>10000</v>
      </c>
      <c r="GC293">
        <v>10000</v>
      </c>
      <c r="GD293">
        <v>10000</v>
      </c>
      <c r="GE293">
        <v>10000</v>
      </c>
      <c r="GF293">
        <v>10000</v>
      </c>
      <c r="GG293">
        <v>10000</v>
      </c>
      <c r="GH293">
        <v>10000</v>
      </c>
      <c r="GI293">
        <v>10000</v>
      </c>
      <c r="GJ293">
        <v>10000</v>
      </c>
      <c r="GK293">
        <v>10000</v>
      </c>
      <c r="GL293">
        <v>10000</v>
      </c>
      <c r="GM293">
        <v>10000</v>
      </c>
      <c r="GN293">
        <v>0</v>
      </c>
      <c r="GO293">
        <v>0</v>
      </c>
      <c r="GP293">
        <v>0</v>
      </c>
      <c r="GQ293">
        <v>0</v>
      </c>
      <c r="GR293">
        <v>0</v>
      </c>
      <c r="GS293">
        <v>0</v>
      </c>
      <c r="GT293">
        <v>0</v>
      </c>
      <c r="GU293">
        <v>0</v>
      </c>
      <c r="GV293">
        <v>0</v>
      </c>
      <c r="GW293">
        <v>0</v>
      </c>
      <c r="GX293">
        <v>0</v>
      </c>
      <c r="GY293">
        <v>0</v>
      </c>
      <c r="GZ293">
        <v>0</v>
      </c>
      <c r="HA293">
        <v>0</v>
      </c>
      <c r="HB293">
        <v>0</v>
      </c>
      <c r="HC293">
        <v>0</v>
      </c>
      <c r="HD293">
        <v>0</v>
      </c>
      <c r="HE293">
        <v>0</v>
      </c>
      <c r="HF293">
        <v>0</v>
      </c>
      <c r="HG293">
        <v>0</v>
      </c>
      <c r="HH293">
        <v>0</v>
      </c>
      <c r="HI293">
        <v>0</v>
      </c>
      <c r="HJ293">
        <v>0</v>
      </c>
      <c r="HK293">
        <v>0</v>
      </c>
      <c r="HL293">
        <v>0</v>
      </c>
      <c r="HM293">
        <v>0</v>
      </c>
      <c r="HN293">
        <v>0</v>
      </c>
      <c r="HO293">
        <v>0</v>
      </c>
      <c r="HP293">
        <v>0</v>
      </c>
      <c r="HQ293">
        <v>0</v>
      </c>
      <c r="HR293">
        <v>0</v>
      </c>
      <c r="HS293">
        <v>0</v>
      </c>
      <c r="HT293">
        <v>0</v>
      </c>
      <c r="HU293">
        <v>0</v>
      </c>
      <c r="HV293">
        <v>0</v>
      </c>
      <c r="HW293">
        <v>0</v>
      </c>
      <c r="HX293">
        <v>0</v>
      </c>
      <c r="HY293">
        <v>0</v>
      </c>
      <c r="HZ293">
        <v>0</v>
      </c>
      <c r="IA293">
        <v>0</v>
      </c>
      <c r="IB293">
        <v>0</v>
      </c>
      <c r="IC293">
        <v>0</v>
      </c>
      <c r="ID293">
        <v>0</v>
      </c>
      <c r="IE293">
        <v>0</v>
      </c>
      <c r="IF293">
        <v>0</v>
      </c>
      <c r="IG293">
        <v>0</v>
      </c>
      <c r="IH293">
        <v>0</v>
      </c>
      <c r="II293">
        <v>0</v>
      </c>
      <c r="IJ293">
        <v>0</v>
      </c>
      <c r="IK293">
        <v>0</v>
      </c>
    </row>
    <row r="294" spans="13:245" hidden="1">
      <c r="M294" s="343" t="s">
        <v>633</v>
      </c>
      <c r="N294" t="s">
        <v>1010</v>
      </c>
      <c r="O294">
        <v>2</v>
      </c>
      <c r="P294">
        <v>25</v>
      </c>
      <c r="Q294" s="184" t="str">
        <f t="shared" si="12"/>
        <v>SDJ200225</v>
      </c>
      <c r="R294">
        <v>402.8</v>
      </c>
      <c r="S294">
        <v>2000</v>
      </c>
      <c r="T294">
        <v>2000</v>
      </c>
      <c r="U294">
        <v>2000</v>
      </c>
      <c r="V294">
        <v>2014</v>
      </c>
      <c r="W294">
        <v>2416.8000000000002</v>
      </c>
      <c r="X294">
        <v>2819.6</v>
      </c>
      <c r="Y294">
        <v>3222.4</v>
      </c>
      <c r="Z294">
        <v>3625.2</v>
      </c>
      <c r="AA294">
        <v>4028</v>
      </c>
      <c r="AB294">
        <v>4430.8</v>
      </c>
      <c r="AC294">
        <v>4833.6000000000004</v>
      </c>
      <c r="AD294">
        <v>5236.3999999999996</v>
      </c>
      <c r="AE294">
        <v>5639.2</v>
      </c>
      <c r="AF294">
        <v>6042</v>
      </c>
      <c r="AG294">
        <v>6444.8</v>
      </c>
      <c r="AH294">
        <v>6847.6</v>
      </c>
      <c r="AI294">
        <v>7250.4</v>
      </c>
      <c r="AJ294">
        <v>7653.2</v>
      </c>
      <c r="AK294">
        <v>8056</v>
      </c>
      <c r="AL294">
        <v>8056</v>
      </c>
      <c r="AM294">
        <v>8056</v>
      </c>
      <c r="AN294">
        <v>8056</v>
      </c>
      <c r="AO294">
        <v>8056</v>
      </c>
      <c r="AP294">
        <v>8056</v>
      </c>
      <c r="AQ294">
        <v>8056</v>
      </c>
      <c r="AR294">
        <v>8056</v>
      </c>
      <c r="AS294">
        <v>8056</v>
      </c>
      <c r="AT294">
        <v>8056</v>
      </c>
      <c r="AU294">
        <v>8056</v>
      </c>
      <c r="AV294">
        <v>8056</v>
      </c>
      <c r="AW294">
        <v>8056</v>
      </c>
      <c r="AX294">
        <v>8056</v>
      </c>
      <c r="AY294">
        <v>8056</v>
      </c>
      <c r="AZ294">
        <v>8056</v>
      </c>
      <c r="BA294">
        <v>8056</v>
      </c>
      <c r="BB294">
        <v>8056</v>
      </c>
      <c r="BC294">
        <v>8056</v>
      </c>
      <c r="BD294">
        <v>8056</v>
      </c>
      <c r="BE294">
        <v>8056</v>
      </c>
      <c r="BF294">
        <v>8056</v>
      </c>
      <c r="BG294">
        <v>8056</v>
      </c>
      <c r="BH294">
        <v>8056</v>
      </c>
      <c r="BI294">
        <v>8056</v>
      </c>
      <c r="BJ294">
        <v>8056</v>
      </c>
      <c r="BK294">
        <v>8056</v>
      </c>
      <c r="BL294">
        <v>8056</v>
      </c>
      <c r="BM294">
        <v>8056</v>
      </c>
      <c r="BN294">
        <v>8056</v>
      </c>
      <c r="BO294">
        <v>8056</v>
      </c>
      <c r="BP294">
        <v>8056</v>
      </c>
      <c r="BQ294">
        <v>8056</v>
      </c>
      <c r="BR294">
        <v>8056</v>
      </c>
      <c r="BS294">
        <v>8056</v>
      </c>
      <c r="BT294">
        <v>8056</v>
      </c>
      <c r="BU294">
        <v>8056</v>
      </c>
      <c r="BV294">
        <v>8056</v>
      </c>
      <c r="BW294">
        <v>8056</v>
      </c>
      <c r="BX294">
        <v>8056</v>
      </c>
      <c r="BY294">
        <v>8056</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Z294" s="343" t="s">
        <v>633</v>
      </c>
      <c r="EA294" t="s">
        <v>1010</v>
      </c>
      <c r="EB294">
        <v>2</v>
      </c>
      <c r="EC294">
        <v>25</v>
      </c>
      <c r="ED294" s="184" t="str">
        <f t="shared" si="13"/>
        <v>SDJ200225</v>
      </c>
      <c r="EE294">
        <v>402.8</v>
      </c>
      <c r="EF294">
        <v>10000</v>
      </c>
      <c r="EG294">
        <v>10000</v>
      </c>
      <c r="EH294">
        <v>10000</v>
      </c>
      <c r="EI294">
        <v>10000</v>
      </c>
      <c r="EJ294">
        <v>10000</v>
      </c>
      <c r="EK294">
        <v>10000</v>
      </c>
      <c r="EL294">
        <v>10000</v>
      </c>
      <c r="EM294">
        <v>10000</v>
      </c>
      <c r="EN294">
        <v>10000</v>
      </c>
      <c r="EO294">
        <v>10000</v>
      </c>
      <c r="EP294">
        <v>10000</v>
      </c>
      <c r="EQ294">
        <v>10000</v>
      </c>
      <c r="ER294">
        <v>10000</v>
      </c>
      <c r="ES294">
        <v>10000</v>
      </c>
      <c r="ET294">
        <v>10000</v>
      </c>
      <c r="EU294">
        <v>10000</v>
      </c>
      <c r="EV294">
        <v>10000</v>
      </c>
      <c r="EW294">
        <v>10000</v>
      </c>
      <c r="EX294">
        <v>10000</v>
      </c>
      <c r="EY294">
        <v>10000</v>
      </c>
      <c r="EZ294">
        <v>10000</v>
      </c>
      <c r="FA294">
        <v>10000</v>
      </c>
      <c r="FB294">
        <v>10000</v>
      </c>
      <c r="FC294">
        <v>10000</v>
      </c>
      <c r="FD294">
        <v>10000</v>
      </c>
      <c r="FE294">
        <v>10000</v>
      </c>
      <c r="FF294">
        <v>10000</v>
      </c>
      <c r="FG294">
        <v>10000</v>
      </c>
      <c r="FH294">
        <v>10000</v>
      </c>
      <c r="FI294">
        <v>10000</v>
      </c>
      <c r="FJ294">
        <v>10000</v>
      </c>
      <c r="FK294">
        <v>10000</v>
      </c>
      <c r="FL294">
        <v>10000</v>
      </c>
      <c r="FM294">
        <v>10000</v>
      </c>
      <c r="FN294">
        <v>10000</v>
      </c>
      <c r="FO294">
        <v>10000</v>
      </c>
      <c r="FP294">
        <v>10000</v>
      </c>
      <c r="FQ294">
        <v>10000</v>
      </c>
      <c r="FR294">
        <v>10000</v>
      </c>
      <c r="FS294">
        <v>10000</v>
      </c>
      <c r="FT294">
        <v>10000</v>
      </c>
      <c r="FU294">
        <v>10000</v>
      </c>
      <c r="FV294">
        <v>10000</v>
      </c>
      <c r="FW294">
        <v>10000</v>
      </c>
      <c r="FX294">
        <v>10000</v>
      </c>
      <c r="FY294">
        <v>10000</v>
      </c>
      <c r="FZ294">
        <v>10000</v>
      </c>
      <c r="GA294">
        <v>10000</v>
      </c>
      <c r="GB294">
        <v>10000</v>
      </c>
      <c r="GC294">
        <v>10000</v>
      </c>
      <c r="GD294">
        <v>10000</v>
      </c>
      <c r="GE294">
        <v>10000</v>
      </c>
      <c r="GF294">
        <v>10000</v>
      </c>
      <c r="GG294">
        <v>10000</v>
      </c>
      <c r="GH294">
        <v>10000</v>
      </c>
      <c r="GI294">
        <v>10000</v>
      </c>
      <c r="GJ294">
        <v>10000</v>
      </c>
      <c r="GK294">
        <v>10000</v>
      </c>
      <c r="GL294">
        <v>10000</v>
      </c>
      <c r="GM294">
        <v>0</v>
      </c>
      <c r="GN294">
        <v>0</v>
      </c>
      <c r="GO294">
        <v>0</v>
      </c>
      <c r="GP294">
        <v>0</v>
      </c>
      <c r="GQ294">
        <v>0</v>
      </c>
      <c r="GR294">
        <v>0</v>
      </c>
      <c r="GS294">
        <v>0</v>
      </c>
      <c r="GT294">
        <v>0</v>
      </c>
      <c r="GU294">
        <v>0</v>
      </c>
      <c r="GV294">
        <v>0</v>
      </c>
      <c r="GW294">
        <v>0</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0</v>
      </c>
      <c r="HR294">
        <v>0</v>
      </c>
      <c r="HS294">
        <v>0</v>
      </c>
      <c r="HT294">
        <v>0</v>
      </c>
      <c r="HU294">
        <v>0</v>
      </c>
      <c r="HV294">
        <v>0</v>
      </c>
      <c r="HW294">
        <v>0</v>
      </c>
      <c r="HX294">
        <v>0</v>
      </c>
      <c r="HY294">
        <v>0</v>
      </c>
      <c r="HZ294">
        <v>0</v>
      </c>
      <c r="IA294">
        <v>0</v>
      </c>
      <c r="IB294">
        <v>0</v>
      </c>
      <c r="IC294">
        <v>0</v>
      </c>
      <c r="ID294">
        <v>0</v>
      </c>
      <c r="IE294">
        <v>0</v>
      </c>
      <c r="IF294">
        <v>0</v>
      </c>
      <c r="IG294">
        <v>0</v>
      </c>
      <c r="IH294">
        <v>0</v>
      </c>
      <c r="II294">
        <v>0</v>
      </c>
      <c r="IJ294">
        <v>0</v>
      </c>
      <c r="IK294">
        <v>0</v>
      </c>
    </row>
    <row r="295" spans="13:245" hidden="1">
      <c r="M295" s="343" t="s">
        <v>633</v>
      </c>
      <c r="N295" t="s">
        <v>1010</v>
      </c>
      <c r="O295">
        <v>2</v>
      </c>
      <c r="P295">
        <v>26</v>
      </c>
      <c r="Q295" s="184" t="str">
        <f t="shared" si="12"/>
        <v>SDJ200226</v>
      </c>
      <c r="R295">
        <v>410.2</v>
      </c>
      <c r="S295">
        <v>2000</v>
      </c>
      <c r="T295">
        <v>2000</v>
      </c>
      <c r="U295">
        <v>2000</v>
      </c>
      <c r="V295">
        <v>2051.1</v>
      </c>
      <c r="W295">
        <v>2461.3000000000002</v>
      </c>
      <c r="X295">
        <v>2871.5</v>
      </c>
      <c r="Y295">
        <v>3281.8</v>
      </c>
      <c r="Z295">
        <v>3692</v>
      </c>
      <c r="AA295">
        <v>4102.2</v>
      </c>
      <c r="AB295">
        <v>4512.3999999999996</v>
      </c>
      <c r="AC295">
        <v>4922.6000000000004</v>
      </c>
      <c r="AD295">
        <v>5332.9</v>
      </c>
      <c r="AE295">
        <v>5743.1</v>
      </c>
      <c r="AF295">
        <v>6153.3</v>
      </c>
      <c r="AG295">
        <v>6563.5</v>
      </c>
      <c r="AH295">
        <v>6973.7</v>
      </c>
      <c r="AI295">
        <v>7384</v>
      </c>
      <c r="AJ295">
        <v>7794.2</v>
      </c>
      <c r="AK295">
        <v>8204.4</v>
      </c>
      <c r="AL295">
        <v>8204.4</v>
      </c>
      <c r="AM295">
        <v>8204.4</v>
      </c>
      <c r="AN295">
        <v>8204.4</v>
      </c>
      <c r="AO295">
        <v>8204.4</v>
      </c>
      <c r="AP295">
        <v>8204.4</v>
      </c>
      <c r="AQ295">
        <v>8204.4</v>
      </c>
      <c r="AR295">
        <v>8204.4</v>
      </c>
      <c r="AS295">
        <v>8204.4</v>
      </c>
      <c r="AT295">
        <v>8204.4</v>
      </c>
      <c r="AU295">
        <v>8204.4</v>
      </c>
      <c r="AV295">
        <v>8204.4</v>
      </c>
      <c r="AW295">
        <v>8204.4</v>
      </c>
      <c r="AX295">
        <v>8204.4</v>
      </c>
      <c r="AY295">
        <v>8204.4</v>
      </c>
      <c r="AZ295">
        <v>8204.4</v>
      </c>
      <c r="BA295">
        <v>8204.4</v>
      </c>
      <c r="BB295">
        <v>8204.4</v>
      </c>
      <c r="BC295">
        <v>8204.4</v>
      </c>
      <c r="BD295">
        <v>8204.4</v>
      </c>
      <c r="BE295">
        <v>8204.4</v>
      </c>
      <c r="BF295">
        <v>8204.4</v>
      </c>
      <c r="BG295">
        <v>8204.4</v>
      </c>
      <c r="BH295">
        <v>8204.4</v>
      </c>
      <c r="BI295">
        <v>8204.4</v>
      </c>
      <c r="BJ295">
        <v>8204.4</v>
      </c>
      <c r="BK295">
        <v>8204.4</v>
      </c>
      <c r="BL295">
        <v>8204.4</v>
      </c>
      <c r="BM295">
        <v>8204.4</v>
      </c>
      <c r="BN295">
        <v>8204.4</v>
      </c>
      <c r="BO295">
        <v>8204.4</v>
      </c>
      <c r="BP295">
        <v>8204.4</v>
      </c>
      <c r="BQ295">
        <v>8204.4</v>
      </c>
      <c r="BR295">
        <v>8204.4</v>
      </c>
      <c r="BS295">
        <v>8204.4</v>
      </c>
      <c r="BT295">
        <v>8204.4</v>
      </c>
      <c r="BU295">
        <v>8204.4</v>
      </c>
      <c r="BV295">
        <v>8204.4</v>
      </c>
      <c r="BW295">
        <v>8204.4</v>
      </c>
      <c r="BX295">
        <v>8204.4</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Z295" s="343" t="s">
        <v>633</v>
      </c>
      <c r="EA295" t="s">
        <v>1010</v>
      </c>
      <c r="EB295">
        <v>2</v>
      </c>
      <c r="EC295">
        <v>26</v>
      </c>
      <c r="ED295" s="184" t="str">
        <f t="shared" si="13"/>
        <v>SDJ200226</v>
      </c>
      <c r="EE295">
        <v>410.2</v>
      </c>
      <c r="EF295">
        <v>10000</v>
      </c>
      <c r="EG295">
        <v>10000</v>
      </c>
      <c r="EH295">
        <v>10000</v>
      </c>
      <c r="EI295">
        <v>10000</v>
      </c>
      <c r="EJ295">
        <v>10000</v>
      </c>
      <c r="EK295">
        <v>10000</v>
      </c>
      <c r="EL295">
        <v>10000</v>
      </c>
      <c r="EM295">
        <v>10000</v>
      </c>
      <c r="EN295">
        <v>10000</v>
      </c>
      <c r="EO295">
        <v>10000</v>
      </c>
      <c r="EP295">
        <v>10000</v>
      </c>
      <c r="EQ295">
        <v>10000</v>
      </c>
      <c r="ER295">
        <v>10000</v>
      </c>
      <c r="ES295">
        <v>10000</v>
      </c>
      <c r="ET295">
        <v>10000</v>
      </c>
      <c r="EU295">
        <v>10000</v>
      </c>
      <c r="EV295">
        <v>10000</v>
      </c>
      <c r="EW295">
        <v>10000</v>
      </c>
      <c r="EX295">
        <v>10000</v>
      </c>
      <c r="EY295">
        <v>10000</v>
      </c>
      <c r="EZ295">
        <v>10000</v>
      </c>
      <c r="FA295">
        <v>10000</v>
      </c>
      <c r="FB295">
        <v>10000</v>
      </c>
      <c r="FC295">
        <v>10000</v>
      </c>
      <c r="FD295">
        <v>10000</v>
      </c>
      <c r="FE295">
        <v>10000</v>
      </c>
      <c r="FF295">
        <v>10000</v>
      </c>
      <c r="FG295">
        <v>10000</v>
      </c>
      <c r="FH295">
        <v>10000</v>
      </c>
      <c r="FI295">
        <v>10000</v>
      </c>
      <c r="FJ295">
        <v>10000</v>
      </c>
      <c r="FK295">
        <v>10000</v>
      </c>
      <c r="FL295">
        <v>10000</v>
      </c>
      <c r="FM295">
        <v>10000</v>
      </c>
      <c r="FN295">
        <v>10000</v>
      </c>
      <c r="FO295">
        <v>10000</v>
      </c>
      <c r="FP295">
        <v>10000</v>
      </c>
      <c r="FQ295">
        <v>10000</v>
      </c>
      <c r="FR295">
        <v>10000</v>
      </c>
      <c r="FS295">
        <v>10000</v>
      </c>
      <c r="FT295">
        <v>10000</v>
      </c>
      <c r="FU295">
        <v>10000</v>
      </c>
      <c r="FV295">
        <v>10000</v>
      </c>
      <c r="FW295">
        <v>10000</v>
      </c>
      <c r="FX295">
        <v>10000</v>
      </c>
      <c r="FY295">
        <v>10000</v>
      </c>
      <c r="FZ295">
        <v>10000</v>
      </c>
      <c r="GA295">
        <v>10000</v>
      </c>
      <c r="GB295">
        <v>10000</v>
      </c>
      <c r="GC295">
        <v>10000</v>
      </c>
      <c r="GD295">
        <v>10000</v>
      </c>
      <c r="GE295">
        <v>10000</v>
      </c>
      <c r="GF295">
        <v>10000</v>
      </c>
      <c r="GG295">
        <v>10000</v>
      </c>
      <c r="GH295">
        <v>10000</v>
      </c>
      <c r="GI295">
        <v>10000</v>
      </c>
      <c r="GJ295">
        <v>10000</v>
      </c>
      <c r="GK295">
        <v>10000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c r="IK295">
        <v>0</v>
      </c>
    </row>
    <row r="296" spans="13:245" hidden="1">
      <c r="M296" s="343" t="s">
        <v>633</v>
      </c>
      <c r="N296" t="s">
        <v>1010</v>
      </c>
      <c r="O296">
        <v>2</v>
      </c>
      <c r="P296">
        <v>27</v>
      </c>
      <c r="Q296" s="184" t="str">
        <f t="shared" si="12"/>
        <v>SDJ200227</v>
      </c>
      <c r="R296">
        <v>417.6</v>
      </c>
      <c r="S296">
        <v>2000</v>
      </c>
      <c r="T296">
        <v>2000</v>
      </c>
      <c r="U296">
        <v>2000</v>
      </c>
      <c r="V296">
        <v>2088.1999999999998</v>
      </c>
      <c r="W296">
        <v>2505.8000000000002</v>
      </c>
      <c r="X296">
        <v>2923.5</v>
      </c>
      <c r="Y296">
        <v>3341.1</v>
      </c>
      <c r="Z296">
        <v>3758.8</v>
      </c>
      <c r="AA296">
        <v>4176.3999999999996</v>
      </c>
      <c r="AB296">
        <v>4594</v>
      </c>
      <c r="AC296">
        <v>5011.7</v>
      </c>
      <c r="AD296">
        <v>5429.3</v>
      </c>
      <c r="AE296">
        <v>5847</v>
      </c>
      <c r="AF296">
        <v>6264.6</v>
      </c>
      <c r="AG296">
        <v>6682.2</v>
      </c>
      <c r="AH296">
        <v>7099.9</v>
      </c>
      <c r="AI296">
        <v>7517.5</v>
      </c>
      <c r="AJ296">
        <v>7935.2</v>
      </c>
      <c r="AK296">
        <v>8352.7999999999993</v>
      </c>
      <c r="AL296">
        <v>8352.7999999999993</v>
      </c>
      <c r="AM296">
        <v>8352.7999999999993</v>
      </c>
      <c r="AN296">
        <v>8352.7999999999993</v>
      </c>
      <c r="AO296">
        <v>8352.7999999999993</v>
      </c>
      <c r="AP296">
        <v>8352.7999999999993</v>
      </c>
      <c r="AQ296">
        <v>8352.7999999999993</v>
      </c>
      <c r="AR296">
        <v>8352.7999999999993</v>
      </c>
      <c r="AS296">
        <v>8352.7999999999993</v>
      </c>
      <c r="AT296">
        <v>8352.7999999999993</v>
      </c>
      <c r="AU296">
        <v>8352.7999999999993</v>
      </c>
      <c r="AV296">
        <v>8352.7999999999993</v>
      </c>
      <c r="AW296">
        <v>8352.7999999999993</v>
      </c>
      <c r="AX296">
        <v>8352.7999999999993</v>
      </c>
      <c r="AY296">
        <v>8352.7999999999993</v>
      </c>
      <c r="AZ296">
        <v>8352.7999999999993</v>
      </c>
      <c r="BA296">
        <v>8352.7999999999993</v>
      </c>
      <c r="BB296">
        <v>8352.7999999999993</v>
      </c>
      <c r="BC296">
        <v>8352.7999999999993</v>
      </c>
      <c r="BD296">
        <v>8352.7999999999993</v>
      </c>
      <c r="BE296">
        <v>8352.7999999999993</v>
      </c>
      <c r="BF296">
        <v>8352.7999999999993</v>
      </c>
      <c r="BG296">
        <v>8352.7999999999993</v>
      </c>
      <c r="BH296">
        <v>8352.7999999999993</v>
      </c>
      <c r="BI296">
        <v>8352.7999999999993</v>
      </c>
      <c r="BJ296">
        <v>8352.7999999999993</v>
      </c>
      <c r="BK296">
        <v>8352.7999999999993</v>
      </c>
      <c r="BL296">
        <v>8352.7999999999993</v>
      </c>
      <c r="BM296">
        <v>8352.7999999999993</v>
      </c>
      <c r="BN296">
        <v>8352.7999999999993</v>
      </c>
      <c r="BO296">
        <v>8352.7999999999993</v>
      </c>
      <c r="BP296">
        <v>8352.7999999999993</v>
      </c>
      <c r="BQ296">
        <v>8352.7999999999993</v>
      </c>
      <c r="BR296">
        <v>8352.7999999999993</v>
      </c>
      <c r="BS296">
        <v>8352.7999999999993</v>
      </c>
      <c r="BT296">
        <v>8352.7999999999993</v>
      </c>
      <c r="BU296">
        <v>8352.7999999999993</v>
      </c>
      <c r="BV296">
        <v>8352.7999999999993</v>
      </c>
      <c r="BW296">
        <v>8352.7999999999993</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Z296" s="343" t="s">
        <v>633</v>
      </c>
      <c r="EA296" t="s">
        <v>1010</v>
      </c>
      <c r="EB296">
        <v>2</v>
      </c>
      <c r="EC296">
        <v>27</v>
      </c>
      <c r="ED296" s="184" t="str">
        <f t="shared" si="13"/>
        <v>SDJ200227</v>
      </c>
      <c r="EE296">
        <v>417.6</v>
      </c>
      <c r="EF296">
        <v>10000</v>
      </c>
      <c r="EG296">
        <v>10000</v>
      </c>
      <c r="EH296">
        <v>10000</v>
      </c>
      <c r="EI296">
        <v>10000</v>
      </c>
      <c r="EJ296">
        <v>10000</v>
      </c>
      <c r="EK296">
        <v>10000</v>
      </c>
      <c r="EL296">
        <v>10000</v>
      </c>
      <c r="EM296">
        <v>10000</v>
      </c>
      <c r="EN296">
        <v>10000</v>
      </c>
      <c r="EO296">
        <v>10000</v>
      </c>
      <c r="EP296">
        <v>10000</v>
      </c>
      <c r="EQ296">
        <v>10000</v>
      </c>
      <c r="ER296">
        <v>10000</v>
      </c>
      <c r="ES296">
        <v>10000</v>
      </c>
      <c r="ET296">
        <v>10000</v>
      </c>
      <c r="EU296">
        <v>10000</v>
      </c>
      <c r="EV296">
        <v>10000</v>
      </c>
      <c r="EW296">
        <v>10000</v>
      </c>
      <c r="EX296">
        <v>10000</v>
      </c>
      <c r="EY296">
        <v>10000</v>
      </c>
      <c r="EZ296">
        <v>10000</v>
      </c>
      <c r="FA296">
        <v>10000</v>
      </c>
      <c r="FB296">
        <v>10000</v>
      </c>
      <c r="FC296">
        <v>10000</v>
      </c>
      <c r="FD296">
        <v>10000</v>
      </c>
      <c r="FE296">
        <v>10000</v>
      </c>
      <c r="FF296">
        <v>10000</v>
      </c>
      <c r="FG296">
        <v>10000</v>
      </c>
      <c r="FH296">
        <v>10000</v>
      </c>
      <c r="FI296">
        <v>10000</v>
      </c>
      <c r="FJ296">
        <v>10000</v>
      </c>
      <c r="FK296">
        <v>10000</v>
      </c>
      <c r="FL296">
        <v>10000</v>
      </c>
      <c r="FM296">
        <v>10000</v>
      </c>
      <c r="FN296">
        <v>10000</v>
      </c>
      <c r="FO296">
        <v>10000</v>
      </c>
      <c r="FP296">
        <v>10000</v>
      </c>
      <c r="FQ296">
        <v>10000</v>
      </c>
      <c r="FR296">
        <v>10000</v>
      </c>
      <c r="FS296">
        <v>10000</v>
      </c>
      <c r="FT296">
        <v>10000</v>
      </c>
      <c r="FU296">
        <v>10000</v>
      </c>
      <c r="FV296">
        <v>10000</v>
      </c>
      <c r="FW296">
        <v>10000</v>
      </c>
      <c r="FX296">
        <v>10000</v>
      </c>
      <c r="FY296">
        <v>10000</v>
      </c>
      <c r="FZ296">
        <v>10000</v>
      </c>
      <c r="GA296">
        <v>10000</v>
      </c>
      <c r="GB296">
        <v>10000</v>
      </c>
      <c r="GC296">
        <v>10000</v>
      </c>
      <c r="GD296">
        <v>10000</v>
      </c>
      <c r="GE296">
        <v>10000</v>
      </c>
      <c r="GF296">
        <v>10000</v>
      </c>
      <c r="GG296">
        <v>10000</v>
      </c>
      <c r="GH296">
        <v>10000</v>
      </c>
      <c r="GI296">
        <v>10000</v>
      </c>
      <c r="GJ296">
        <v>10000</v>
      </c>
      <c r="GK296">
        <v>0</v>
      </c>
      <c r="GL296">
        <v>0</v>
      </c>
      <c r="GM296">
        <v>0</v>
      </c>
      <c r="GN296">
        <v>0</v>
      </c>
      <c r="GO296">
        <v>0</v>
      </c>
      <c r="GP296">
        <v>0</v>
      </c>
      <c r="GQ296">
        <v>0</v>
      </c>
      <c r="GR296">
        <v>0</v>
      </c>
      <c r="GS296">
        <v>0</v>
      </c>
      <c r="GT296">
        <v>0</v>
      </c>
      <c r="GU296">
        <v>0</v>
      </c>
      <c r="GV296">
        <v>0</v>
      </c>
      <c r="GW296">
        <v>0</v>
      </c>
      <c r="GX296">
        <v>0</v>
      </c>
      <c r="GY296">
        <v>0</v>
      </c>
      <c r="GZ296">
        <v>0</v>
      </c>
      <c r="HA296">
        <v>0</v>
      </c>
      <c r="HB296">
        <v>0</v>
      </c>
      <c r="HC296">
        <v>0</v>
      </c>
      <c r="HD296">
        <v>0</v>
      </c>
      <c r="HE296">
        <v>0</v>
      </c>
      <c r="HF296">
        <v>0</v>
      </c>
      <c r="HG296">
        <v>0</v>
      </c>
      <c r="HH296">
        <v>0</v>
      </c>
      <c r="HI296">
        <v>0</v>
      </c>
      <c r="HJ296">
        <v>0</v>
      </c>
      <c r="HK296">
        <v>0</v>
      </c>
      <c r="HL296">
        <v>0</v>
      </c>
      <c r="HM296">
        <v>0</v>
      </c>
      <c r="HN296">
        <v>0</v>
      </c>
      <c r="HO296">
        <v>0</v>
      </c>
      <c r="HP296">
        <v>0</v>
      </c>
      <c r="HQ296">
        <v>0</v>
      </c>
      <c r="HR296">
        <v>0</v>
      </c>
      <c r="HS296">
        <v>0</v>
      </c>
      <c r="HT296">
        <v>0</v>
      </c>
      <c r="HU296">
        <v>0</v>
      </c>
      <c r="HV296">
        <v>0</v>
      </c>
      <c r="HW296">
        <v>0</v>
      </c>
      <c r="HX296">
        <v>0</v>
      </c>
      <c r="HY296">
        <v>0</v>
      </c>
      <c r="HZ296">
        <v>0</v>
      </c>
      <c r="IA296">
        <v>0</v>
      </c>
      <c r="IB296">
        <v>0</v>
      </c>
      <c r="IC296">
        <v>0</v>
      </c>
      <c r="ID296">
        <v>0</v>
      </c>
      <c r="IE296">
        <v>0</v>
      </c>
      <c r="IF296">
        <v>0</v>
      </c>
      <c r="IG296">
        <v>0</v>
      </c>
      <c r="IH296">
        <v>0</v>
      </c>
      <c r="II296">
        <v>0</v>
      </c>
      <c r="IJ296">
        <v>0</v>
      </c>
      <c r="IK296">
        <v>0</v>
      </c>
    </row>
    <row r="297" spans="13:245" hidden="1">
      <c r="M297" s="343" t="s">
        <v>633</v>
      </c>
      <c r="N297" t="s">
        <v>1010</v>
      </c>
      <c r="O297">
        <v>2</v>
      </c>
      <c r="P297">
        <v>28</v>
      </c>
      <c r="Q297" s="184" t="str">
        <f t="shared" si="12"/>
        <v>SDJ200228</v>
      </c>
      <c r="R297">
        <v>425.1</v>
      </c>
      <c r="S297">
        <v>2000</v>
      </c>
      <c r="T297">
        <v>2000</v>
      </c>
      <c r="U297">
        <v>2000</v>
      </c>
      <c r="V297">
        <v>2125.3000000000002</v>
      </c>
      <c r="W297">
        <v>2550.4</v>
      </c>
      <c r="X297">
        <v>2975.4</v>
      </c>
      <c r="Y297">
        <v>3400.5</v>
      </c>
      <c r="Z297">
        <v>3825.5</v>
      </c>
      <c r="AA297">
        <v>4250.6000000000004</v>
      </c>
      <c r="AB297">
        <v>4675.7</v>
      </c>
      <c r="AC297">
        <v>5100.7</v>
      </c>
      <c r="AD297">
        <v>5525.8</v>
      </c>
      <c r="AE297">
        <v>5950.8</v>
      </c>
      <c r="AF297">
        <v>6375.9</v>
      </c>
      <c r="AG297">
        <v>6801</v>
      </c>
      <c r="AH297">
        <v>7226</v>
      </c>
      <c r="AI297">
        <v>7651.1</v>
      </c>
      <c r="AJ297">
        <v>8076.1</v>
      </c>
      <c r="AK297">
        <v>8501.2000000000007</v>
      </c>
      <c r="AL297">
        <v>8501.2000000000007</v>
      </c>
      <c r="AM297">
        <v>8501.2000000000007</v>
      </c>
      <c r="AN297">
        <v>8501.2000000000007</v>
      </c>
      <c r="AO297">
        <v>8501.2000000000007</v>
      </c>
      <c r="AP297">
        <v>8501.2000000000007</v>
      </c>
      <c r="AQ297">
        <v>8501.2000000000007</v>
      </c>
      <c r="AR297">
        <v>8501.2000000000007</v>
      </c>
      <c r="AS297">
        <v>8501.2000000000007</v>
      </c>
      <c r="AT297">
        <v>8501.2000000000007</v>
      </c>
      <c r="AU297">
        <v>8501.2000000000007</v>
      </c>
      <c r="AV297">
        <v>8501.2000000000007</v>
      </c>
      <c r="AW297">
        <v>8501.2000000000007</v>
      </c>
      <c r="AX297">
        <v>8501.2000000000007</v>
      </c>
      <c r="AY297">
        <v>8501.2000000000007</v>
      </c>
      <c r="AZ297">
        <v>8501.2000000000007</v>
      </c>
      <c r="BA297">
        <v>8501.2000000000007</v>
      </c>
      <c r="BB297">
        <v>8501.2000000000007</v>
      </c>
      <c r="BC297">
        <v>8501.2000000000007</v>
      </c>
      <c r="BD297">
        <v>8501.2000000000007</v>
      </c>
      <c r="BE297">
        <v>8501.2000000000007</v>
      </c>
      <c r="BF297">
        <v>8501.2000000000007</v>
      </c>
      <c r="BG297">
        <v>8501.2000000000007</v>
      </c>
      <c r="BH297">
        <v>8501.2000000000007</v>
      </c>
      <c r="BI297">
        <v>8501.2000000000007</v>
      </c>
      <c r="BJ297">
        <v>8501.2000000000007</v>
      </c>
      <c r="BK297">
        <v>8501.2000000000007</v>
      </c>
      <c r="BL297">
        <v>8501.2000000000007</v>
      </c>
      <c r="BM297">
        <v>8501.2000000000007</v>
      </c>
      <c r="BN297">
        <v>8501.2000000000007</v>
      </c>
      <c r="BO297">
        <v>8501.2000000000007</v>
      </c>
      <c r="BP297">
        <v>8501.2000000000007</v>
      </c>
      <c r="BQ297">
        <v>8501.2000000000007</v>
      </c>
      <c r="BR297">
        <v>8501.2000000000007</v>
      </c>
      <c r="BS297">
        <v>8501.2000000000007</v>
      </c>
      <c r="BT297">
        <v>8501.2000000000007</v>
      </c>
      <c r="BU297">
        <v>8501.2000000000007</v>
      </c>
      <c r="BV297">
        <v>8501.2000000000007</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Z297" s="343" t="s">
        <v>633</v>
      </c>
      <c r="EA297" t="s">
        <v>1010</v>
      </c>
      <c r="EB297">
        <v>2</v>
      </c>
      <c r="EC297">
        <v>28</v>
      </c>
      <c r="ED297" s="184" t="str">
        <f t="shared" si="13"/>
        <v>SDJ200228</v>
      </c>
      <c r="EE297">
        <v>425.1</v>
      </c>
      <c r="EF297">
        <v>10000</v>
      </c>
      <c r="EG297">
        <v>10000</v>
      </c>
      <c r="EH297">
        <v>10000</v>
      </c>
      <c r="EI297">
        <v>10000</v>
      </c>
      <c r="EJ297">
        <v>10000</v>
      </c>
      <c r="EK297">
        <v>10000</v>
      </c>
      <c r="EL297">
        <v>10000</v>
      </c>
      <c r="EM297">
        <v>10000</v>
      </c>
      <c r="EN297">
        <v>10000</v>
      </c>
      <c r="EO297">
        <v>10000</v>
      </c>
      <c r="EP297">
        <v>10000</v>
      </c>
      <c r="EQ297">
        <v>10000</v>
      </c>
      <c r="ER297">
        <v>10000</v>
      </c>
      <c r="ES297">
        <v>10000</v>
      </c>
      <c r="ET297">
        <v>10000</v>
      </c>
      <c r="EU297">
        <v>10000</v>
      </c>
      <c r="EV297">
        <v>10000</v>
      </c>
      <c r="EW297">
        <v>10000</v>
      </c>
      <c r="EX297">
        <v>10000</v>
      </c>
      <c r="EY297">
        <v>10000</v>
      </c>
      <c r="EZ297">
        <v>10000</v>
      </c>
      <c r="FA297">
        <v>10000</v>
      </c>
      <c r="FB297">
        <v>10000</v>
      </c>
      <c r="FC297">
        <v>10000</v>
      </c>
      <c r="FD297">
        <v>10000</v>
      </c>
      <c r="FE297">
        <v>10000</v>
      </c>
      <c r="FF297">
        <v>10000</v>
      </c>
      <c r="FG297">
        <v>10000</v>
      </c>
      <c r="FH297">
        <v>10000</v>
      </c>
      <c r="FI297">
        <v>10000</v>
      </c>
      <c r="FJ297">
        <v>10000</v>
      </c>
      <c r="FK297">
        <v>10000</v>
      </c>
      <c r="FL297">
        <v>10000</v>
      </c>
      <c r="FM297">
        <v>10000</v>
      </c>
      <c r="FN297">
        <v>10000</v>
      </c>
      <c r="FO297">
        <v>10000</v>
      </c>
      <c r="FP297">
        <v>10000</v>
      </c>
      <c r="FQ297">
        <v>10000</v>
      </c>
      <c r="FR297">
        <v>10000</v>
      </c>
      <c r="FS297">
        <v>10000</v>
      </c>
      <c r="FT297">
        <v>10000</v>
      </c>
      <c r="FU297">
        <v>10000</v>
      </c>
      <c r="FV297">
        <v>10000</v>
      </c>
      <c r="FW297">
        <v>10000</v>
      </c>
      <c r="FX297">
        <v>10000</v>
      </c>
      <c r="FY297">
        <v>10000</v>
      </c>
      <c r="FZ297">
        <v>10000</v>
      </c>
      <c r="GA297">
        <v>10000</v>
      </c>
      <c r="GB297">
        <v>10000</v>
      </c>
      <c r="GC297">
        <v>10000</v>
      </c>
      <c r="GD297">
        <v>10000</v>
      </c>
      <c r="GE297">
        <v>10000</v>
      </c>
      <c r="GF297">
        <v>10000</v>
      </c>
      <c r="GG297">
        <v>10000</v>
      </c>
      <c r="GH297">
        <v>10000</v>
      </c>
      <c r="GI297">
        <v>10000</v>
      </c>
      <c r="GJ297">
        <v>0</v>
      </c>
      <c r="GK297">
        <v>0</v>
      </c>
      <c r="GL297">
        <v>0</v>
      </c>
      <c r="GM297">
        <v>0</v>
      </c>
      <c r="GN297">
        <v>0</v>
      </c>
      <c r="GO297">
        <v>0</v>
      </c>
      <c r="GP297">
        <v>0</v>
      </c>
      <c r="GQ297">
        <v>0</v>
      </c>
      <c r="GR297">
        <v>0</v>
      </c>
      <c r="GS297">
        <v>0</v>
      </c>
      <c r="GT297">
        <v>0</v>
      </c>
      <c r="GU297">
        <v>0</v>
      </c>
      <c r="GV297">
        <v>0</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0</v>
      </c>
      <c r="IE297">
        <v>0</v>
      </c>
      <c r="IF297">
        <v>0</v>
      </c>
      <c r="IG297">
        <v>0</v>
      </c>
      <c r="IH297">
        <v>0</v>
      </c>
      <c r="II297">
        <v>0</v>
      </c>
      <c r="IJ297">
        <v>0</v>
      </c>
      <c r="IK297">
        <v>0</v>
      </c>
    </row>
    <row r="298" spans="13:245" hidden="1">
      <c r="M298" s="343" t="s">
        <v>633</v>
      </c>
      <c r="N298" t="s">
        <v>1010</v>
      </c>
      <c r="O298">
        <v>2</v>
      </c>
      <c r="P298">
        <v>29</v>
      </c>
      <c r="Q298" s="184" t="str">
        <f t="shared" si="12"/>
        <v>SDJ200229</v>
      </c>
      <c r="R298">
        <v>433.5</v>
      </c>
      <c r="S298">
        <v>2000</v>
      </c>
      <c r="T298">
        <v>2000</v>
      </c>
      <c r="U298">
        <v>2000</v>
      </c>
      <c r="V298">
        <v>2167.6999999999998</v>
      </c>
      <c r="W298">
        <v>2601.1999999999998</v>
      </c>
      <c r="X298">
        <v>3034.8</v>
      </c>
      <c r="Y298">
        <v>3468.3</v>
      </c>
      <c r="Z298">
        <v>3901.9</v>
      </c>
      <c r="AA298">
        <v>4335.3999999999996</v>
      </c>
      <c r="AB298">
        <v>4768.8999999999996</v>
      </c>
      <c r="AC298">
        <v>5202.5</v>
      </c>
      <c r="AD298">
        <v>5636</v>
      </c>
      <c r="AE298">
        <v>6069.6</v>
      </c>
      <c r="AF298">
        <v>6503.1</v>
      </c>
      <c r="AG298">
        <v>6936.6</v>
      </c>
      <c r="AH298">
        <v>7370.2</v>
      </c>
      <c r="AI298">
        <v>7803.7</v>
      </c>
      <c r="AJ298">
        <v>8237.2999999999993</v>
      </c>
      <c r="AK298">
        <v>8670.7999999999993</v>
      </c>
      <c r="AL298">
        <v>8670.7999999999993</v>
      </c>
      <c r="AM298">
        <v>8670.7999999999993</v>
      </c>
      <c r="AN298">
        <v>8670.7999999999993</v>
      </c>
      <c r="AO298">
        <v>8670.7999999999993</v>
      </c>
      <c r="AP298">
        <v>8670.7999999999993</v>
      </c>
      <c r="AQ298">
        <v>8670.7999999999993</v>
      </c>
      <c r="AR298">
        <v>8670.7999999999993</v>
      </c>
      <c r="AS298">
        <v>8670.7999999999993</v>
      </c>
      <c r="AT298">
        <v>8670.7999999999993</v>
      </c>
      <c r="AU298">
        <v>8670.7999999999993</v>
      </c>
      <c r="AV298">
        <v>8670.7999999999993</v>
      </c>
      <c r="AW298">
        <v>8670.7999999999993</v>
      </c>
      <c r="AX298">
        <v>8670.7999999999993</v>
      </c>
      <c r="AY298">
        <v>8670.7999999999993</v>
      </c>
      <c r="AZ298">
        <v>8670.7999999999993</v>
      </c>
      <c r="BA298">
        <v>8670.7999999999993</v>
      </c>
      <c r="BB298">
        <v>8670.7999999999993</v>
      </c>
      <c r="BC298">
        <v>8670.7999999999993</v>
      </c>
      <c r="BD298">
        <v>8670.7999999999993</v>
      </c>
      <c r="BE298">
        <v>8670.7999999999993</v>
      </c>
      <c r="BF298">
        <v>8670.7999999999993</v>
      </c>
      <c r="BG298">
        <v>8670.7999999999993</v>
      </c>
      <c r="BH298">
        <v>8670.7999999999993</v>
      </c>
      <c r="BI298">
        <v>8670.7999999999993</v>
      </c>
      <c r="BJ298">
        <v>8670.7999999999993</v>
      </c>
      <c r="BK298">
        <v>8670.7999999999993</v>
      </c>
      <c r="BL298">
        <v>8670.7999999999993</v>
      </c>
      <c r="BM298">
        <v>8670.7999999999993</v>
      </c>
      <c r="BN298">
        <v>8670.7999999999993</v>
      </c>
      <c r="BO298">
        <v>8670.7999999999993</v>
      </c>
      <c r="BP298">
        <v>8670.7999999999993</v>
      </c>
      <c r="BQ298">
        <v>8670.7999999999993</v>
      </c>
      <c r="BR298">
        <v>8670.7999999999993</v>
      </c>
      <c r="BS298">
        <v>8670.7999999999993</v>
      </c>
      <c r="BT298">
        <v>8670.7999999999993</v>
      </c>
      <c r="BU298">
        <v>8670.7999999999993</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Z298" s="343" t="s">
        <v>633</v>
      </c>
      <c r="EA298" t="s">
        <v>1010</v>
      </c>
      <c r="EB298">
        <v>2</v>
      </c>
      <c r="EC298">
        <v>29</v>
      </c>
      <c r="ED298" s="184" t="str">
        <f t="shared" si="13"/>
        <v>SDJ200229</v>
      </c>
      <c r="EE298">
        <v>433.5</v>
      </c>
      <c r="EF298">
        <v>10000</v>
      </c>
      <c r="EG298">
        <v>10000</v>
      </c>
      <c r="EH298">
        <v>10000</v>
      </c>
      <c r="EI298">
        <v>10000</v>
      </c>
      <c r="EJ298">
        <v>10000</v>
      </c>
      <c r="EK298">
        <v>10000</v>
      </c>
      <c r="EL298">
        <v>10000</v>
      </c>
      <c r="EM298">
        <v>10000</v>
      </c>
      <c r="EN298">
        <v>10000</v>
      </c>
      <c r="EO298">
        <v>10000</v>
      </c>
      <c r="EP298">
        <v>10000</v>
      </c>
      <c r="EQ298">
        <v>10000</v>
      </c>
      <c r="ER298">
        <v>10000</v>
      </c>
      <c r="ES298">
        <v>10000</v>
      </c>
      <c r="ET298">
        <v>10000</v>
      </c>
      <c r="EU298">
        <v>10000</v>
      </c>
      <c r="EV298">
        <v>10000</v>
      </c>
      <c r="EW298">
        <v>10000</v>
      </c>
      <c r="EX298">
        <v>10000</v>
      </c>
      <c r="EY298">
        <v>10000</v>
      </c>
      <c r="EZ298">
        <v>10000</v>
      </c>
      <c r="FA298">
        <v>10000</v>
      </c>
      <c r="FB298">
        <v>10000</v>
      </c>
      <c r="FC298">
        <v>10000</v>
      </c>
      <c r="FD298">
        <v>10000</v>
      </c>
      <c r="FE298">
        <v>10000</v>
      </c>
      <c r="FF298">
        <v>10000</v>
      </c>
      <c r="FG298">
        <v>10000</v>
      </c>
      <c r="FH298">
        <v>10000</v>
      </c>
      <c r="FI298">
        <v>10000</v>
      </c>
      <c r="FJ298">
        <v>10000</v>
      </c>
      <c r="FK298">
        <v>10000</v>
      </c>
      <c r="FL298">
        <v>10000</v>
      </c>
      <c r="FM298">
        <v>10000</v>
      </c>
      <c r="FN298">
        <v>10000</v>
      </c>
      <c r="FO298">
        <v>10000</v>
      </c>
      <c r="FP298">
        <v>10000</v>
      </c>
      <c r="FQ298">
        <v>10000</v>
      </c>
      <c r="FR298">
        <v>10000</v>
      </c>
      <c r="FS298">
        <v>10000</v>
      </c>
      <c r="FT298">
        <v>10000</v>
      </c>
      <c r="FU298">
        <v>10000</v>
      </c>
      <c r="FV298">
        <v>10000</v>
      </c>
      <c r="FW298">
        <v>10000</v>
      </c>
      <c r="FX298">
        <v>10000</v>
      </c>
      <c r="FY298">
        <v>10000</v>
      </c>
      <c r="FZ298">
        <v>10000</v>
      </c>
      <c r="GA298">
        <v>10000</v>
      </c>
      <c r="GB298">
        <v>10000</v>
      </c>
      <c r="GC298">
        <v>10000</v>
      </c>
      <c r="GD298">
        <v>10000</v>
      </c>
      <c r="GE298">
        <v>10000</v>
      </c>
      <c r="GF298">
        <v>10000</v>
      </c>
      <c r="GG298">
        <v>10000</v>
      </c>
      <c r="GH298">
        <v>10000</v>
      </c>
      <c r="GI298">
        <v>0</v>
      </c>
      <c r="GJ298">
        <v>0</v>
      </c>
      <c r="GK298">
        <v>0</v>
      </c>
      <c r="GL298">
        <v>0</v>
      </c>
      <c r="GM298">
        <v>0</v>
      </c>
      <c r="GN298">
        <v>0</v>
      </c>
      <c r="GO298">
        <v>0</v>
      </c>
      <c r="GP298">
        <v>0</v>
      </c>
      <c r="GQ298">
        <v>0</v>
      </c>
      <c r="GR298">
        <v>0</v>
      </c>
      <c r="GS298">
        <v>0</v>
      </c>
      <c r="GT298">
        <v>0</v>
      </c>
      <c r="GU298">
        <v>0</v>
      </c>
      <c r="GV298">
        <v>0</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0</v>
      </c>
      <c r="HP298">
        <v>0</v>
      </c>
      <c r="HQ298">
        <v>0</v>
      </c>
      <c r="HR298">
        <v>0</v>
      </c>
      <c r="HS298">
        <v>0</v>
      </c>
      <c r="HT298">
        <v>0</v>
      </c>
      <c r="HU298">
        <v>0</v>
      </c>
      <c r="HV298">
        <v>0</v>
      </c>
      <c r="HW298">
        <v>0</v>
      </c>
      <c r="HX298">
        <v>0</v>
      </c>
      <c r="HY298">
        <v>0</v>
      </c>
      <c r="HZ298">
        <v>0</v>
      </c>
      <c r="IA298">
        <v>0</v>
      </c>
      <c r="IB298">
        <v>0</v>
      </c>
      <c r="IC298">
        <v>0</v>
      </c>
      <c r="ID298">
        <v>0</v>
      </c>
      <c r="IE298">
        <v>0</v>
      </c>
      <c r="IF298">
        <v>0</v>
      </c>
      <c r="IG298">
        <v>0</v>
      </c>
      <c r="IH298">
        <v>0</v>
      </c>
      <c r="II298">
        <v>0</v>
      </c>
      <c r="IJ298">
        <v>0</v>
      </c>
      <c r="IK298">
        <v>0</v>
      </c>
    </row>
    <row r="299" spans="13:245" hidden="1">
      <c r="M299" s="343" t="s">
        <v>633</v>
      </c>
      <c r="N299" t="s">
        <v>1010</v>
      </c>
      <c r="O299">
        <v>2</v>
      </c>
      <c r="P299">
        <v>30</v>
      </c>
      <c r="Q299" s="184" t="str">
        <f t="shared" si="12"/>
        <v>SDJ200230</v>
      </c>
      <c r="R299">
        <v>441</v>
      </c>
      <c r="S299">
        <v>2000</v>
      </c>
      <c r="T299">
        <v>2000</v>
      </c>
      <c r="U299">
        <v>2000</v>
      </c>
      <c r="V299">
        <v>2204.8000000000002</v>
      </c>
      <c r="W299">
        <v>2645.8</v>
      </c>
      <c r="X299">
        <v>3086.7</v>
      </c>
      <c r="Y299">
        <v>3527.7</v>
      </c>
      <c r="Z299">
        <v>3968.6</v>
      </c>
      <c r="AA299">
        <v>4409.6000000000004</v>
      </c>
      <c r="AB299">
        <v>4850.6000000000004</v>
      </c>
      <c r="AC299">
        <v>5291.5</v>
      </c>
      <c r="AD299">
        <v>5732.5</v>
      </c>
      <c r="AE299">
        <v>6173.4</v>
      </c>
      <c r="AF299">
        <v>6614.4</v>
      </c>
      <c r="AG299">
        <v>7055.4</v>
      </c>
      <c r="AH299">
        <v>7496.3</v>
      </c>
      <c r="AI299">
        <v>7937.3</v>
      </c>
      <c r="AJ299">
        <v>8378.2000000000007</v>
      </c>
      <c r="AK299">
        <v>8819.2000000000007</v>
      </c>
      <c r="AL299">
        <v>8819.2000000000007</v>
      </c>
      <c r="AM299">
        <v>8819.2000000000007</v>
      </c>
      <c r="AN299">
        <v>8819.2000000000007</v>
      </c>
      <c r="AO299">
        <v>8819.2000000000007</v>
      </c>
      <c r="AP299">
        <v>8819.2000000000007</v>
      </c>
      <c r="AQ299">
        <v>8819.2000000000007</v>
      </c>
      <c r="AR299">
        <v>8819.2000000000007</v>
      </c>
      <c r="AS299">
        <v>8819.2000000000007</v>
      </c>
      <c r="AT299">
        <v>8819.2000000000007</v>
      </c>
      <c r="AU299">
        <v>8819.2000000000007</v>
      </c>
      <c r="AV299">
        <v>8819.2000000000007</v>
      </c>
      <c r="AW299">
        <v>8819.2000000000007</v>
      </c>
      <c r="AX299">
        <v>8819.2000000000007</v>
      </c>
      <c r="AY299">
        <v>8819.2000000000007</v>
      </c>
      <c r="AZ299">
        <v>8819.2000000000007</v>
      </c>
      <c r="BA299">
        <v>8819.2000000000007</v>
      </c>
      <c r="BB299">
        <v>8819.2000000000007</v>
      </c>
      <c r="BC299">
        <v>8819.2000000000007</v>
      </c>
      <c r="BD299">
        <v>8819.2000000000007</v>
      </c>
      <c r="BE299">
        <v>8819.2000000000007</v>
      </c>
      <c r="BF299">
        <v>8819.2000000000007</v>
      </c>
      <c r="BG299">
        <v>8819.2000000000007</v>
      </c>
      <c r="BH299">
        <v>8819.2000000000007</v>
      </c>
      <c r="BI299">
        <v>8819.2000000000007</v>
      </c>
      <c r="BJ299">
        <v>8819.2000000000007</v>
      </c>
      <c r="BK299">
        <v>8819.2000000000007</v>
      </c>
      <c r="BL299">
        <v>8819.2000000000007</v>
      </c>
      <c r="BM299">
        <v>8819.2000000000007</v>
      </c>
      <c r="BN299">
        <v>8819.2000000000007</v>
      </c>
      <c r="BO299">
        <v>8819.2000000000007</v>
      </c>
      <c r="BP299">
        <v>8819.2000000000007</v>
      </c>
      <c r="BQ299">
        <v>8819.2000000000007</v>
      </c>
      <c r="BR299">
        <v>8819.2000000000007</v>
      </c>
      <c r="BS299">
        <v>8819.2000000000007</v>
      </c>
      <c r="BT299">
        <v>8819.2000000000007</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Z299" s="343" t="s">
        <v>633</v>
      </c>
      <c r="EA299" t="s">
        <v>1010</v>
      </c>
      <c r="EB299">
        <v>2</v>
      </c>
      <c r="EC299">
        <v>30</v>
      </c>
      <c r="ED299" s="184" t="str">
        <f t="shared" si="13"/>
        <v>SDJ200230</v>
      </c>
      <c r="EE299">
        <v>441</v>
      </c>
      <c r="EF299">
        <v>10000</v>
      </c>
      <c r="EG299">
        <v>10000</v>
      </c>
      <c r="EH299">
        <v>10000</v>
      </c>
      <c r="EI299">
        <v>10000</v>
      </c>
      <c r="EJ299">
        <v>10000</v>
      </c>
      <c r="EK299">
        <v>10000</v>
      </c>
      <c r="EL299">
        <v>10000</v>
      </c>
      <c r="EM299">
        <v>10000</v>
      </c>
      <c r="EN299">
        <v>10000</v>
      </c>
      <c r="EO299">
        <v>10000</v>
      </c>
      <c r="EP299">
        <v>10000</v>
      </c>
      <c r="EQ299">
        <v>10000</v>
      </c>
      <c r="ER299">
        <v>10000</v>
      </c>
      <c r="ES299">
        <v>10000</v>
      </c>
      <c r="ET299">
        <v>10000</v>
      </c>
      <c r="EU299">
        <v>10000</v>
      </c>
      <c r="EV299">
        <v>10000</v>
      </c>
      <c r="EW299">
        <v>10000</v>
      </c>
      <c r="EX299">
        <v>10000</v>
      </c>
      <c r="EY299">
        <v>10000</v>
      </c>
      <c r="EZ299">
        <v>10000</v>
      </c>
      <c r="FA299">
        <v>10000</v>
      </c>
      <c r="FB299">
        <v>10000</v>
      </c>
      <c r="FC299">
        <v>10000</v>
      </c>
      <c r="FD299">
        <v>10000</v>
      </c>
      <c r="FE299">
        <v>10000</v>
      </c>
      <c r="FF299">
        <v>10000</v>
      </c>
      <c r="FG299">
        <v>10000</v>
      </c>
      <c r="FH299">
        <v>10000</v>
      </c>
      <c r="FI299">
        <v>10000</v>
      </c>
      <c r="FJ299">
        <v>10000</v>
      </c>
      <c r="FK299">
        <v>10000</v>
      </c>
      <c r="FL299">
        <v>10000</v>
      </c>
      <c r="FM299">
        <v>10000</v>
      </c>
      <c r="FN299">
        <v>10000</v>
      </c>
      <c r="FO299">
        <v>10000</v>
      </c>
      <c r="FP299">
        <v>10000</v>
      </c>
      <c r="FQ299">
        <v>10000</v>
      </c>
      <c r="FR299">
        <v>10000</v>
      </c>
      <c r="FS299">
        <v>10000</v>
      </c>
      <c r="FT299">
        <v>10000</v>
      </c>
      <c r="FU299">
        <v>10000</v>
      </c>
      <c r="FV299">
        <v>10000</v>
      </c>
      <c r="FW299">
        <v>10000</v>
      </c>
      <c r="FX299">
        <v>10000</v>
      </c>
      <c r="FY299">
        <v>10000</v>
      </c>
      <c r="FZ299">
        <v>10000</v>
      </c>
      <c r="GA299">
        <v>10000</v>
      </c>
      <c r="GB299">
        <v>10000</v>
      </c>
      <c r="GC299">
        <v>10000</v>
      </c>
      <c r="GD299">
        <v>10000</v>
      </c>
      <c r="GE299">
        <v>10000</v>
      </c>
      <c r="GF299">
        <v>10000</v>
      </c>
      <c r="GG299">
        <v>10000</v>
      </c>
      <c r="GH299">
        <v>0</v>
      </c>
      <c r="GI299">
        <v>0</v>
      </c>
      <c r="GJ299">
        <v>0</v>
      </c>
      <c r="GK299">
        <v>0</v>
      </c>
      <c r="GL299">
        <v>0</v>
      </c>
      <c r="GM299">
        <v>0</v>
      </c>
      <c r="GN299">
        <v>0</v>
      </c>
      <c r="GO299">
        <v>0</v>
      </c>
      <c r="GP299">
        <v>0</v>
      </c>
      <c r="GQ299">
        <v>0</v>
      </c>
      <c r="GR299">
        <v>0</v>
      </c>
      <c r="GS299">
        <v>0</v>
      </c>
      <c r="GT299">
        <v>0</v>
      </c>
      <c r="GU299">
        <v>0</v>
      </c>
      <c r="GV299">
        <v>0</v>
      </c>
      <c r="GW299">
        <v>0</v>
      </c>
      <c r="GX299">
        <v>0</v>
      </c>
      <c r="GY299">
        <v>0</v>
      </c>
      <c r="GZ299">
        <v>0</v>
      </c>
      <c r="HA299">
        <v>0</v>
      </c>
      <c r="HB299">
        <v>0</v>
      </c>
      <c r="HC299">
        <v>0</v>
      </c>
      <c r="HD299">
        <v>0</v>
      </c>
      <c r="HE299">
        <v>0</v>
      </c>
      <c r="HF299">
        <v>0</v>
      </c>
      <c r="HG299">
        <v>0</v>
      </c>
      <c r="HH299">
        <v>0</v>
      </c>
      <c r="HI299">
        <v>0</v>
      </c>
      <c r="HJ299">
        <v>0</v>
      </c>
      <c r="HK299">
        <v>0</v>
      </c>
      <c r="HL299">
        <v>0</v>
      </c>
      <c r="HM299">
        <v>0</v>
      </c>
      <c r="HN299">
        <v>0</v>
      </c>
      <c r="HO299">
        <v>0</v>
      </c>
      <c r="HP299">
        <v>0</v>
      </c>
      <c r="HQ299">
        <v>0</v>
      </c>
      <c r="HR299">
        <v>0</v>
      </c>
      <c r="HS299">
        <v>0</v>
      </c>
      <c r="HT299">
        <v>0</v>
      </c>
      <c r="HU299">
        <v>0</v>
      </c>
      <c r="HV299">
        <v>0</v>
      </c>
      <c r="HW299">
        <v>0</v>
      </c>
      <c r="HX299">
        <v>0</v>
      </c>
      <c r="HY299">
        <v>0</v>
      </c>
      <c r="HZ299">
        <v>0</v>
      </c>
      <c r="IA299">
        <v>0</v>
      </c>
      <c r="IB299">
        <v>0</v>
      </c>
      <c r="IC299">
        <v>0</v>
      </c>
      <c r="ID299">
        <v>0</v>
      </c>
      <c r="IE299">
        <v>0</v>
      </c>
      <c r="IF299">
        <v>0</v>
      </c>
      <c r="IG299">
        <v>0</v>
      </c>
      <c r="IH299">
        <v>0</v>
      </c>
      <c r="II299">
        <v>0</v>
      </c>
      <c r="IJ299">
        <v>0</v>
      </c>
      <c r="IK299">
        <v>0</v>
      </c>
    </row>
    <row r="300" spans="13:245" hidden="1">
      <c r="M300" s="343" t="s">
        <v>633</v>
      </c>
      <c r="N300" t="s">
        <v>1010</v>
      </c>
      <c r="O300">
        <v>2</v>
      </c>
      <c r="P300">
        <v>31</v>
      </c>
      <c r="Q300" s="184" t="str">
        <f t="shared" si="12"/>
        <v>SDJ200231</v>
      </c>
      <c r="R300">
        <v>443.1</v>
      </c>
      <c r="S300">
        <v>2000</v>
      </c>
      <c r="T300">
        <v>2000</v>
      </c>
      <c r="U300">
        <v>2000</v>
      </c>
      <c r="V300">
        <v>2215.4</v>
      </c>
      <c r="W300">
        <v>2658.5</v>
      </c>
      <c r="X300">
        <v>3101.6</v>
      </c>
      <c r="Y300">
        <v>3544.6</v>
      </c>
      <c r="Z300">
        <v>3987.7</v>
      </c>
      <c r="AA300">
        <v>4430.8</v>
      </c>
      <c r="AB300">
        <v>4873.8999999999996</v>
      </c>
      <c r="AC300">
        <v>5317</v>
      </c>
      <c r="AD300">
        <v>5760</v>
      </c>
      <c r="AE300">
        <v>6203.1</v>
      </c>
      <c r="AF300">
        <v>6646.2</v>
      </c>
      <c r="AG300">
        <v>7089.3</v>
      </c>
      <c r="AH300">
        <v>7532.4</v>
      </c>
      <c r="AI300">
        <v>7975.4</v>
      </c>
      <c r="AJ300">
        <v>8418.5</v>
      </c>
      <c r="AK300">
        <v>8861.6</v>
      </c>
      <c r="AL300">
        <v>8861.6</v>
      </c>
      <c r="AM300">
        <v>8861.6</v>
      </c>
      <c r="AN300">
        <v>8861.6</v>
      </c>
      <c r="AO300">
        <v>8861.6</v>
      </c>
      <c r="AP300">
        <v>8861.6</v>
      </c>
      <c r="AQ300">
        <v>8861.6</v>
      </c>
      <c r="AR300">
        <v>8861.6</v>
      </c>
      <c r="AS300">
        <v>8861.6</v>
      </c>
      <c r="AT300">
        <v>8861.6</v>
      </c>
      <c r="AU300">
        <v>8861.6</v>
      </c>
      <c r="AV300">
        <v>8861.6</v>
      </c>
      <c r="AW300">
        <v>8861.6</v>
      </c>
      <c r="AX300">
        <v>8861.6</v>
      </c>
      <c r="AY300">
        <v>8861.6</v>
      </c>
      <c r="AZ300">
        <v>8861.6</v>
      </c>
      <c r="BA300">
        <v>8861.6</v>
      </c>
      <c r="BB300">
        <v>8861.6</v>
      </c>
      <c r="BC300">
        <v>8861.6</v>
      </c>
      <c r="BD300">
        <v>8861.6</v>
      </c>
      <c r="BE300">
        <v>8861.6</v>
      </c>
      <c r="BF300">
        <v>8861.6</v>
      </c>
      <c r="BG300">
        <v>8861.6</v>
      </c>
      <c r="BH300">
        <v>8861.6</v>
      </c>
      <c r="BI300">
        <v>8861.6</v>
      </c>
      <c r="BJ300">
        <v>8861.6</v>
      </c>
      <c r="BK300">
        <v>8861.6</v>
      </c>
      <c r="BL300">
        <v>8861.6</v>
      </c>
      <c r="BM300">
        <v>8861.6</v>
      </c>
      <c r="BN300">
        <v>8861.6</v>
      </c>
      <c r="BO300">
        <v>8861.6</v>
      </c>
      <c r="BP300">
        <v>8861.6</v>
      </c>
      <c r="BQ300">
        <v>8861.6</v>
      </c>
      <c r="BR300">
        <v>8861.6</v>
      </c>
      <c r="BS300">
        <v>8861.6</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Z300" s="343" t="s">
        <v>633</v>
      </c>
      <c r="EA300" t="s">
        <v>1010</v>
      </c>
      <c r="EB300">
        <v>2</v>
      </c>
      <c r="EC300">
        <v>31</v>
      </c>
      <c r="ED300" s="184" t="str">
        <f t="shared" si="13"/>
        <v>SDJ200231</v>
      </c>
      <c r="EE300">
        <v>443.1</v>
      </c>
      <c r="EF300">
        <v>10000</v>
      </c>
      <c r="EG300">
        <v>10000</v>
      </c>
      <c r="EH300">
        <v>10000</v>
      </c>
      <c r="EI300">
        <v>10000</v>
      </c>
      <c r="EJ300">
        <v>10000</v>
      </c>
      <c r="EK300">
        <v>10000</v>
      </c>
      <c r="EL300">
        <v>10000</v>
      </c>
      <c r="EM300">
        <v>10000</v>
      </c>
      <c r="EN300">
        <v>10000</v>
      </c>
      <c r="EO300">
        <v>10000</v>
      </c>
      <c r="EP300">
        <v>10000</v>
      </c>
      <c r="EQ300">
        <v>10000</v>
      </c>
      <c r="ER300">
        <v>10000</v>
      </c>
      <c r="ES300">
        <v>10000</v>
      </c>
      <c r="ET300">
        <v>10000</v>
      </c>
      <c r="EU300">
        <v>10000</v>
      </c>
      <c r="EV300">
        <v>10000</v>
      </c>
      <c r="EW300">
        <v>10000</v>
      </c>
      <c r="EX300">
        <v>10000</v>
      </c>
      <c r="EY300">
        <v>10000</v>
      </c>
      <c r="EZ300">
        <v>10000</v>
      </c>
      <c r="FA300">
        <v>10000</v>
      </c>
      <c r="FB300">
        <v>10000</v>
      </c>
      <c r="FC300">
        <v>10000</v>
      </c>
      <c r="FD300">
        <v>10000</v>
      </c>
      <c r="FE300">
        <v>10000</v>
      </c>
      <c r="FF300">
        <v>10000</v>
      </c>
      <c r="FG300">
        <v>10000</v>
      </c>
      <c r="FH300">
        <v>10000</v>
      </c>
      <c r="FI300">
        <v>10000</v>
      </c>
      <c r="FJ300">
        <v>10000</v>
      </c>
      <c r="FK300">
        <v>10000</v>
      </c>
      <c r="FL300">
        <v>10000</v>
      </c>
      <c r="FM300">
        <v>10000</v>
      </c>
      <c r="FN300">
        <v>10000</v>
      </c>
      <c r="FO300">
        <v>10000</v>
      </c>
      <c r="FP300">
        <v>10000</v>
      </c>
      <c r="FQ300">
        <v>10000</v>
      </c>
      <c r="FR300">
        <v>10000</v>
      </c>
      <c r="FS300">
        <v>10000</v>
      </c>
      <c r="FT300">
        <v>10000</v>
      </c>
      <c r="FU300">
        <v>10000</v>
      </c>
      <c r="FV300">
        <v>10000</v>
      </c>
      <c r="FW300">
        <v>10000</v>
      </c>
      <c r="FX300">
        <v>10000</v>
      </c>
      <c r="FY300">
        <v>10000</v>
      </c>
      <c r="FZ300">
        <v>10000</v>
      </c>
      <c r="GA300">
        <v>10000</v>
      </c>
      <c r="GB300">
        <v>10000</v>
      </c>
      <c r="GC300">
        <v>10000</v>
      </c>
      <c r="GD300">
        <v>10000</v>
      </c>
      <c r="GE300">
        <v>10000</v>
      </c>
      <c r="GF300">
        <v>10000</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0</v>
      </c>
      <c r="HE300">
        <v>0</v>
      </c>
      <c r="HF300">
        <v>0</v>
      </c>
      <c r="HG300">
        <v>0</v>
      </c>
      <c r="HH300">
        <v>0</v>
      </c>
      <c r="HI300">
        <v>0</v>
      </c>
      <c r="HJ300">
        <v>0</v>
      </c>
      <c r="HK300">
        <v>0</v>
      </c>
      <c r="HL300">
        <v>0</v>
      </c>
      <c r="HM300">
        <v>0</v>
      </c>
      <c r="HN300">
        <v>0</v>
      </c>
      <c r="HO300">
        <v>0</v>
      </c>
      <c r="HP300">
        <v>0</v>
      </c>
      <c r="HQ300">
        <v>0</v>
      </c>
      <c r="HR300">
        <v>0</v>
      </c>
      <c r="HS300">
        <v>0</v>
      </c>
      <c r="HT300">
        <v>0</v>
      </c>
      <c r="HU300">
        <v>0</v>
      </c>
      <c r="HV300">
        <v>0</v>
      </c>
      <c r="HW300">
        <v>0</v>
      </c>
      <c r="HX300">
        <v>0</v>
      </c>
      <c r="HY300">
        <v>0</v>
      </c>
      <c r="HZ300">
        <v>0</v>
      </c>
      <c r="IA300">
        <v>0</v>
      </c>
      <c r="IB300">
        <v>0</v>
      </c>
      <c r="IC300">
        <v>0</v>
      </c>
      <c r="ID300">
        <v>0</v>
      </c>
      <c r="IE300">
        <v>0</v>
      </c>
      <c r="IF300">
        <v>0</v>
      </c>
      <c r="IG300">
        <v>0</v>
      </c>
      <c r="IH300">
        <v>0</v>
      </c>
      <c r="II300">
        <v>0</v>
      </c>
      <c r="IJ300">
        <v>0</v>
      </c>
      <c r="IK300">
        <v>0</v>
      </c>
    </row>
    <row r="301" spans="13:245" hidden="1">
      <c r="M301" s="343" t="s">
        <v>633</v>
      </c>
      <c r="N301" t="s">
        <v>1010</v>
      </c>
      <c r="O301">
        <v>2</v>
      </c>
      <c r="P301">
        <v>32</v>
      </c>
      <c r="Q301" s="184" t="str">
        <f t="shared" si="12"/>
        <v>SDJ200232</v>
      </c>
      <c r="R301">
        <v>449.4</v>
      </c>
      <c r="S301">
        <v>2000</v>
      </c>
      <c r="T301">
        <v>2000</v>
      </c>
      <c r="U301">
        <v>2000</v>
      </c>
      <c r="V301">
        <v>2247.1999999999998</v>
      </c>
      <c r="W301">
        <v>2696.6</v>
      </c>
      <c r="X301">
        <v>3146.1</v>
      </c>
      <c r="Y301">
        <v>3595.5</v>
      </c>
      <c r="Z301">
        <v>4045</v>
      </c>
      <c r="AA301">
        <v>4494.3999999999996</v>
      </c>
      <c r="AB301">
        <v>4943.8</v>
      </c>
      <c r="AC301">
        <v>5393.3</v>
      </c>
      <c r="AD301">
        <v>5842.7</v>
      </c>
      <c r="AE301">
        <v>6292.2</v>
      </c>
      <c r="AF301">
        <v>6741.6</v>
      </c>
      <c r="AG301">
        <v>7191</v>
      </c>
      <c r="AH301">
        <v>7640.5</v>
      </c>
      <c r="AI301">
        <v>8089.9</v>
      </c>
      <c r="AJ301">
        <v>8539.4</v>
      </c>
      <c r="AK301">
        <v>8988.7999999999993</v>
      </c>
      <c r="AL301">
        <v>8988.7999999999993</v>
      </c>
      <c r="AM301">
        <v>8988.7999999999993</v>
      </c>
      <c r="AN301">
        <v>8988.7999999999993</v>
      </c>
      <c r="AO301">
        <v>8988.7999999999993</v>
      </c>
      <c r="AP301">
        <v>8988.7999999999993</v>
      </c>
      <c r="AQ301">
        <v>8988.7999999999993</v>
      </c>
      <c r="AR301">
        <v>8988.7999999999993</v>
      </c>
      <c r="AS301">
        <v>8988.7999999999993</v>
      </c>
      <c r="AT301">
        <v>8988.7999999999993</v>
      </c>
      <c r="AU301">
        <v>8988.7999999999993</v>
      </c>
      <c r="AV301">
        <v>8988.7999999999993</v>
      </c>
      <c r="AW301">
        <v>8988.7999999999993</v>
      </c>
      <c r="AX301">
        <v>8988.7999999999993</v>
      </c>
      <c r="AY301">
        <v>8988.7999999999993</v>
      </c>
      <c r="AZ301">
        <v>8988.7999999999993</v>
      </c>
      <c r="BA301">
        <v>8988.7999999999993</v>
      </c>
      <c r="BB301">
        <v>8988.7999999999993</v>
      </c>
      <c r="BC301">
        <v>8988.7999999999993</v>
      </c>
      <c r="BD301">
        <v>8988.7999999999993</v>
      </c>
      <c r="BE301">
        <v>8988.7999999999993</v>
      </c>
      <c r="BF301">
        <v>8988.7999999999993</v>
      </c>
      <c r="BG301">
        <v>8988.7999999999993</v>
      </c>
      <c r="BH301">
        <v>8988.7999999999993</v>
      </c>
      <c r="BI301">
        <v>8988.7999999999993</v>
      </c>
      <c r="BJ301">
        <v>8988.7999999999993</v>
      </c>
      <c r="BK301">
        <v>8988.7999999999993</v>
      </c>
      <c r="BL301">
        <v>8988.7999999999993</v>
      </c>
      <c r="BM301">
        <v>8988.7999999999993</v>
      </c>
      <c r="BN301">
        <v>8988.7999999999993</v>
      </c>
      <c r="BO301">
        <v>8988.7999999999993</v>
      </c>
      <c r="BP301">
        <v>8988.7999999999993</v>
      </c>
      <c r="BQ301">
        <v>8988.7999999999993</v>
      </c>
      <c r="BR301">
        <v>8988.7999999999993</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Z301" s="343" t="s">
        <v>633</v>
      </c>
      <c r="EA301" t="s">
        <v>1010</v>
      </c>
      <c r="EB301">
        <v>2</v>
      </c>
      <c r="EC301">
        <v>32</v>
      </c>
      <c r="ED301" s="184" t="str">
        <f t="shared" si="13"/>
        <v>SDJ200232</v>
      </c>
      <c r="EE301">
        <v>449.4</v>
      </c>
      <c r="EF301">
        <v>10000</v>
      </c>
      <c r="EG301">
        <v>10000</v>
      </c>
      <c r="EH301">
        <v>10000</v>
      </c>
      <c r="EI301">
        <v>10000</v>
      </c>
      <c r="EJ301">
        <v>10000</v>
      </c>
      <c r="EK301">
        <v>10000</v>
      </c>
      <c r="EL301">
        <v>10000</v>
      </c>
      <c r="EM301">
        <v>10000</v>
      </c>
      <c r="EN301">
        <v>10000</v>
      </c>
      <c r="EO301">
        <v>10000</v>
      </c>
      <c r="EP301">
        <v>10000</v>
      </c>
      <c r="EQ301">
        <v>10000</v>
      </c>
      <c r="ER301">
        <v>10000</v>
      </c>
      <c r="ES301">
        <v>10000</v>
      </c>
      <c r="ET301">
        <v>10000</v>
      </c>
      <c r="EU301">
        <v>10000</v>
      </c>
      <c r="EV301">
        <v>10000</v>
      </c>
      <c r="EW301">
        <v>10000</v>
      </c>
      <c r="EX301">
        <v>10000</v>
      </c>
      <c r="EY301">
        <v>10000</v>
      </c>
      <c r="EZ301">
        <v>10000</v>
      </c>
      <c r="FA301">
        <v>10000</v>
      </c>
      <c r="FB301">
        <v>10000</v>
      </c>
      <c r="FC301">
        <v>10000</v>
      </c>
      <c r="FD301">
        <v>10000</v>
      </c>
      <c r="FE301">
        <v>10000</v>
      </c>
      <c r="FF301">
        <v>10000</v>
      </c>
      <c r="FG301">
        <v>10000</v>
      </c>
      <c r="FH301">
        <v>10000</v>
      </c>
      <c r="FI301">
        <v>10000</v>
      </c>
      <c r="FJ301">
        <v>10000</v>
      </c>
      <c r="FK301">
        <v>10000</v>
      </c>
      <c r="FL301">
        <v>10000</v>
      </c>
      <c r="FM301">
        <v>10000</v>
      </c>
      <c r="FN301">
        <v>10000</v>
      </c>
      <c r="FO301">
        <v>10000</v>
      </c>
      <c r="FP301">
        <v>10000</v>
      </c>
      <c r="FQ301">
        <v>10000</v>
      </c>
      <c r="FR301">
        <v>10000</v>
      </c>
      <c r="FS301">
        <v>10000</v>
      </c>
      <c r="FT301">
        <v>10000</v>
      </c>
      <c r="FU301">
        <v>10000</v>
      </c>
      <c r="FV301">
        <v>10000</v>
      </c>
      <c r="FW301">
        <v>10000</v>
      </c>
      <c r="FX301">
        <v>10000</v>
      </c>
      <c r="FY301">
        <v>10000</v>
      </c>
      <c r="FZ301">
        <v>10000</v>
      </c>
      <c r="GA301">
        <v>10000</v>
      </c>
      <c r="GB301">
        <v>10000</v>
      </c>
      <c r="GC301">
        <v>10000</v>
      </c>
      <c r="GD301">
        <v>10000</v>
      </c>
      <c r="GE301">
        <v>10000</v>
      </c>
      <c r="GF301">
        <v>0</v>
      </c>
      <c r="GG301">
        <v>0</v>
      </c>
      <c r="GH301">
        <v>0</v>
      </c>
      <c r="GI301">
        <v>0</v>
      </c>
      <c r="GJ301">
        <v>0</v>
      </c>
      <c r="GK301">
        <v>0</v>
      </c>
      <c r="GL301">
        <v>0</v>
      </c>
      <c r="GM301">
        <v>0</v>
      </c>
      <c r="GN301">
        <v>0</v>
      </c>
      <c r="GO301">
        <v>0</v>
      </c>
      <c r="GP301">
        <v>0</v>
      </c>
      <c r="GQ301">
        <v>0</v>
      </c>
      <c r="GR301">
        <v>0</v>
      </c>
      <c r="GS301">
        <v>0</v>
      </c>
      <c r="GT301">
        <v>0</v>
      </c>
      <c r="GU301">
        <v>0</v>
      </c>
      <c r="GV301">
        <v>0</v>
      </c>
      <c r="GW301">
        <v>0</v>
      </c>
      <c r="GX301">
        <v>0</v>
      </c>
      <c r="GY301">
        <v>0</v>
      </c>
      <c r="GZ301">
        <v>0</v>
      </c>
      <c r="HA301">
        <v>0</v>
      </c>
      <c r="HB301">
        <v>0</v>
      </c>
      <c r="HC301">
        <v>0</v>
      </c>
      <c r="HD301">
        <v>0</v>
      </c>
      <c r="HE301">
        <v>0</v>
      </c>
      <c r="HF301">
        <v>0</v>
      </c>
      <c r="HG301">
        <v>0</v>
      </c>
      <c r="HH301">
        <v>0</v>
      </c>
      <c r="HI301">
        <v>0</v>
      </c>
      <c r="HJ301">
        <v>0</v>
      </c>
      <c r="HK301">
        <v>0</v>
      </c>
      <c r="HL301">
        <v>0</v>
      </c>
      <c r="HM301">
        <v>0</v>
      </c>
      <c r="HN301">
        <v>0</v>
      </c>
      <c r="HO301">
        <v>0</v>
      </c>
      <c r="HP301">
        <v>0</v>
      </c>
      <c r="HQ301">
        <v>0</v>
      </c>
      <c r="HR301">
        <v>0</v>
      </c>
      <c r="HS301">
        <v>0</v>
      </c>
      <c r="HT301">
        <v>0</v>
      </c>
      <c r="HU301">
        <v>0</v>
      </c>
      <c r="HV301">
        <v>0</v>
      </c>
      <c r="HW301">
        <v>0</v>
      </c>
      <c r="HX301">
        <v>0</v>
      </c>
      <c r="HY301">
        <v>0</v>
      </c>
      <c r="HZ301">
        <v>0</v>
      </c>
      <c r="IA301">
        <v>0</v>
      </c>
      <c r="IB301">
        <v>0</v>
      </c>
      <c r="IC301">
        <v>0</v>
      </c>
      <c r="ID301">
        <v>0</v>
      </c>
      <c r="IE301">
        <v>0</v>
      </c>
      <c r="IF301">
        <v>0</v>
      </c>
      <c r="IG301">
        <v>0</v>
      </c>
      <c r="IH301">
        <v>0</v>
      </c>
      <c r="II301">
        <v>0</v>
      </c>
      <c r="IJ301">
        <v>0</v>
      </c>
      <c r="IK301">
        <v>0</v>
      </c>
    </row>
    <row r="302" spans="13:245" hidden="1">
      <c r="M302" s="343" t="s">
        <v>633</v>
      </c>
      <c r="N302" t="s">
        <v>1010</v>
      </c>
      <c r="O302">
        <v>2</v>
      </c>
      <c r="P302">
        <v>33</v>
      </c>
      <c r="Q302" s="184" t="str">
        <f t="shared" si="12"/>
        <v>SDJ200233</v>
      </c>
      <c r="R302">
        <v>454.7</v>
      </c>
      <c r="S302">
        <v>2000</v>
      </c>
      <c r="T302">
        <v>2000</v>
      </c>
      <c r="U302">
        <v>2000</v>
      </c>
      <c r="V302">
        <v>2273.6999999999998</v>
      </c>
      <c r="W302">
        <v>2728.4</v>
      </c>
      <c r="X302">
        <v>3183.2</v>
      </c>
      <c r="Y302">
        <v>3637.9</v>
      </c>
      <c r="Z302">
        <v>4092.7</v>
      </c>
      <c r="AA302">
        <v>4547.3999999999996</v>
      </c>
      <c r="AB302">
        <v>5002.1000000000004</v>
      </c>
      <c r="AC302">
        <v>5456.9</v>
      </c>
      <c r="AD302">
        <v>5911.6</v>
      </c>
      <c r="AE302">
        <v>6366.4</v>
      </c>
      <c r="AF302">
        <v>6821.1</v>
      </c>
      <c r="AG302">
        <v>7275.8</v>
      </c>
      <c r="AH302">
        <v>7730.6</v>
      </c>
      <c r="AI302">
        <v>8185.3</v>
      </c>
      <c r="AJ302">
        <v>8640.1</v>
      </c>
      <c r="AK302">
        <v>9094.7999999999993</v>
      </c>
      <c r="AL302">
        <v>9094.7999999999993</v>
      </c>
      <c r="AM302">
        <v>9094.7999999999993</v>
      </c>
      <c r="AN302">
        <v>9094.7999999999993</v>
      </c>
      <c r="AO302">
        <v>9094.7999999999993</v>
      </c>
      <c r="AP302">
        <v>9094.7999999999993</v>
      </c>
      <c r="AQ302">
        <v>9094.7999999999993</v>
      </c>
      <c r="AR302">
        <v>9094.7999999999993</v>
      </c>
      <c r="AS302">
        <v>9094.7999999999993</v>
      </c>
      <c r="AT302">
        <v>9094.7999999999993</v>
      </c>
      <c r="AU302">
        <v>9094.7999999999993</v>
      </c>
      <c r="AV302">
        <v>9094.7999999999993</v>
      </c>
      <c r="AW302">
        <v>9094.7999999999993</v>
      </c>
      <c r="AX302">
        <v>9094.7999999999993</v>
      </c>
      <c r="AY302">
        <v>9094.7999999999993</v>
      </c>
      <c r="AZ302">
        <v>9094.7999999999993</v>
      </c>
      <c r="BA302">
        <v>9094.7999999999993</v>
      </c>
      <c r="BB302">
        <v>9094.7999999999993</v>
      </c>
      <c r="BC302">
        <v>9094.7999999999993</v>
      </c>
      <c r="BD302">
        <v>9094.7999999999993</v>
      </c>
      <c r="BE302">
        <v>9094.7999999999993</v>
      </c>
      <c r="BF302">
        <v>9094.7999999999993</v>
      </c>
      <c r="BG302">
        <v>9094.7999999999993</v>
      </c>
      <c r="BH302">
        <v>9094.7999999999993</v>
      </c>
      <c r="BI302">
        <v>9094.7999999999993</v>
      </c>
      <c r="BJ302">
        <v>9094.7999999999993</v>
      </c>
      <c r="BK302">
        <v>9094.7999999999993</v>
      </c>
      <c r="BL302">
        <v>9094.7999999999993</v>
      </c>
      <c r="BM302">
        <v>9094.7999999999993</v>
      </c>
      <c r="BN302">
        <v>9094.7999999999993</v>
      </c>
      <c r="BO302">
        <v>9094.7999999999993</v>
      </c>
      <c r="BP302">
        <v>9094.7999999999993</v>
      </c>
      <c r="BQ302">
        <v>9094.7999999999993</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Z302" s="343" t="s">
        <v>633</v>
      </c>
      <c r="EA302" t="s">
        <v>1010</v>
      </c>
      <c r="EB302">
        <v>2</v>
      </c>
      <c r="EC302">
        <v>33</v>
      </c>
      <c r="ED302" s="184" t="str">
        <f t="shared" si="13"/>
        <v>SDJ200233</v>
      </c>
      <c r="EE302">
        <v>454.7</v>
      </c>
      <c r="EF302">
        <v>10000</v>
      </c>
      <c r="EG302">
        <v>10000</v>
      </c>
      <c r="EH302">
        <v>10000</v>
      </c>
      <c r="EI302">
        <v>10000</v>
      </c>
      <c r="EJ302">
        <v>10000</v>
      </c>
      <c r="EK302">
        <v>10000</v>
      </c>
      <c r="EL302">
        <v>10000</v>
      </c>
      <c r="EM302">
        <v>10000</v>
      </c>
      <c r="EN302">
        <v>10000</v>
      </c>
      <c r="EO302">
        <v>10000</v>
      </c>
      <c r="EP302">
        <v>10000</v>
      </c>
      <c r="EQ302">
        <v>10000</v>
      </c>
      <c r="ER302">
        <v>10000</v>
      </c>
      <c r="ES302">
        <v>10000</v>
      </c>
      <c r="ET302">
        <v>10000</v>
      </c>
      <c r="EU302">
        <v>10000</v>
      </c>
      <c r="EV302">
        <v>10000</v>
      </c>
      <c r="EW302">
        <v>10000</v>
      </c>
      <c r="EX302">
        <v>10000</v>
      </c>
      <c r="EY302">
        <v>10000</v>
      </c>
      <c r="EZ302">
        <v>10000</v>
      </c>
      <c r="FA302">
        <v>10000</v>
      </c>
      <c r="FB302">
        <v>10000</v>
      </c>
      <c r="FC302">
        <v>10000</v>
      </c>
      <c r="FD302">
        <v>10000</v>
      </c>
      <c r="FE302">
        <v>10000</v>
      </c>
      <c r="FF302">
        <v>10000</v>
      </c>
      <c r="FG302">
        <v>10000</v>
      </c>
      <c r="FH302">
        <v>10000</v>
      </c>
      <c r="FI302">
        <v>10000</v>
      </c>
      <c r="FJ302">
        <v>10000</v>
      </c>
      <c r="FK302">
        <v>10000</v>
      </c>
      <c r="FL302">
        <v>10000</v>
      </c>
      <c r="FM302">
        <v>10000</v>
      </c>
      <c r="FN302">
        <v>10000</v>
      </c>
      <c r="FO302">
        <v>10000</v>
      </c>
      <c r="FP302">
        <v>10000</v>
      </c>
      <c r="FQ302">
        <v>10000</v>
      </c>
      <c r="FR302">
        <v>10000</v>
      </c>
      <c r="FS302">
        <v>10000</v>
      </c>
      <c r="FT302">
        <v>10000</v>
      </c>
      <c r="FU302">
        <v>10000</v>
      </c>
      <c r="FV302">
        <v>10000</v>
      </c>
      <c r="FW302">
        <v>10000</v>
      </c>
      <c r="FX302">
        <v>10000</v>
      </c>
      <c r="FY302">
        <v>10000</v>
      </c>
      <c r="FZ302">
        <v>10000</v>
      </c>
      <c r="GA302">
        <v>10000</v>
      </c>
      <c r="GB302">
        <v>10000</v>
      </c>
      <c r="GC302">
        <v>10000</v>
      </c>
      <c r="GD302">
        <v>10000</v>
      </c>
      <c r="GE302">
        <v>0</v>
      </c>
      <c r="GF302">
        <v>0</v>
      </c>
      <c r="GG302">
        <v>0</v>
      </c>
      <c r="GH302">
        <v>0</v>
      </c>
      <c r="GI302">
        <v>0</v>
      </c>
      <c r="GJ302">
        <v>0</v>
      </c>
      <c r="GK302">
        <v>0</v>
      </c>
      <c r="GL302">
        <v>0</v>
      </c>
      <c r="GM302">
        <v>0</v>
      </c>
      <c r="GN302">
        <v>0</v>
      </c>
      <c r="GO302">
        <v>0</v>
      </c>
      <c r="GP302">
        <v>0</v>
      </c>
      <c r="GQ302">
        <v>0</v>
      </c>
      <c r="GR302">
        <v>0</v>
      </c>
      <c r="GS302">
        <v>0</v>
      </c>
      <c r="GT302">
        <v>0</v>
      </c>
      <c r="GU302">
        <v>0</v>
      </c>
      <c r="GV302">
        <v>0</v>
      </c>
      <c r="GW302">
        <v>0</v>
      </c>
      <c r="GX302">
        <v>0</v>
      </c>
      <c r="GY302">
        <v>0</v>
      </c>
      <c r="GZ302">
        <v>0</v>
      </c>
      <c r="HA302">
        <v>0</v>
      </c>
      <c r="HB302">
        <v>0</v>
      </c>
      <c r="HC302">
        <v>0</v>
      </c>
      <c r="HD302">
        <v>0</v>
      </c>
      <c r="HE302">
        <v>0</v>
      </c>
      <c r="HF302">
        <v>0</v>
      </c>
      <c r="HG302">
        <v>0</v>
      </c>
      <c r="HH302">
        <v>0</v>
      </c>
      <c r="HI302">
        <v>0</v>
      </c>
      <c r="HJ302">
        <v>0</v>
      </c>
      <c r="HK302">
        <v>0</v>
      </c>
      <c r="HL302">
        <v>0</v>
      </c>
      <c r="HM302">
        <v>0</v>
      </c>
      <c r="HN302">
        <v>0</v>
      </c>
      <c r="HO302">
        <v>0</v>
      </c>
      <c r="HP302">
        <v>0</v>
      </c>
      <c r="HQ302">
        <v>0</v>
      </c>
      <c r="HR302">
        <v>0</v>
      </c>
      <c r="HS302">
        <v>0</v>
      </c>
      <c r="HT302">
        <v>0</v>
      </c>
      <c r="HU302">
        <v>0</v>
      </c>
      <c r="HV302">
        <v>0</v>
      </c>
      <c r="HW302">
        <v>0</v>
      </c>
      <c r="HX302">
        <v>0</v>
      </c>
      <c r="HY302">
        <v>0</v>
      </c>
      <c r="HZ302">
        <v>0</v>
      </c>
      <c r="IA302">
        <v>0</v>
      </c>
      <c r="IB302">
        <v>0</v>
      </c>
      <c r="IC302">
        <v>0</v>
      </c>
      <c r="ID302">
        <v>0</v>
      </c>
      <c r="IE302">
        <v>0</v>
      </c>
      <c r="IF302">
        <v>0</v>
      </c>
      <c r="IG302">
        <v>0</v>
      </c>
      <c r="IH302">
        <v>0</v>
      </c>
      <c r="II302">
        <v>0</v>
      </c>
      <c r="IJ302">
        <v>0</v>
      </c>
      <c r="IK302">
        <v>0</v>
      </c>
    </row>
    <row r="303" spans="13:245" hidden="1">
      <c r="M303" s="343" t="s">
        <v>633</v>
      </c>
      <c r="N303" t="s">
        <v>1010</v>
      </c>
      <c r="O303">
        <v>2</v>
      </c>
      <c r="P303">
        <v>34</v>
      </c>
      <c r="Q303" s="184" t="str">
        <f t="shared" si="12"/>
        <v>SDJ200234</v>
      </c>
      <c r="R303">
        <v>461.1</v>
      </c>
      <c r="S303">
        <v>2000</v>
      </c>
      <c r="T303">
        <v>2000</v>
      </c>
      <c r="U303">
        <v>2000</v>
      </c>
      <c r="V303">
        <v>2305.5</v>
      </c>
      <c r="W303">
        <v>2766.6</v>
      </c>
      <c r="X303">
        <v>3227.7</v>
      </c>
      <c r="Y303">
        <v>3688.8</v>
      </c>
      <c r="Z303">
        <v>4149.8999999999996</v>
      </c>
      <c r="AA303">
        <v>4611</v>
      </c>
      <c r="AB303">
        <v>5072.1000000000004</v>
      </c>
      <c r="AC303">
        <v>5533.2</v>
      </c>
      <c r="AD303">
        <v>5994.3</v>
      </c>
      <c r="AE303">
        <v>6455.4</v>
      </c>
      <c r="AF303">
        <v>6916.5</v>
      </c>
      <c r="AG303">
        <v>7377.6</v>
      </c>
      <c r="AH303">
        <v>7838.7</v>
      </c>
      <c r="AI303">
        <v>8299.7999999999993</v>
      </c>
      <c r="AJ303">
        <v>8760.9</v>
      </c>
      <c r="AK303">
        <v>9222</v>
      </c>
      <c r="AL303">
        <v>9222</v>
      </c>
      <c r="AM303">
        <v>9222</v>
      </c>
      <c r="AN303">
        <v>9222</v>
      </c>
      <c r="AO303">
        <v>9222</v>
      </c>
      <c r="AP303">
        <v>9222</v>
      </c>
      <c r="AQ303">
        <v>9222</v>
      </c>
      <c r="AR303">
        <v>9222</v>
      </c>
      <c r="AS303">
        <v>9222</v>
      </c>
      <c r="AT303">
        <v>9222</v>
      </c>
      <c r="AU303">
        <v>9222</v>
      </c>
      <c r="AV303">
        <v>9222</v>
      </c>
      <c r="AW303">
        <v>9222</v>
      </c>
      <c r="AX303">
        <v>9222</v>
      </c>
      <c r="AY303">
        <v>9222</v>
      </c>
      <c r="AZ303">
        <v>9222</v>
      </c>
      <c r="BA303">
        <v>9222</v>
      </c>
      <c r="BB303">
        <v>9222</v>
      </c>
      <c r="BC303">
        <v>9222</v>
      </c>
      <c r="BD303">
        <v>9222</v>
      </c>
      <c r="BE303">
        <v>9222</v>
      </c>
      <c r="BF303">
        <v>9222</v>
      </c>
      <c r="BG303">
        <v>9222</v>
      </c>
      <c r="BH303">
        <v>9222</v>
      </c>
      <c r="BI303">
        <v>9222</v>
      </c>
      <c r="BJ303">
        <v>9222</v>
      </c>
      <c r="BK303">
        <v>9222</v>
      </c>
      <c r="BL303">
        <v>9222</v>
      </c>
      <c r="BM303">
        <v>9222</v>
      </c>
      <c r="BN303">
        <v>9222</v>
      </c>
      <c r="BO303">
        <v>9222</v>
      </c>
      <c r="BP303">
        <v>9222</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Z303" s="343" t="s">
        <v>633</v>
      </c>
      <c r="EA303" t="s">
        <v>1010</v>
      </c>
      <c r="EB303">
        <v>2</v>
      </c>
      <c r="EC303">
        <v>34</v>
      </c>
      <c r="ED303" s="184" t="str">
        <f t="shared" si="13"/>
        <v>SDJ200234</v>
      </c>
      <c r="EE303">
        <v>461.1</v>
      </c>
      <c r="EF303">
        <v>10000</v>
      </c>
      <c r="EG303">
        <v>10000</v>
      </c>
      <c r="EH303">
        <v>10000</v>
      </c>
      <c r="EI303">
        <v>10000</v>
      </c>
      <c r="EJ303">
        <v>10000</v>
      </c>
      <c r="EK303">
        <v>10000</v>
      </c>
      <c r="EL303">
        <v>10000</v>
      </c>
      <c r="EM303">
        <v>10000</v>
      </c>
      <c r="EN303">
        <v>10000</v>
      </c>
      <c r="EO303">
        <v>10000</v>
      </c>
      <c r="EP303">
        <v>10000</v>
      </c>
      <c r="EQ303">
        <v>10000</v>
      </c>
      <c r="ER303">
        <v>10000</v>
      </c>
      <c r="ES303">
        <v>10000</v>
      </c>
      <c r="ET303">
        <v>10000</v>
      </c>
      <c r="EU303">
        <v>10000</v>
      </c>
      <c r="EV303">
        <v>10000</v>
      </c>
      <c r="EW303">
        <v>10000</v>
      </c>
      <c r="EX303">
        <v>10000</v>
      </c>
      <c r="EY303">
        <v>10000</v>
      </c>
      <c r="EZ303">
        <v>10000</v>
      </c>
      <c r="FA303">
        <v>10000</v>
      </c>
      <c r="FB303">
        <v>10000</v>
      </c>
      <c r="FC303">
        <v>10000</v>
      </c>
      <c r="FD303">
        <v>10000</v>
      </c>
      <c r="FE303">
        <v>10000</v>
      </c>
      <c r="FF303">
        <v>10000</v>
      </c>
      <c r="FG303">
        <v>10000</v>
      </c>
      <c r="FH303">
        <v>10000</v>
      </c>
      <c r="FI303">
        <v>10000</v>
      </c>
      <c r="FJ303">
        <v>10000</v>
      </c>
      <c r="FK303">
        <v>10000</v>
      </c>
      <c r="FL303">
        <v>10000</v>
      </c>
      <c r="FM303">
        <v>10000</v>
      </c>
      <c r="FN303">
        <v>10000</v>
      </c>
      <c r="FO303">
        <v>10000</v>
      </c>
      <c r="FP303">
        <v>10000</v>
      </c>
      <c r="FQ303">
        <v>10000</v>
      </c>
      <c r="FR303">
        <v>10000</v>
      </c>
      <c r="FS303">
        <v>10000</v>
      </c>
      <c r="FT303">
        <v>10000</v>
      </c>
      <c r="FU303">
        <v>10000</v>
      </c>
      <c r="FV303">
        <v>10000</v>
      </c>
      <c r="FW303">
        <v>10000</v>
      </c>
      <c r="FX303">
        <v>10000</v>
      </c>
      <c r="FY303">
        <v>10000</v>
      </c>
      <c r="FZ303">
        <v>10000</v>
      </c>
      <c r="GA303">
        <v>10000</v>
      </c>
      <c r="GB303">
        <v>10000</v>
      </c>
      <c r="GC303">
        <v>10000</v>
      </c>
      <c r="GD303">
        <v>0</v>
      </c>
      <c r="GE303">
        <v>0</v>
      </c>
      <c r="GF303">
        <v>0</v>
      </c>
      <c r="GG303">
        <v>0</v>
      </c>
      <c r="GH303">
        <v>0</v>
      </c>
      <c r="GI303">
        <v>0</v>
      </c>
      <c r="GJ303">
        <v>0</v>
      </c>
      <c r="GK303">
        <v>0</v>
      </c>
      <c r="GL303">
        <v>0</v>
      </c>
      <c r="GM303">
        <v>0</v>
      </c>
      <c r="GN303">
        <v>0</v>
      </c>
      <c r="GO303">
        <v>0</v>
      </c>
      <c r="GP303">
        <v>0</v>
      </c>
      <c r="GQ303">
        <v>0</v>
      </c>
      <c r="GR303">
        <v>0</v>
      </c>
      <c r="GS303">
        <v>0</v>
      </c>
      <c r="GT303">
        <v>0</v>
      </c>
      <c r="GU303">
        <v>0</v>
      </c>
      <c r="GV303">
        <v>0</v>
      </c>
      <c r="GW303">
        <v>0</v>
      </c>
      <c r="GX303">
        <v>0</v>
      </c>
      <c r="GY303">
        <v>0</v>
      </c>
      <c r="GZ303">
        <v>0</v>
      </c>
      <c r="HA303">
        <v>0</v>
      </c>
      <c r="HB303">
        <v>0</v>
      </c>
      <c r="HC303">
        <v>0</v>
      </c>
      <c r="HD303">
        <v>0</v>
      </c>
      <c r="HE303">
        <v>0</v>
      </c>
      <c r="HF303">
        <v>0</v>
      </c>
      <c r="HG303">
        <v>0</v>
      </c>
      <c r="HH303">
        <v>0</v>
      </c>
      <c r="HI303">
        <v>0</v>
      </c>
      <c r="HJ303">
        <v>0</v>
      </c>
      <c r="HK303">
        <v>0</v>
      </c>
      <c r="HL303">
        <v>0</v>
      </c>
      <c r="HM303">
        <v>0</v>
      </c>
      <c r="HN303">
        <v>0</v>
      </c>
      <c r="HO303">
        <v>0</v>
      </c>
      <c r="HP303">
        <v>0</v>
      </c>
      <c r="HQ303">
        <v>0</v>
      </c>
      <c r="HR303">
        <v>0</v>
      </c>
      <c r="HS303">
        <v>0</v>
      </c>
      <c r="HT303">
        <v>0</v>
      </c>
      <c r="HU303">
        <v>0</v>
      </c>
      <c r="HV303">
        <v>0</v>
      </c>
      <c r="HW303">
        <v>0</v>
      </c>
      <c r="HX303">
        <v>0</v>
      </c>
      <c r="HY303">
        <v>0</v>
      </c>
      <c r="HZ303">
        <v>0</v>
      </c>
      <c r="IA303">
        <v>0</v>
      </c>
      <c r="IB303">
        <v>0</v>
      </c>
      <c r="IC303">
        <v>0</v>
      </c>
      <c r="ID303">
        <v>0</v>
      </c>
      <c r="IE303">
        <v>0</v>
      </c>
      <c r="IF303">
        <v>0</v>
      </c>
      <c r="IG303">
        <v>0</v>
      </c>
      <c r="IH303">
        <v>0</v>
      </c>
      <c r="II303">
        <v>0</v>
      </c>
      <c r="IJ303">
        <v>0</v>
      </c>
      <c r="IK303">
        <v>0</v>
      </c>
    </row>
    <row r="304" spans="13:245" hidden="1">
      <c r="M304" s="343" t="s">
        <v>633</v>
      </c>
      <c r="N304" t="s">
        <v>1010</v>
      </c>
      <c r="O304">
        <v>2</v>
      </c>
      <c r="P304">
        <v>35</v>
      </c>
      <c r="Q304" s="184" t="str">
        <f t="shared" si="12"/>
        <v>SDJ200235</v>
      </c>
      <c r="R304">
        <v>464.3</v>
      </c>
      <c r="S304">
        <v>2000</v>
      </c>
      <c r="T304">
        <v>2000</v>
      </c>
      <c r="U304">
        <v>2000</v>
      </c>
      <c r="V304">
        <v>2321.4</v>
      </c>
      <c r="W304">
        <v>2785.7</v>
      </c>
      <c r="X304">
        <v>3250</v>
      </c>
      <c r="Y304">
        <v>3714.2</v>
      </c>
      <c r="Z304">
        <v>4178.5</v>
      </c>
      <c r="AA304">
        <v>4642.8</v>
      </c>
      <c r="AB304">
        <v>5107.1000000000004</v>
      </c>
      <c r="AC304">
        <v>5571.4</v>
      </c>
      <c r="AD304">
        <v>6035.6</v>
      </c>
      <c r="AE304">
        <v>6499.9</v>
      </c>
      <c r="AF304">
        <v>6964.2</v>
      </c>
      <c r="AG304">
        <v>7428.5</v>
      </c>
      <c r="AH304">
        <v>7892.8</v>
      </c>
      <c r="AI304">
        <v>8357</v>
      </c>
      <c r="AJ304">
        <v>8821.2999999999993</v>
      </c>
      <c r="AK304">
        <v>9285.6</v>
      </c>
      <c r="AL304">
        <v>9285.6</v>
      </c>
      <c r="AM304">
        <v>9285.6</v>
      </c>
      <c r="AN304">
        <v>9285.6</v>
      </c>
      <c r="AO304">
        <v>9285.6</v>
      </c>
      <c r="AP304">
        <v>9285.6</v>
      </c>
      <c r="AQ304">
        <v>9285.6</v>
      </c>
      <c r="AR304">
        <v>9285.6</v>
      </c>
      <c r="AS304">
        <v>9285.6</v>
      </c>
      <c r="AT304">
        <v>9285.6</v>
      </c>
      <c r="AU304">
        <v>9285.6</v>
      </c>
      <c r="AV304">
        <v>9285.6</v>
      </c>
      <c r="AW304">
        <v>9285.6</v>
      </c>
      <c r="AX304">
        <v>9285.6</v>
      </c>
      <c r="AY304">
        <v>9285.6</v>
      </c>
      <c r="AZ304">
        <v>9285.6</v>
      </c>
      <c r="BA304">
        <v>9285.6</v>
      </c>
      <c r="BB304">
        <v>9285.6</v>
      </c>
      <c r="BC304">
        <v>9285.6</v>
      </c>
      <c r="BD304">
        <v>9285.6</v>
      </c>
      <c r="BE304">
        <v>9285.6</v>
      </c>
      <c r="BF304">
        <v>9285.6</v>
      </c>
      <c r="BG304">
        <v>9285.6</v>
      </c>
      <c r="BH304">
        <v>9285.6</v>
      </c>
      <c r="BI304">
        <v>9285.6</v>
      </c>
      <c r="BJ304">
        <v>9285.6</v>
      </c>
      <c r="BK304">
        <v>9285.6</v>
      </c>
      <c r="BL304">
        <v>9285.6</v>
      </c>
      <c r="BM304">
        <v>9285.6</v>
      </c>
      <c r="BN304">
        <v>9285.6</v>
      </c>
      <c r="BO304">
        <v>9285.6</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Z304" s="343" t="s">
        <v>633</v>
      </c>
      <c r="EA304" t="s">
        <v>1010</v>
      </c>
      <c r="EB304">
        <v>2</v>
      </c>
      <c r="EC304">
        <v>35</v>
      </c>
      <c r="ED304" s="184" t="str">
        <f t="shared" si="13"/>
        <v>SDJ200235</v>
      </c>
      <c r="EE304">
        <v>464.3</v>
      </c>
      <c r="EF304">
        <v>10000</v>
      </c>
      <c r="EG304">
        <v>10000</v>
      </c>
      <c r="EH304">
        <v>10000</v>
      </c>
      <c r="EI304">
        <v>10000</v>
      </c>
      <c r="EJ304">
        <v>10000</v>
      </c>
      <c r="EK304">
        <v>10000</v>
      </c>
      <c r="EL304">
        <v>10000</v>
      </c>
      <c r="EM304">
        <v>10000</v>
      </c>
      <c r="EN304">
        <v>10000</v>
      </c>
      <c r="EO304">
        <v>10000</v>
      </c>
      <c r="EP304">
        <v>10000</v>
      </c>
      <c r="EQ304">
        <v>10000</v>
      </c>
      <c r="ER304">
        <v>10000</v>
      </c>
      <c r="ES304">
        <v>10000</v>
      </c>
      <c r="ET304">
        <v>10000</v>
      </c>
      <c r="EU304">
        <v>10000</v>
      </c>
      <c r="EV304">
        <v>10000</v>
      </c>
      <c r="EW304">
        <v>10000</v>
      </c>
      <c r="EX304">
        <v>10000</v>
      </c>
      <c r="EY304">
        <v>10000</v>
      </c>
      <c r="EZ304">
        <v>10000</v>
      </c>
      <c r="FA304">
        <v>10000</v>
      </c>
      <c r="FB304">
        <v>10000</v>
      </c>
      <c r="FC304">
        <v>10000</v>
      </c>
      <c r="FD304">
        <v>10000</v>
      </c>
      <c r="FE304">
        <v>10000</v>
      </c>
      <c r="FF304">
        <v>10000</v>
      </c>
      <c r="FG304">
        <v>10000</v>
      </c>
      <c r="FH304">
        <v>10000</v>
      </c>
      <c r="FI304">
        <v>10000</v>
      </c>
      <c r="FJ304">
        <v>10000</v>
      </c>
      <c r="FK304">
        <v>10000</v>
      </c>
      <c r="FL304">
        <v>10000</v>
      </c>
      <c r="FM304">
        <v>10000</v>
      </c>
      <c r="FN304">
        <v>10000</v>
      </c>
      <c r="FO304">
        <v>10000</v>
      </c>
      <c r="FP304">
        <v>10000</v>
      </c>
      <c r="FQ304">
        <v>10000</v>
      </c>
      <c r="FR304">
        <v>10000</v>
      </c>
      <c r="FS304">
        <v>10000</v>
      </c>
      <c r="FT304">
        <v>10000</v>
      </c>
      <c r="FU304">
        <v>10000</v>
      </c>
      <c r="FV304">
        <v>10000</v>
      </c>
      <c r="FW304">
        <v>10000</v>
      </c>
      <c r="FX304">
        <v>10000</v>
      </c>
      <c r="FY304">
        <v>10000</v>
      </c>
      <c r="FZ304">
        <v>10000</v>
      </c>
      <c r="GA304">
        <v>10000</v>
      </c>
      <c r="GB304">
        <v>10000</v>
      </c>
      <c r="GC304">
        <v>0</v>
      </c>
      <c r="GD304">
        <v>0</v>
      </c>
      <c r="GE304">
        <v>0</v>
      </c>
      <c r="GF304">
        <v>0</v>
      </c>
      <c r="GG304">
        <v>0</v>
      </c>
      <c r="GH304">
        <v>0</v>
      </c>
      <c r="GI304">
        <v>0</v>
      </c>
      <c r="GJ304">
        <v>0</v>
      </c>
      <c r="GK304">
        <v>0</v>
      </c>
      <c r="GL304">
        <v>0</v>
      </c>
      <c r="GM304">
        <v>0</v>
      </c>
      <c r="GN304">
        <v>0</v>
      </c>
      <c r="GO304">
        <v>0</v>
      </c>
      <c r="GP304">
        <v>0</v>
      </c>
      <c r="GQ304">
        <v>0</v>
      </c>
      <c r="GR304">
        <v>0</v>
      </c>
      <c r="GS304">
        <v>0</v>
      </c>
      <c r="GT304">
        <v>0</v>
      </c>
      <c r="GU304">
        <v>0</v>
      </c>
      <c r="GV304">
        <v>0</v>
      </c>
      <c r="GW304">
        <v>0</v>
      </c>
      <c r="GX304">
        <v>0</v>
      </c>
      <c r="GY304">
        <v>0</v>
      </c>
      <c r="GZ304">
        <v>0</v>
      </c>
      <c r="HA304">
        <v>0</v>
      </c>
      <c r="HB304">
        <v>0</v>
      </c>
      <c r="HC304">
        <v>0</v>
      </c>
      <c r="HD304">
        <v>0</v>
      </c>
      <c r="HE304">
        <v>0</v>
      </c>
      <c r="HF304">
        <v>0</v>
      </c>
      <c r="HG304">
        <v>0</v>
      </c>
      <c r="HH304">
        <v>0</v>
      </c>
      <c r="HI304">
        <v>0</v>
      </c>
      <c r="HJ304">
        <v>0</v>
      </c>
      <c r="HK304">
        <v>0</v>
      </c>
      <c r="HL304">
        <v>0</v>
      </c>
      <c r="HM304">
        <v>0</v>
      </c>
      <c r="HN304">
        <v>0</v>
      </c>
      <c r="HO304">
        <v>0</v>
      </c>
      <c r="HP304">
        <v>0</v>
      </c>
      <c r="HQ304">
        <v>0</v>
      </c>
      <c r="HR304">
        <v>0</v>
      </c>
      <c r="HS304">
        <v>0</v>
      </c>
      <c r="HT304">
        <v>0</v>
      </c>
      <c r="HU304">
        <v>0</v>
      </c>
      <c r="HV304">
        <v>0</v>
      </c>
      <c r="HW304">
        <v>0</v>
      </c>
      <c r="HX304">
        <v>0</v>
      </c>
      <c r="HY304">
        <v>0</v>
      </c>
      <c r="HZ304">
        <v>0</v>
      </c>
      <c r="IA304">
        <v>0</v>
      </c>
      <c r="IB304">
        <v>0</v>
      </c>
      <c r="IC304">
        <v>0</v>
      </c>
      <c r="ID304">
        <v>0</v>
      </c>
      <c r="IE304">
        <v>0</v>
      </c>
      <c r="IF304">
        <v>0</v>
      </c>
      <c r="IG304">
        <v>0</v>
      </c>
      <c r="IH304">
        <v>0</v>
      </c>
      <c r="II304">
        <v>0</v>
      </c>
      <c r="IJ304">
        <v>0</v>
      </c>
      <c r="IK304">
        <v>0</v>
      </c>
    </row>
    <row r="305" spans="13:245" hidden="1">
      <c r="M305" s="343" t="s">
        <v>633</v>
      </c>
      <c r="N305" t="s">
        <v>1010</v>
      </c>
      <c r="O305">
        <v>2</v>
      </c>
      <c r="P305">
        <v>36</v>
      </c>
      <c r="Q305" s="184" t="str">
        <f t="shared" si="12"/>
        <v>SDJ200236</v>
      </c>
      <c r="R305">
        <v>468.5</v>
      </c>
      <c r="S305">
        <v>2000</v>
      </c>
      <c r="T305">
        <v>2000</v>
      </c>
      <c r="U305">
        <v>2000</v>
      </c>
      <c r="V305">
        <v>2342.6</v>
      </c>
      <c r="W305">
        <v>2811.1</v>
      </c>
      <c r="X305">
        <v>3279.6</v>
      </c>
      <c r="Y305">
        <v>3748.2</v>
      </c>
      <c r="Z305">
        <v>4216.7</v>
      </c>
      <c r="AA305">
        <v>4685.2</v>
      </c>
      <c r="AB305">
        <v>5153.7</v>
      </c>
      <c r="AC305">
        <v>5622.2</v>
      </c>
      <c r="AD305">
        <v>6090.8</v>
      </c>
      <c r="AE305">
        <v>6559.3</v>
      </c>
      <c r="AF305">
        <v>7027.8</v>
      </c>
      <c r="AG305">
        <v>7496.3</v>
      </c>
      <c r="AH305">
        <v>7964.8</v>
      </c>
      <c r="AI305">
        <v>8433.4</v>
      </c>
      <c r="AJ305">
        <v>8901.9</v>
      </c>
      <c r="AK305">
        <v>9370.4</v>
      </c>
      <c r="AL305">
        <v>9370.4</v>
      </c>
      <c r="AM305">
        <v>9370.4</v>
      </c>
      <c r="AN305">
        <v>9370.4</v>
      </c>
      <c r="AO305">
        <v>9370.4</v>
      </c>
      <c r="AP305">
        <v>9370.4</v>
      </c>
      <c r="AQ305">
        <v>9370.4</v>
      </c>
      <c r="AR305">
        <v>9370.4</v>
      </c>
      <c r="AS305">
        <v>9370.4</v>
      </c>
      <c r="AT305">
        <v>9370.4</v>
      </c>
      <c r="AU305">
        <v>9370.4</v>
      </c>
      <c r="AV305">
        <v>9370.4</v>
      </c>
      <c r="AW305">
        <v>9370.4</v>
      </c>
      <c r="AX305">
        <v>9370.4</v>
      </c>
      <c r="AY305">
        <v>9370.4</v>
      </c>
      <c r="AZ305">
        <v>9370.4</v>
      </c>
      <c r="BA305">
        <v>9370.4</v>
      </c>
      <c r="BB305">
        <v>9370.4</v>
      </c>
      <c r="BC305">
        <v>9370.4</v>
      </c>
      <c r="BD305">
        <v>9370.4</v>
      </c>
      <c r="BE305">
        <v>9370.4</v>
      </c>
      <c r="BF305">
        <v>9370.4</v>
      </c>
      <c r="BG305">
        <v>9370.4</v>
      </c>
      <c r="BH305">
        <v>9370.4</v>
      </c>
      <c r="BI305">
        <v>9370.4</v>
      </c>
      <c r="BJ305">
        <v>9370.4</v>
      </c>
      <c r="BK305">
        <v>9370.4</v>
      </c>
      <c r="BL305">
        <v>9370.4</v>
      </c>
      <c r="BM305">
        <v>9370.4</v>
      </c>
      <c r="BN305">
        <v>9370.4</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Z305" s="343" t="s">
        <v>633</v>
      </c>
      <c r="EA305" t="s">
        <v>1010</v>
      </c>
      <c r="EB305">
        <v>2</v>
      </c>
      <c r="EC305">
        <v>36</v>
      </c>
      <c r="ED305" s="184" t="str">
        <f t="shared" si="13"/>
        <v>SDJ200236</v>
      </c>
      <c r="EE305">
        <v>468.5</v>
      </c>
      <c r="EF305">
        <v>10000</v>
      </c>
      <c r="EG305">
        <v>10000</v>
      </c>
      <c r="EH305">
        <v>10000</v>
      </c>
      <c r="EI305">
        <v>10000</v>
      </c>
      <c r="EJ305">
        <v>10000</v>
      </c>
      <c r="EK305">
        <v>10000</v>
      </c>
      <c r="EL305">
        <v>10000</v>
      </c>
      <c r="EM305">
        <v>10000</v>
      </c>
      <c r="EN305">
        <v>10000</v>
      </c>
      <c r="EO305">
        <v>10000</v>
      </c>
      <c r="EP305">
        <v>10000</v>
      </c>
      <c r="EQ305">
        <v>10000</v>
      </c>
      <c r="ER305">
        <v>10000</v>
      </c>
      <c r="ES305">
        <v>10000</v>
      </c>
      <c r="ET305">
        <v>10000</v>
      </c>
      <c r="EU305">
        <v>10000</v>
      </c>
      <c r="EV305">
        <v>10000</v>
      </c>
      <c r="EW305">
        <v>10000</v>
      </c>
      <c r="EX305">
        <v>10000</v>
      </c>
      <c r="EY305">
        <v>10000</v>
      </c>
      <c r="EZ305">
        <v>10000</v>
      </c>
      <c r="FA305">
        <v>10000</v>
      </c>
      <c r="FB305">
        <v>10000</v>
      </c>
      <c r="FC305">
        <v>10000</v>
      </c>
      <c r="FD305">
        <v>10000</v>
      </c>
      <c r="FE305">
        <v>10000</v>
      </c>
      <c r="FF305">
        <v>10000</v>
      </c>
      <c r="FG305">
        <v>10000</v>
      </c>
      <c r="FH305">
        <v>10000</v>
      </c>
      <c r="FI305">
        <v>10000</v>
      </c>
      <c r="FJ305">
        <v>10000</v>
      </c>
      <c r="FK305">
        <v>10000</v>
      </c>
      <c r="FL305">
        <v>10000</v>
      </c>
      <c r="FM305">
        <v>10000</v>
      </c>
      <c r="FN305">
        <v>10000</v>
      </c>
      <c r="FO305">
        <v>10000</v>
      </c>
      <c r="FP305">
        <v>10000</v>
      </c>
      <c r="FQ305">
        <v>10000</v>
      </c>
      <c r="FR305">
        <v>10000</v>
      </c>
      <c r="FS305">
        <v>10000</v>
      </c>
      <c r="FT305">
        <v>10000</v>
      </c>
      <c r="FU305">
        <v>10000</v>
      </c>
      <c r="FV305">
        <v>10000</v>
      </c>
      <c r="FW305">
        <v>10000</v>
      </c>
      <c r="FX305">
        <v>10000</v>
      </c>
      <c r="FY305">
        <v>10000</v>
      </c>
      <c r="FZ305">
        <v>10000</v>
      </c>
      <c r="GA305">
        <v>10000</v>
      </c>
      <c r="GB305">
        <v>0</v>
      </c>
      <c r="GC305">
        <v>0</v>
      </c>
      <c r="GD305">
        <v>0</v>
      </c>
      <c r="GE305">
        <v>0</v>
      </c>
      <c r="GF305">
        <v>0</v>
      </c>
      <c r="GG305">
        <v>0</v>
      </c>
      <c r="GH305">
        <v>0</v>
      </c>
      <c r="GI305">
        <v>0</v>
      </c>
      <c r="GJ305">
        <v>0</v>
      </c>
      <c r="GK305">
        <v>0</v>
      </c>
      <c r="GL305">
        <v>0</v>
      </c>
      <c r="GM305">
        <v>0</v>
      </c>
      <c r="GN305">
        <v>0</v>
      </c>
      <c r="GO305">
        <v>0</v>
      </c>
      <c r="GP305">
        <v>0</v>
      </c>
      <c r="GQ305">
        <v>0</v>
      </c>
      <c r="GR305">
        <v>0</v>
      </c>
      <c r="GS305">
        <v>0</v>
      </c>
      <c r="GT305">
        <v>0</v>
      </c>
      <c r="GU305">
        <v>0</v>
      </c>
      <c r="GV305">
        <v>0</v>
      </c>
      <c r="GW305">
        <v>0</v>
      </c>
      <c r="GX305">
        <v>0</v>
      </c>
      <c r="GY305">
        <v>0</v>
      </c>
      <c r="GZ305">
        <v>0</v>
      </c>
      <c r="HA305">
        <v>0</v>
      </c>
      <c r="HB305">
        <v>0</v>
      </c>
      <c r="HC305">
        <v>0</v>
      </c>
      <c r="HD305">
        <v>0</v>
      </c>
      <c r="HE305">
        <v>0</v>
      </c>
      <c r="HF305">
        <v>0</v>
      </c>
      <c r="HG305">
        <v>0</v>
      </c>
      <c r="HH305">
        <v>0</v>
      </c>
      <c r="HI305">
        <v>0</v>
      </c>
      <c r="HJ305">
        <v>0</v>
      </c>
      <c r="HK305">
        <v>0</v>
      </c>
      <c r="HL305">
        <v>0</v>
      </c>
      <c r="HM305">
        <v>0</v>
      </c>
      <c r="HN305">
        <v>0</v>
      </c>
      <c r="HO305">
        <v>0</v>
      </c>
      <c r="HP305">
        <v>0</v>
      </c>
      <c r="HQ305">
        <v>0</v>
      </c>
      <c r="HR305">
        <v>0</v>
      </c>
      <c r="HS305">
        <v>0</v>
      </c>
      <c r="HT305">
        <v>0</v>
      </c>
      <c r="HU305">
        <v>0</v>
      </c>
      <c r="HV305">
        <v>0</v>
      </c>
      <c r="HW305">
        <v>0</v>
      </c>
      <c r="HX305">
        <v>0</v>
      </c>
      <c r="HY305">
        <v>0</v>
      </c>
      <c r="HZ305">
        <v>0</v>
      </c>
      <c r="IA305">
        <v>0</v>
      </c>
      <c r="IB305">
        <v>0</v>
      </c>
      <c r="IC305">
        <v>0</v>
      </c>
      <c r="ID305">
        <v>0</v>
      </c>
      <c r="IE305">
        <v>0</v>
      </c>
      <c r="IF305">
        <v>0</v>
      </c>
      <c r="IG305">
        <v>0</v>
      </c>
      <c r="IH305">
        <v>0</v>
      </c>
      <c r="II305">
        <v>0</v>
      </c>
      <c r="IJ305">
        <v>0</v>
      </c>
      <c r="IK305">
        <v>0</v>
      </c>
    </row>
    <row r="306" spans="13:245" hidden="1">
      <c r="M306" s="343" t="s">
        <v>633</v>
      </c>
      <c r="N306" t="s">
        <v>1010</v>
      </c>
      <c r="O306">
        <v>2</v>
      </c>
      <c r="P306">
        <v>37</v>
      </c>
      <c r="Q306" s="184" t="str">
        <f t="shared" si="12"/>
        <v>SDJ200237</v>
      </c>
      <c r="R306">
        <v>473.8</v>
      </c>
      <c r="S306">
        <v>2000</v>
      </c>
      <c r="T306">
        <v>2000</v>
      </c>
      <c r="U306">
        <v>2000</v>
      </c>
      <c r="V306">
        <v>2369.1</v>
      </c>
      <c r="W306">
        <v>2842.9</v>
      </c>
      <c r="X306">
        <v>3316.7</v>
      </c>
      <c r="Y306">
        <v>3790.6</v>
      </c>
      <c r="Z306">
        <v>4264.3999999999996</v>
      </c>
      <c r="AA306">
        <v>4738.2</v>
      </c>
      <c r="AB306">
        <v>5212</v>
      </c>
      <c r="AC306">
        <v>5685.8</v>
      </c>
      <c r="AD306">
        <v>6159.7</v>
      </c>
      <c r="AE306">
        <v>6633.5</v>
      </c>
      <c r="AF306">
        <v>7107.3</v>
      </c>
      <c r="AG306">
        <v>7581.1</v>
      </c>
      <c r="AH306">
        <v>8054.9</v>
      </c>
      <c r="AI306">
        <v>8528.7999999999993</v>
      </c>
      <c r="AJ306">
        <v>9002.6</v>
      </c>
      <c r="AK306">
        <v>9476.4</v>
      </c>
      <c r="AL306">
        <v>9476.4</v>
      </c>
      <c r="AM306">
        <v>9476.4</v>
      </c>
      <c r="AN306">
        <v>9476.4</v>
      </c>
      <c r="AO306">
        <v>9476.4</v>
      </c>
      <c r="AP306">
        <v>9476.4</v>
      </c>
      <c r="AQ306">
        <v>9476.4</v>
      </c>
      <c r="AR306">
        <v>9476.4</v>
      </c>
      <c r="AS306">
        <v>9476.4</v>
      </c>
      <c r="AT306">
        <v>9476.4</v>
      </c>
      <c r="AU306">
        <v>9476.4</v>
      </c>
      <c r="AV306">
        <v>9476.4</v>
      </c>
      <c r="AW306">
        <v>9476.4</v>
      </c>
      <c r="AX306">
        <v>9476.4</v>
      </c>
      <c r="AY306">
        <v>9476.4</v>
      </c>
      <c r="AZ306">
        <v>9476.4</v>
      </c>
      <c r="BA306">
        <v>9476.4</v>
      </c>
      <c r="BB306">
        <v>9476.4</v>
      </c>
      <c r="BC306">
        <v>9476.4</v>
      </c>
      <c r="BD306">
        <v>9476.4</v>
      </c>
      <c r="BE306">
        <v>9476.4</v>
      </c>
      <c r="BF306">
        <v>9476.4</v>
      </c>
      <c r="BG306">
        <v>9476.4</v>
      </c>
      <c r="BH306">
        <v>9476.4</v>
      </c>
      <c r="BI306">
        <v>9476.4</v>
      </c>
      <c r="BJ306">
        <v>9476.4</v>
      </c>
      <c r="BK306">
        <v>9476.4</v>
      </c>
      <c r="BL306">
        <v>9476.4</v>
      </c>
      <c r="BM306">
        <v>9476.4</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Z306" s="343" t="s">
        <v>633</v>
      </c>
      <c r="EA306" t="s">
        <v>1010</v>
      </c>
      <c r="EB306">
        <v>2</v>
      </c>
      <c r="EC306">
        <v>37</v>
      </c>
      <c r="ED306" s="184" t="str">
        <f t="shared" si="13"/>
        <v>SDJ200237</v>
      </c>
      <c r="EE306">
        <v>473.8</v>
      </c>
      <c r="EF306">
        <v>10000</v>
      </c>
      <c r="EG306">
        <v>10000</v>
      </c>
      <c r="EH306">
        <v>10000</v>
      </c>
      <c r="EI306">
        <v>10000</v>
      </c>
      <c r="EJ306">
        <v>10000</v>
      </c>
      <c r="EK306">
        <v>10000</v>
      </c>
      <c r="EL306">
        <v>10000</v>
      </c>
      <c r="EM306">
        <v>10000</v>
      </c>
      <c r="EN306">
        <v>10000</v>
      </c>
      <c r="EO306">
        <v>10000</v>
      </c>
      <c r="EP306">
        <v>10000</v>
      </c>
      <c r="EQ306">
        <v>10000</v>
      </c>
      <c r="ER306">
        <v>10000</v>
      </c>
      <c r="ES306">
        <v>10000</v>
      </c>
      <c r="ET306">
        <v>10000</v>
      </c>
      <c r="EU306">
        <v>10000</v>
      </c>
      <c r="EV306">
        <v>10000</v>
      </c>
      <c r="EW306">
        <v>10000</v>
      </c>
      <c r="EX306">
        <v>10000</v>
      </c>
      <c r="EY306">
        <v>10000</v>
      </c>
      <c r="EZ306">
        <v>10000</v>
      </c>
      <c r="FA306">
        <v>10000</v>
      </c>
      <c r="FB306">
        <v>10000</v>
      </c>
      <c r="FC306">
        <v>10000</v>
      </c>
      <c r="FD306">
        <v>10000</v>
      </c>
      <c r="FE306">
        <v>10000</v>
      </c>
      <c r="FF306">
        <v>10000</v>
      </c>
      <c r="FG306">
        <v>10000</v>
      </c>
      <c r="FH306">
        <v>10000</v>
      </c>
      <c r="FI306">
        <v>10000</v>
      </c>
      <c r="FJ306">
        <v>10000</v>
      </c>
      <c r="FK306">
        <v>10000</v>
      </c>
      <c r="FL306">
        <v>10000</v>
      </c>
      <c r="FM306">
        <v>10000</v>
      </c>
      <c r="FN306">
        <v>10000</v>
      </c>
      <c r="FO306">
        <v>10000</v>
      </c>
      <c r="FP306">
        <v>10000</v>
      </c>
      <c r="FQ306">
        <v>10000</v>
      </c>
      <c r="FR306">
        <v>10000</v>
      </c>
      <c r="FS306">
        <v>10000</v>
      </c>
      <c r="FT306">
        <v>10000</v>
      </c>
      <c r="FU306">
        <v>10000</v>
      </c>
      <c r="FV306">
        <v>10000</v>
      </c>
      <c r="FW306">
        <v>10000</v>
      </c>
      <c r="FX306">
        <v>10000</v>
      </c>
      <c r="FY306">
        <v>10000</v>
      </c>
      <c r="FZ306">
        <v>10000</v>
      </c>
      <c r="GA306">
        <v>0</v>
      </c>
      <c r="GB306">
        <v>0</v>
      </c>
      <c r="GC306">
        <v>0</v>
      </c>
      <c r="GD306">
        <v>0</v>
      </c>
      <c r="GE306">
        <v>0</v>
      </c>
      <c r="GF306">
        <v>0</v>
      </c>
      <c r="GG306">
        <v>0</v>
      </c>
      <c r="GH306">
        <v>0</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0</v>
      </c>
      <c r="HB306">
        <v>0</v>
      </c>
      <c r="HC306">
        <v>0</v>
      </c>
      <c r="HD306">
        <v>0</v>
      </c>
      <c r="HE306">
        <v>0</v>
      </c>
      <c r="HF306">
        <v>0</v>
      </c>
      <c r="HG306">
        <v>0</v>
      </c>
      <c r="HH306">
        <v>0</v>
      </c>
      <c r="HI306">
        <v>0</v>
      </c>
      <c r="HJ306">
        <v>0</v>
      </c>
      <c r="HK306">
        <v>0</v>
      </c>
      <c r="HL306">
        <v>0</v>
      </c>
      <c r="HM306">
        <v>0</v>
      </c>
      <c r="HN306">
        <v>0</v>
      </c>
      <c r="HO306">
        <v>0</v>
      </c>
      <c r="HP306">
        <v>0</v>
      </c>
      <c r="HQ306">
        <v>0</v>
      </c>
      <c r="HR306">
        <v>0</v>
      </c>
      <c r="HS306">
        <v>0</v>
      </c>
      <c r="HT306">
        <v>0</v>
      </c>
      <c r="HU306">
        <v>0</v>
      </c>
      <c r="HV306">
        <v>0</v>
      </c>
      <c r="HW306">
        <v>0</v>
      </c>
      <c r="HX306">
        <v>0</v>
      </c>
      <c r="HY306">
        <v>0</v>
      </c>
      <c r="HZ306">
        <v>0</v>
      </c>
      <c r="IA306">
        <v>0</v>
      </c>
      <c r="IB306">
        <v>0</v>
      </c>
      <c r="IC306">
        <v>0</v>
      </c>
      <c r="ID306">
        <v>0</v>
      </c>
      <c r="IE306">
        <v>0</v>
      </c>
      <c r="IF306">
        <v>0</v>
      </c>
      <c r="IG306">
        <v>0</v>
      </c>
      <c r="IH306">
        <v>0</v>
      </c>
      <c r="II306">
        <v>0</v>
      </c>
      <c r="IJ306">
        <v>0</v>
      </c>
      <c r="IK306">
        <v>0</v>
      </c>
    </row>
    <row r="307" spans="13:245" hidden="1">
      <c r="M307" s="343" t="s">
        <v>633</v>
      </c>
      <c r="N307" t="s">
        <v>1010</v>
      </c>
      <c r="O307">
        <v>2</v>
      </c>
      <c r="P307">
        <v>38</v>
      </c>
      <c r="Q307" s="184" t="str">
        <f t="shared" si="12"/>
        <v>SDJ200238</v>
      </c>
      <c r="R307">
        <v>481.2</v>
      </c>
      <c r="S307">
        <v>2000</v>
      </c>
      <c r="T307">
        <v>2000</v>
      </c>
      <c r="U307">
        <v>2000</v>
      </c>
      <c r="V307">
        <v>2406.1999999999998</v>
      </c>
      <c r="W307">
        <v>2887.4</v>
      </c>
      <c r="X307">
        <v>3368.7</v>
      </c>
      <c r="Y307">
        <v>3849.9</v>
      </c>
      <c r="Z307">
        <v>4331.2</v>
      </c>
      <c r="AA307">
        <v>4812.3999999999996</v>
      </c>
      <c r="AB307">
        <v>5293.6</v>
      </c>
      <c r="AC307">
        <v>5774.9</v>
      </c>
      <c r="AD307">
        <v>6256.1</v>
      </c>
      <c r="AE307">
        <v>6737.4</v>
      </c>
      <c r="AF307">
        <v>7218.6</v>
      </c>
      <c r="AG307">
        <v>7699.8</v>
      </c>
      <c r="AH307">
        <v>8181.1</v>
      </c>
      <c r="AI307">
        <v>8662.2999999999993</v>
      </c>
      <c r="AJ307">
        <v>9143.6</v>
      </c>
      <c r="AK307">
        <v>9624.7999999999993</v>
      </c>
      <c r="AL307">
        <v>9624.7999999999993</v>
      </c>
      <c r="AM307">
        <v>9624.7999999999993</v>
      </c>
      <c r="AN307">
        <v>9624.7999999999993</v>
      </c>
      <c r="AO307">
        <v>9624.7999999999993</v>
      </c>
      <c r="AP307">
        <v>9624.7999999999993</v>
      </c>
      <c r="AQ307">
        <v>9624.7999999999993</v>
      </c>
      <c r="AR307">
        <v>9624.7999999999993</v>
      </c>
      <c r="AS307">
        <v>9624.7999999999993</v>
      </c>
      <c r="AT307">
        <v>9624.7999999999993</v>
      </c>
      <c r="AU307">
        <v>9624.7999999999993</v>
      </c>
      <c r="AV307">
        <v>9624.7999999999993</v>
      </c>
      <c r="AW307">
        <v>9624.7999999999993</v>
      </c>
      <c r="AX307">
        <v>9624.7999999999993</v>
      </c>
      <c r="AY307">
        <v>9624.7999999999993</v>
      </c>
      <c r="AZ307">
        <v>9624.7999999999993</v>
      </c>
      <c r="BA307">
        <v>9624.7999999999993</v>
      </c>
      <c r="BB307">
        <v>9624.7999999999993</v>
      </c>
      <c r="BC307">
        <v>9624.7999999999993</v>
      </c>
      <c r="BD307">
        <v>9624.7999999999993</v>
      </c>
      <c r="BE307">
        <v>9624.7999999999993</v>
      </c>
      <c r="BF307">
        <v>9624.7999999999993</v>
      </c>
      <c r="BG307">
        <v>9624.7999999999993</v>
      </c>
      <c r="BH307">
        <v>9624.7999999999993</v>
      </c>
      <c r="BI307">
        <v>9624.7999999999993</v>
      </c>
      <c r="BJ307">
        <v>9624.7999999999993</v>
      </c>
      <c r="BK307">
        <v>9624.7999999999993</v>
      </c>
      <c r="BL307">
        <v>9624.7999999999993</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Z307" s="343" t="s">
        <v>633</v>
      </c>
      <c r="EA307" t="s">
        <v>1010</v>
      </c>
      <c r="EB307">
        <v>2</v>
      </c>
      <c r="EC307">
        <v>38</v>
      </c>
      <c r="ED307" s="184" t="str">
        <f t="shared" si="13"/>
        <v>SDJ200238</v>
      </c>
      <c r="EE307">
        <v>481.2</v>
      </c>
      <c r="EF307">
        <v>10000</v>
      </c>
      <c r="EG307">
        <v>10000</v>
      </c>
      <c r="EH307">
        <v>10000</v>
      </c>
      <c r="EI307">
        <v>10000</v>
      </c>
      <c r="EJ307">
        <v>10000</v>
      </c>
      <c r="EK307">
        <v>10000</v>
      </c>
      <c r="EL307">
        <v>10000</v>
      </c>
      <c r="EM307">
        <v>10000</v>
      </c>
      <c r="EN307">
        <v>10000</v>
      </c>
      <c r="EO307">
        <v>10000</v>
      </c>
      <c r="EP307">
        <v>10000</v>
      </c>
      <c r="EQ307">
        <v>10000</v>
      </c>
      <c r="ER307">
        <v>10000</v>
      </c>
      <c r="ES307">
        <v>10000</v>
      </c>
      <c r="ET307">
        <v>10000</v>
      </c>
      <c r="EU307">
        <v>10000</v>
      </c>
      <c r="EV307">
        <v>10000</v>
      </c>
      <c r="EW307">
        <v>10000</v>
      </c>
      <c r="EX307">
        <v>10000</v>
      </c>
      <c r="EY307">
        <v>10000</v>
      </c>
      <c r="EZ307">
        <v>10000</v>
      </c>
      <c r="FA307">
        <v>10000</v>
      </c>
      <c r="FB307">
        <v>10000</v>
      </c>
      <c r="FC307">
        <v>10000</v>
      </c>
      <c r="FD307">
        <v>10000</v>
      </c>
      <c r="FE307">
        <v>10000</v>
      </c>
      <c r="FF307">
        <v>10000</v>
      </c>
      <c r="FG307">
        <v>10000</v>
      </c>
      <c r="FH307">
        <v>10000</v>
      </c>
      <c r="FI307">
        <v>10000</v>
      </c>
      <c r="FJ307">
        <v>10000</v>
      </c>
      <c r="FK307">
        <v>10000</v>
      </c>
      <c r="FL307">
        <v>10000</v>
      </c>
      <c r="FM307">
        <v>10000</v>
      </c>
      <c r="FN307">
        <v>10000</v>
      </c>
      <c r="FO307">
        <v>10000</v>
      </c>
      <c r="FP307">
        <v>10000</v>
      </c>
      <c r="FQ307">
        <v>10000</v>
      </c>
      <c r="FR307">
        <v>10000</v>
      </c>
      <c r="FS307">
        <v>10000</v>
      </c>
      <c r="FT307">
        <v>10000</v>
      </c>
      <c r="FU307">
        <v>10000</v>
      </c>
      <c r="FV307">
        <v>10000</v>
      </c>
      <c r="FW307">
        <v>10000</v>
      </c>
      <c r="FX307">
        <v>10000</v>
      </c>
      <c r="FY307">
        <v>10000</v>
      </c>
      <c r="FZ307">
        <v>0</v>
      </c>
      <c r="GA307">
        <v>0</v>
      </c>
      <c r="GB307">
        <v>0</v>
      </c>
      <c r="GC307">
        <v>0</v>
      </c>
      <c r="GD307">
        <v>0</v>
      </c>
      <c r="GE307">
        <v>0</v>
      </c>
      <c r="GF307">
        <v>0</v>
      </c>
      <c r="GG307">
        <v>0</v>
      </c>
      <c r="GH307">
        <v>0</v>
      </c>
      <c r="GI307">
        <v>0</v>
      </c>
      <c r="GJ307">
        <v>0</v>
      </c>
      <c r="GK307">
        <v>0</v>
      </c>
      <c r="GL307">
        <v>0</v>
      </c>
      <c r="GM307">
        <v>0</v>
      </c>
      <c r="GN307">
        <v>0</v>
      </c>
      <c r="GO307">
        <v>0</v>
      </c>
      <c r="GP307">
        <v>0</v>
      </c>
      <c r="GQ307">
        <v>0</v>
      </c>
      <c r="GR307">
        <v>0</v>
      </c>
      <c r="GS307">
        <v>0</v>
      </c>
      <c r="GT307">
        <v>0</v>
      </c>
      <c r="GU307">
        <v>0</v>
      </c>
      <c r="GV307">
        <v>0</v>
      </c>
      <c r="GW307">
        <v>0</v>
      </c>
      <c r="GX307">
        <v>0</v>
      </c>
      <c r="GY307">
        <v>0</v>
      </c>
      <c r="GZ307">
        <v>0</v>
      </c>
      <c r="HA307">
        <v>0</v>
      </c>
      <c r="HB307">
        <v>0</v>
      </c>
      <c r="HC307">
        <v>0</v>
      </c>
      <c r="HD307">
        <v>0</v>
      </c>
      <c r="HE307">
        <v>0</v>
      </c>
      <c r="HF307">
        <v>0</v>
      </c>
      <c r="HG307">
        <v>0</v>
      </c>
      <c r="HH307">
        <v>0</v>
      </c>
      <c r="HI307">
        <v>0</v>
      </c>
      <c r="HJ307">
        <v>0</v>
      </c>
      <c r="HK307">
        <v>0</v>
      </c>
      <c r="HL307">
        <v>0</v>
      </c>
      <c r="HM307">
        <v>0</v>
      </c>
      <c r="HN307">
        <v>0</v>
      </c>
      <c r="HO307">
        <v>0</v>
      </c>
      <c r="HP307">
        <v>0</v>
      </c>
      <c r="HQ307">
        <v>0</v>
      </c>
      <c r="HR307">
        <v>0</v>
      </c>
      <c r="HS307">
        <v>0</v>
      </c>
      <c r="HT307">
        <v>0</v>
      </c>
      <c r="HU307">
        <v>0</v>
      </c>
      <c r="HV307">
        <v>0</v>
      </c>
      <c r="HW307">
        <v>0</v>
      </c>
      <c r="HX307">
        <v>0</v>
      </c>
      <c r="HY307">
        <v>0</v>
      </c>
      <c r="HZ307">
        <v>0</v>
      </c>
      <c r="IA307">
        <v>0</v>
      </c>
      <c r="IB307">
        <v>0</v>
      </c>
      <c r="IC307">
        <v>0</v>
      </c>
      <c r="ID307">
        <v>0</v>
      </c>
      <c r="IE307">
        <v>0</v>
      </c>
      <c r="IF307">
        <v>0</v>
      </c>
      <c r="IG307">
        <v>0</v>
      </c>
      <c r="IH307">
        <v>0</v>
      </c>
      <c r="II307">
        <v>0</v>
      </c>
      <c r="IJ307">
        <v>0</v>
      </c>
      <c r="IK307">
        <v>0</v>
      </c>
    </row>
    <row r="308" spans="13:245" hidden="1">
      <c r="M308" s="343" t="s">
        <v>633</v>
      </c>
      <c r="N308" t="s">
        <v>1010</v>
      </c>
      <c r="O308">
        <v>2</v>
      </c>
      <c r="P308">
        <v>39</v>
      </c>
      <c r="Q308" s="184" t="str">
        <f t="shared" si="12"/>
        <v>SDJ200239</v>
      </c>
      <c r="R308">
        <v>485.5</v>
      </c>
      <c r="S308">
        <v>2000</v>
      </c>
      <c r="T308">
        <v>2000</v>
      </c>
      <c r="U308">
        <v>2000</v>
      </c>
      <c r="V308">
        <v>2427.4</v>
      </c>
      <c r="W308">
        <v>2912.9</v>
      </c>
      <c r="X308">
        <v>3398.4</v>
      </c>
      <c r="Y308">
        <v>3883.8</v>
      </c>
      <c r="Z308">
        <v>4369.3</v>
      </c>
      <c r="AA308">
        <v>4854.8</v>
      </c>
      <c r="AB308">
        <v>5340.3</v>
      </c>
      <c r="AC308">
        <v>5825.8</v>
      </c>
      <c r="AD308">
        <v>6311.2</v>
      </c>
      <c r="AE308">
        <v>6796.7</v>
      </c>
      <c r="AF308">
        <v>7282.2</v>
      </c>
      <c r="AG308">
        <v>7767.7</v>
      </c>
      <c r="AH308">
        <v>8253.2000000000007</v>
      </c>
      <c r="AI308">
        <v>8738.6</v>
      </c>
      <c r="AJ308">
        <v>9224.1</v>
      </c>
      <c r="AK308">
        <v>9709.6</v>
      </c>
      <c r="AL308">
        <v>9709.6</v>
      </c>
      <c r="AM308">
        <v>9709.6</v>
      </c>
      <c r="AN308">
        <v>9709.6</v>
      </c>
      <c r="AO308">
        <v>9709.6</v>
      </c>
      <c r="AP308">
        <v>9709.6</v>
      </c>
      <c r="AQ308">
        <v>9709.6</v>
      </c>
      <c r="AR308">
        <v>9709.6</v>
      </c>
      <c r="AS308">
        <v>9709.6</v>
      </c>
      <c r="AT308">
        <v>9709.6</v>
      </c>
      <c r="AU308">
        <v>9709.6</v>
      </c>
      <c r="AV308">
        <v>9709.6</v>
      </c>
      <c r="AW308">
        <v>9709.6</v>
      </c>
      <c r="AX308">
        <v>9709.6</v>
      </c>
      <c r="AY308">
        <v>9709.6</v>
      </c>
      <c r="AZ308">
        <v>9709.6</v>
      </c>
      <c r="BA308">
        <v>9709.6</v>
      </c>
      <c r="BB308">
        <v>9709.6</v>
      </c>
      <c r="BC308">
        <v>9709.6</v>
      </c>
      <c r="BD308">
        <v>9709.6</v>
      </c>
      <c r="BE308">
        <v>9709.6</v>
      </c>
      <c r="BF308">
        <v>9709.6</v>
      </c>
      <c r="BG308">
        <v>9709.6</v>
      </c>
      <c r="BH308">
        <v>9709.6</v>
      </c>
      <c r="BI308">
        <v>9709.6</v>
      </c>
      <c r="BJ308">
        <v>9709.6</v>
      </c>
      <c r="BK308">
        <v>9709.6</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Z308" s="343" t="s">
        <v>633</v>
      </c>
      <c r="EA308" t="s">
        <v>1010</v>
      </c>
      <c r="EB308">
        <v>2</v>
      </c>
      <c r="EC308">
        <v>39</v>
      </c>
      <c r="ED308" s="184" t="str">
        <f t="shared" si="13"/>
        <v>SDJ200239</v>
      </c>
      <c r="EE308">
        <v>485.5</v>
      </c>
      <c r="EF308">
        <v>10000</v>
      </c>
      <c r="EG308">
        <v>10000</v>
      </c>
      <c r="EH308">
        <v>10000</v>
      </c>
      <c r="EI308">
        <v>10000</v>
      </c>
      <c r="EJ308">
        <v>10000</v>
      </c>
      <c r="EK308">
        <v>10000</v>
      </c>
      <c r="EL308">
        <v>10000</v>
      </c>
      <c r="EM308">
        <v>10000</v>
      </c>
      <c r="EN308">
        <v>10000</v>
      </c>
      <c r="EO308">
        <v>10000</v>
      </c>
      <c r="EP308">
        <v>10000</v>
      </c>
      <c r="EQ308">
        <v>10000</v>
      </c>
      <c r="ER308">
        <v>10000</v>
      </c>
      <c r="ES308">
        <v>10000</v>
      </c>
      <c r="ET308">
        <v>10000</v>
      </c>
      <c r="EU308">
        <v>10000</v>
      </c>
      <c r="EV308">
        <v>10000</v>
      </c>
      <c r="EW308">
        <v>10000</v>
      </c>
      <c r="EX308">
        <v>10000</v>
      </c>
      <c r="EY308">
        <v>10000</v>
      </c>
      <c r="EZ308">
        <v>10000</v>
      </c>
      <c r="FA308">
        <v>10000</v>
      </c>
      <c r="FB308">
        <v>10000</v>
      </c>
      <c r="FC308">
        <v>10000</v>
      </c>
      <c r="FD308">
        <v>10000</v>
      </c>
      <c r="FE308">
        <v>10000</v>
      </c>
      <c r="FF308">
        <v>10000</v>
      </c>
      <c r="FG308">
        <v>10000</v>
      </c>
      <c r="FH308">
        <v>10000</v>
      </c>
      <c r="FI308">
        <v>10000</v>
      </c>
      <c r="FJ308">
        <v>10000</v>
      </c>
      <c r="FK308">
        <v>10000</v>
      </c>
      <c r="FL308">
        <v>10000</v>
      </c>
      <c r="FM308">
        <v>10000</v>
      </c>
      <c r="FN308">
        <v>10000</v>
      </c>
      <c r="FO308">
        <v>10000</v>
      </c>
      <c r="FP308">
        <v>10000</v>
      </c>
      <c r="FQ308">
        <v>10000</v>
      </c>
      <c r="FR308">
        <v>10000</v>
      </c>
      <c r="FS308">
        <v>10000</v>
      </c>
      <c r="FT308">
        <v>10000</v>
      </c>
      <c r="FU308">
        <v>10000</v>
      </c>
      <c r="FV308">
        <v>10000</v>
      </c>
      <c r="FW308">
        <v>10000</v>
      </c>
      <c r="FX308">
        <v>10000</v>
      </c>
      <c r="FY308">
        <v>0</v>
      </c>
      <c r="FZ308">
        <v>0</v>
      </c>
      <c r="GA308">
        <v>0</v>
      </c>
      <c r="GB308">
        <v>0</v>
      </c>
      <c r="GC308">
        <v>0</v>
      </c>
      <c r="GD308">
        <v>0</v>
      </c>
      <c r="GE308">
        <v>0</v>
      </c>
      <c r="GF308">
        <v>0</v>
      </c>
      <c r="GG308">
        <v>0</v>
      </c>
      <c r="GH308">
        <v>0</v>
      </c>
      <c r="GI308">
        <v>0</v>
      </c>
      <c r="GJ308">
        <v>0</v>
      </c>
      <c r="GK308">
        <v>0</v>
      </c>
      <c r="GL308">
        <v>0</v>
      </c>
      <c r="GM308">
        <v>0</v>
      </c>
      <c r="GN308">
        <v>0</v>
      </c>
      <c r="GO308">
        <v>0</v>
      </c>
      <c r="GP308">
        <v>0</v>
      </c>
      <c r="GQ308">
        <v>0</v>
      </c>
      <c r="GR308">
        <v>0</v>
      </c>
      <c r="GS308">
        <v>0</v>
      </c>
      <c r="GT308">
        <v>0</v>
      </c>
      <c r="GU308">
        <v>0</v>
      </c>
      <c r="GV308">
        <v>0</v>
      </c>
      <c r="GW308">
        <v>0</v>
      </c>
      <c r="GX308">
        <v>0</v>
      </c>
      <c r="GY308">
        <v>0</v>
      </c>
      <c r="GZ308">
        <v>0</v>
      </c>
      <c r="HA308">
        <v>0</v>
      </c>
      <c r="HB308">
        <v>0</v>
      </c>
      <c r="HC308">
        <v>0</v>
      </c>
      <c r="HD308">
        <v>0</v>
      </c>
      <c r="HE308">
        <v>0</v>
      </c>
      <c r="HF308">
        <v>0</v>
      </c>
      <c r="HG308">
        <v>0</v>
      </c>
      <c r="HH308">
        <v>0</v>
      </c>
      <c r="HI308">
        <v>0</v>
      </c>
      <c r="HJ308">
        <v>0</v>
      </c>
      <c r="HK308">
        <v>0</v>
      </c>
      <c r="HL308">
        <v>0</v>
      </c>
      <c r="HM308">
        <v>0</v>
      </c>
      <c r="HN308">
        <v>0</v>
      </c>
      <c r="HO308">
        <v>0</v>
      </c>
      <c r="HP308">
        <v>0</v>
      </c>
      <c r="HQ308">
        <v>0</v>
      </c>
      <c r="HR308">
        <v>0</v>
      </c>
      <c r="HS308">
        <v>0</v>
      </c>
      <c r="HT308">
        <v>0</v>
      </c>
      <c r="HU308">
        <v>0</v>
      </c>
      <c r="HV308">
        <v>0</v>
      </c>
      <c r="HW308">
        <v>0</v>
      </c>
      <c r="HX308">
        <v>0</v>
      </c>
      <c r="HY308">
        <v>0</v>
      </c>
      <c r="HZ308">
        <v>0</v>
      </c>
      <c r="IA308">
        <v>0</v>
      </c>
      <c r="IB308">
        <v>0</v>
      </c>
      <c r="IC308">
        <v>0</v>
      </c>
      <c r="ID308">
        <v>0</v>
      </c>
      <c r="IE308">
        <v>0</v>
      </c>
      <c r="IF308">
        <v>0</v>
      </c>
      <c r="IG308">
        <v>0</v>
      </c>
      <c r="IH308">
        <v>0</v>
      </c>
      <c r="II308">
        <v>0</v>
      </c>
      <c r="IJ308">
        <v>0</v>
      </c>
      <c r="IK308">
        <v>0</v>
      </c>
    </row>
    <row r="309" spans="13:245" hidden="1">
      <c r="M309" s="343" t="s">
        <v>633</v>
      </c>
      <c r="N309" t="s">
        <v>1010</v>
      </c>
      <c r="O309">
        <v>2</v>
      </c>
      <c r="P309">
        <v>40</v>
      </c>
      <c r="Q309" s="184" t="str">
        <f t="shared" si="12"/>
        <v>SDJ200240</v>
      </c>
      <c r="R309">
        <v>490.8</v>
      </c>
      <c r="S309">
        <v>2000</v>
      </c>
      <c r="T309">
        <v>2000</v>
      </c>
      <c r="U309">
        <v>2000</v>
      </c>
      <c r="V309">
        <v>2453.9</v>
      </c>
      <c r="W309">
        <v>2944.7</v>
      </c>
      <c r="X309">
        <v>3435.5</v>
      </c>
      <c r="Y309">
        <v>3926.2</v>
      </c>
      <c r="Z309">
        <v>4417</v>
      </c>
      <c r="AA309">
        <v>4907.8</v>
      </c>
      <c r="AB309">
        <v>5398.6</v>
      </c>
      <c r="AC309">
        <v>5889.4</v>
      </c>
      <c r="AD309">
        <v>6380.1</v>
      </c>
      <c r="AE309">
        <v>6870.9</v>
      </c>
      <c r="AF309">
        <v>7361.7</v>
      </c>
      <c r="AG309">
        <v>7852.5</v>
      </c>
      <c r="AH309">
        <v>8343.2999999999993</v>
      </c>
      <c r="AI309">
        <v>8834</v>
      </c>
      <c r="AJ309">
        <v>9324.7999999999993</v>
      </c>
      <c r="AK309">
        <v>9815.6</v>
      </c>
      <c r="AL309">
        <v>9815.6</v>
      </c>
      <c r="AM309">
        <v>9815.6</v>
      </c>
      <c r="AN309">
        <v>9815.6</v>
      </c>
      <c r="AO309">
        <v>9815.6</v>
      </c>
      <c r="AP309">
        <v>9815.6</v>
      </c>
      <c r="AQ309">
        <v>9815.6</v>
      </c>
      <c r="AR309">
        <v>9815.6</v>
      </c>
      <c r="AS309">
        <v>9815.6</v>
      </c>
      <c r="AT309">
        <v>9815.6</v>
      </c>
      <c r="AU309">
        <v>9815.6</v>
      </c>
      <c r="AV309">
        <v>9815.6</v>
      </c>
      <c r="AW309">
        <v>9815.6</v>
      </c>
      <c r="AX309">
        <v>9815.6</v>
      </c>
      <c r="AY309">
        <v>9815.6</v>
      </c>
      <c r="AZ309">
        <v>9815.6</v>
      </c>
      <c r="BA309">
        <v>9815.6</v>
      </c>
      <c r="BB309">
        <v>9815.6</v>
      </c>
      <c r="BC309">
        <v>9815.6</v>
      </c>
      <c r="BD309">
        <v>9815.6</v>
      </c>
      <c r="BE309">
        <v>9815.6</v>
      </c>
      <c r="BF309">
        <v>9815.6</v>
      </c>
      <c r="BG309">
        <v>9815.6</v>
      </c>
      <c r="BH309">
        <v>9815.6</v>
      </c>
      <c r="BI309">
        <v>9815.6</v>
      </c>
      <c r="BJ309">
        <v>9815.6</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Z309" s="343" t="s">
        <v>633</v>
      </c>
      <c r="EA309" t="s">
        <v>1010</v>
      </c>
      <c r="EB309">
        <v>2</v>
      </c>
      <c r="EC309">
        <v>40</v>
      </c>
      <c r="ED309" s="184" t="str">
        <f t="shared" si="13"/>
        <v>SDJ200240</v>
      </c>
      <c r="EE309">
        <v>490.8</v>
      </c>
      <c r="EF309">
        <v>10000</v>
      </c>
      <c r="EG309">
        <v>10000</v>
      </c>
      <c r="EH309">
        <v>10000</v>
      </c>
      <c r="EI309">
        <v>10000</v>
      </c>
      <c r="EJ309">
        <v>10000</v>
      </c>
      <c r="EK309">
        <v>10000</v>
      </c>
      <c r="EL309">
        <v>10000</v>
      </c>
      <c r="EM309">
        <v>10000</v>
      </c>
      <c r="EN309">
        <v>10000</v>
      </c>
      <c r="EO309">
        <v>10000</v>
      </c>
      <c r="EP309">
        <v>10000</v>
      </c>
      <c r="EQ309">
        <v>10000</v>
      </c>
      <c r="ER309">
        <v>10000</v>
      </c>
      <c r="ES309">
        <v>10000</v>
      </c>
      <c r="ET309">
        <v>10000</v>
      </c>
      <c r="EU309">
        <v>10000</v>
      </c>
      <c r="EV309">
        <v>10000</v>
      </c>
      <c r="EW309">
        <v>10000</v>
      </c>
      <c r="EX309">
        <v>10000</v>
      </c>
      <c r="EY309">
        <v>10000</v>
      </c>
      <c r="EZ309">
        <v>10000</v>
      </c>
      <c r="FA309">
        <v>10000</v>
      </c>
      <c r="FB309">
        <v>10000</v>
      </c>
      <c r="FC309">
        <v>10000</v>
      </c>
      <c r="FD309">
        <v>10000</v>
      </c>
      <c r="FE309">
        <v>10000</v>
      </c>
      <c r="FF309">
        <v>10000</v>
      </c>
      <c r="FG309">
        <v>10000</v>
      </c>
      <c r="FH309">
        <v>10000</v>
      </c>
      <c r="FI309">
        <v>10000</v>
      </c>
      <c r="FJ309">
        <v>10000</v>
      </c>
      <c r="FK309">
        <v>10000</v>
      </c>
      <c r="FL309">
        <v>10000</v>
      </c>
      <c r="FM309">
        <v>10000</v>
      </c>
      <c r="FN309">
        <v>10000</v>
      </c>
      <c r="FO309">
        <v>10000</v>
      </c>
      <c r="FP309">
        <v>10000</v>
      </c>
      <c r="FQ309">
        <v>10000</v>
      </c>
      <c r="FR309">
        <v>10000</v>
      </c>
      <c r="FS309">
        <v>10000</v>
      </c>
      <c r="FT309">
        <v>10000</v>
      </c>
      <c r="FU309">
        <v>10000</v>
      </c>
      <c r="FV309">
        <v>10000</v>
      </c>
      <c r="FW309">
        <v>10000</v>
      </c>
      <c r="FX309">
        <v>0</v>
      </c>
      <c r="FY309">
        <v>0</v>
      </c>
      <c r="FZ309">
        <v>0</v>
      </c>
      <c r="GA309">
        <v>0</v>
      </c>
      <c r="GB309">
        <v>0</v>
      </c>
      <c r="GC309">
        <v>0</v>
      </c>
      <c r="GD309">
        <v>0</v>
      </c>
      <c r="GE309">
        <v>0</v>
      </c>
      <c r="GF309">
        <v>0</v>
      </c>
      <c r="GG309">
        <v>0</v>
      </c>
      <c r="GH309">
        <v>0</v>
      </c>
      <c r="GI309">
        <v>0</v>
      </c>
      <c r="GJ309">
        <v>0</v>
      </c>
      <c r="GK309">
        <v>0</v>
      </c>
      <c r="GL309">
        <v>0</v>
      </c>
      <c r="GM309">
        <v>0</v>
      </c>
      <c r="GN309">
        <v>0</v>
      </c>
      <c r="GO309">
        <v>0</v>
      </c>
      <c r="GP309">
        <v>0</v>
      </c>
      <c r="GQ309">
        <v>0</v>
      </c>
      <c r="GR309">
        <v>0</v>
      </c>
      <c r="GS309">
        <v>0</v>
      </c>
      <c r="GT309">
        <v>0</v>
      </c>
      <c r="GU309">
        <v>0</v>
      </c>
      <c r="GV309">
        <v>0</v>
      </c>
      <c r="GW309">
        <v>0</v>
      </c>
      <c r="GX309">
        <v>0</v>
      </c>
      <c r="GY309">
        <v>0</v>
      </c>
      <c r="GZ309">
        <v>0</v>
      </c>
      <c r="HA309">
        <v>0</v>
      </c>
      <c r="HB309">
        <v>0</v>
      </c>
      <c r="HC309">
        <v>0</v>
      </c>
      <c r="HD309">
        <v>0</v>
      </c>
      <c r="HE309">
        <v>0</v>
      </c>
      <c r="HF309">
        <v>0</v>
      </c>
      <c r="HG309">
        <v>0</v>
      </c>
      <c r="HH309">
        <v>0</v>
      </c>
      <c r="HI309">
        <v>0</v>
      </c>
      <c r="HJ309">
        <v>0</v>
      </c>
      <c r="HK309">
        <v>0</v>
      </c>
      <c r="HL309">
        <v>0</v>
      </c>
      <c r="HM309">
        <v>0</v>
      </c>
      <c r="HN309">
        <v>0</v>
      </c>
      <c r="HO309">
        <v>0</v>
      </c>
      <c r="HP309">
        <v>0</v>
      </c>
      <c r="HQ309">
        <v>0</v>
      </c>
      <c r="HR309">
        <v>0</v>
      </c>
      <c r="HS309">
        <v>0</v>
      </c>
      <c r="HT309">
        <v>0</v>
      </c>
      <c r="HU309">
        <v>0</v>
      </c>
      <c r="HV309">
        <v>0</v>
      </c>
      <c r="HW309">
        <v>0</v>
      </c>
      <c r="HX309">
        <v>0</v>
      </c>
      <c r="HY309">
        <v>0</v>
      </c>
      <c r="HZ309">
        <v>0</v>
      </c>
      <c r="IA309">
        <v>0</v>
      </c>
      <c r="IB309">
        <v>0</v>
      </c>
      <c r="IC309">
        <v>0</v>
      </c>
      <c r="ID309">
        <v>0</v>
      </c>
      <c r="IE309">
        <v>0</v>
      </c>
      <c r="IF309">
        <v>0</v>
      </c>
      <c r="IG309">
        <v>0</v>
      </c>
      <c r="IH309">
        <v>0</v>
      </c>
      <c r="II309">
        <v>0</v>
      </c>
      <c r="IJ309">
        <v>0</v>
      </c>
      <c r="IK309">
        <v>0</v>
      </c>
    </row>
    <row r="310" spans="13:245" hidden="1">
      <c r="M310" s="343" t="s">
        <v>633</v>
      </c>
      <c r="N310" t="s">
        <v>1010</v>
      </c>
      <c r="O310">
        <v>2</v>
      </c>
      <c r="P310">
        <v>41</v>
      </c>
      <c r="Q310" s="184" t="str">
        <f t="shared" si="12"/>
        <v>SDJ200241</v>
      </c>
      <c r="R310">
        <v>497.1</v>
      </c>
      <c r="S310">
        <v>2000</v>
      </c>
      <c r="T310">
        <v>2000</v>
      </c>
      <c r="U310">
        <v>2000</v>
      </c>
      <c r="V310">
        <v>2485.6999999999998</v>
      </c>
      <c r="W310">
        <v>2982.8</v>
      </c>
      <c r="X310">
        <v>3480</v>
      </c>
      <c r="Y310">
        <v>3977.1</v>
      </c>
      <c r="Z310">
        <v>4474.3</v>
      </c>
      <c r="AA310">
        <v>4971.3999999999996</v>
      </c>
      <c r="AB310">
        <v>5468.5</v>
      </c>
      <c r="AC310">
        <v>5965.7</v>
      </c>
      <c r="AD310">
        <v>6462.8</v>
      </c>
      <c r="AE310">
        <v>6960</v>
      </c>
      <c r="AF310">
        <v>7457.1</v>
      </c>
      <c r="AG310">
        <v>7954.2</v>
      </c>
      <c r="AH310">
        <v>8451.4</v>
      </c>
      <c r="AI310">
        <v>8948.5</v>
      </c>
      <c r="AJ310">
        <v>9445.7000000000007</v>
      </c>
      <c r="AK310">
        <v>9942.7999999999993</v>
      </c>
      <c r="AL310">
        <v>9942.7999999999993</v>
      </c>
      <c r="AM310">
        <v>9942.7999999999993</v>
      </c>
      <c r="AN310">
        <v>9942.7999999999993</v>
      </c>
      <c r="AO310">
        <v>9942.7999999999993</v>
      </c>
      <c r="AP310">
        <v>9942.7999999999993</v>
      </c>
      <c r="AQ310">
        <v>9942.7999999999993</v>
      </c>
      <c r="AR310">
        <v>9942.7999999999993</v>
      </c>
      <c r="AS310">
        <v>9942.7999999999993</v>
      </c>
      <c r="AT310">
        <v>9942.7999999999993</v>
      </c>
      <c r="AU310">
        <v>9942.7999999999993</v>
      </c>
      <c r="AV310">
        <v>9942.7999999999993</v>
      </c>
      <c r="AW310">
        <v>9942.7999999999993</v>
      </c>
      <c r="AX310">
        <v>9942.7999999999993</v>
      </c>
      <c r="AY310">
        <v>9942.7999999999993</v>
      </c>
      <c r="AZ310">
        <v>9942.7999999999993</v>
      </c>
      <c r="BA310">
        <v>9942.7999999999993</v>
      </c>
      <c r="BB310">
        <v>9942.7999999999993</v>
      </c>
      <c r="BC310">
        <v>9942.7999999999993</v>
      </c>
      <c r="BD310">
        <v>9942.7999999999993</v>
      </c>
      <c r="BE310">
        <v>9942.7999999999993</v>
      </c>
      <c r="BF310">
        <v>9942.7999999999993</v>
      </c>
      <c r="BG310">
        <v>9942.7999999999993</v>
      </c>
      <c r="BH310">
        <v>9942.7999999999993</v>
      </c>
      <c r="BI310">
        <v>9942.7999999999993</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Z310" s="343" t="s">
        <v>633</v>
      </c>
      <c r="EA310" t="s">
        <v>1010</v>
      </c>
      <c r="EB310">
        <v>2</v>
      </c>
      <c r="EC310">
        <v>41</v>
      </c>
      <c r="ED310" s="184" t="str">
        <f t="shared" si="13"/>
        <v>SDJ200241</v>
      </c>
      <c r="EE310">
        <v>497.1</v>
      </c>
      <c r="EF310">
        <v>10000</v>
      </c>
      <c r="EG310">
        <v>10000</v>
      </c>
      <c r="EH310">
        <v>10000</v>
      </c>
      <c r="EI310">
        <v>10000</v>
      </c>
      <c r="EJ310">
        <v>10000</v>
      </c>
      <c r="EK310">
        <v>10000</v>
      </c>
      <c r="EL310">
        <v>10000</v>
      </c>
      <c r="EM310">
        <v>10000</v>
      </c>
      <c r="EN310">
        <v>10000</v>
      </c>
      <c r="EO310">
        <v>10000</v>
      </c>
      <c r="EP310">
        <v>10000</v>
      </c>
      <c r="EQ310">
        <v>10000</v>
      </c>
      <c r="ER310">
        <v>10000</v>
      </c>
      <c r="ES310">
        <v>10000</v>
      </c>
      <c r="ET310">
        <v>10000</v>
      </c>
      <c r="EU310">
        <v>10000</v>
      </c>
      <c r="EV310">
        <v>10000</v>
      </c>
      <c r="EW310">
        <v>10000</v>
      </c>
      <c r="EX310">
        <v>10000</v>
      </c>
      <c r="EY310">
        <v>10000</v>
      </c>
      <c r="EZ310">
        <v>10000</v>
      </c>
      <c r="FA310">
        <v>10000</v>
      </c>
      <c r="FB310">
        <v>10000</v>
      </c>
      <c r="FC310">
        <v>10000</v>
      </c>
      <c r="FD310">
        <v>10000</v>
      </c>
      <c r="FE310">
        <v>10000</v>
      </c>
      <c r="FF310">
        <v>10000</v>
      </c>
      <c r="FG310">
        <v>10000</v>
      </c>
      <c r="FH310">
        <v>10000</v>
      </c>
      <c r="FI310">
        <v>10000</v>
      </c>
      <c r="FJ310">
        <v>10000</v>
      </c>
      <c r="FK310">
        <v>10000</v>
      </c>
      <c r="FL310">
        <v>10000</v>
      </c>
      <c r="FM310">
        <v>10000</v>
      </c>
      <c r="FN310">
        <v>10000</v>
      </c>
      <c r="FO310">
        <v>10000</v>
      </c>
      <c r="FP310">
        <v>10000</v>
      </c>
      <c r="FQ310">
        <v>10000</v>
      </c>
      <c r="FR310">
        <v>10000</v>
      </c>
      <c r="FS310">
        <v>10000</v>
      </c>
      <c r="FT310">
        <v>10000</v>
      </c>
      <c r="FU310">
        <v>10000</v>
      </c>
      <c r="FV310">
        <v>10000</v>
      </c>
      <c r="FW310">
        <v>0</v>
      </c>
      <c r="FX310">
        <v>0</v>
      </c>
      <c r="FY310">
        <v>0</v>
      </c>
      <c r="FZ310">
        <v>0</v>
      </c>
      <c r="GA310">
        <v>0</v>
      </c>
      <c r="GB310">
        <v>0</v>
      </c>
      <c r="GC310">
        <v>0</v>
      </c>
      <c r="GD310">
        <v>0</v>
      </c>
      <c r="GE310">
        <v>0</v>
      </c>
      <c r="GF310">
        <v>0</v>
      </c>
      <c r="GG310">
        <v>0</v>
      </c>
      <c r="GH310">
        <v>0</v>
      </c>
      <c r="GI310">
        <v>0</v>
      </c>
      <c r="GJ310">
        <v>0</v>
      </c>
      <c r="GK310">
        <v>0</v>
      </c>
      <c r="GL310">
        <v>0</v>
      </c>
      <c r="GM310">
        <v>0</v>
      </c>
      <c r="GN310">
        <v>0</v>
      </c>
      <c r="GO310">
        <v>0</v>
      </c>
      <c r="GP310">
        <v>0</v>
      </c>
      <c r="GQ310">
        <v>0</v>
      </c>
      <c r="GR310">
        <v>0</v>
      </c>
      <c r="GS310">
        <v>0</v>
      </c>
      <c r="GT310">
        <v>0</v>
      </c>
      <c r="GU310">
        <v>0</v>
      </c>
      <c r="GV310">
        <v>0</v>
      </c>
      <c r="GW310">
        <v>0</v>
      </c>
      <c r="GX310">
        <v>0</v>
      </c>
      <c r="GY310">
        <v>0</v>
      </c>
      <c r="GZ310">
        <v>0</v>
      </c>
      <c r="HA310">
        <v>0</v>
      </c>
      <c r="HB310">
        <v>0</v>
      </c>
      <c r="HC310">
        <v>0</v>
      </c>
      <c r="HD310">
        <v>0</v>
      </c>
      <c r="HE310">
        <v>0</v>
      </c>
      <c r="HF310">
        <v>0</v>
      </c>
      <c r="HG310">
        <v>0</v>
      </c>
      <c r="HH310">
        <v>0</v>
      </c>
      <c r="HI310">
        <v>0</v>
      </c>
      <c r="HJ310">
        <v>0</v>
      </c>
      <c r="HK310">
        <v>0</v>
      </c>
      <c r="HL310">
        <v>0</v>
      </c>
      <c r="HM310">
        <v>0</v>
      </c>
      <c r="HN310">
        <v>0</v>
      </c>
      <c r="HO310">
        <v>0</v>
      </c>
      <c r="HP310">
        <v>0</v>
      </c>
      <c r="HQ310">
        <v>0</v>
      </c>
      <c r="HR310">
        <v>0</v>
      </c>
      <c r="HS310">
        <v>0</v>
      </c>
      <c r="HT310">
        <v>0</v>
      </c>
      <c r="HU310">
        <v>0</v>
      </c>
      <c r="HV310">
        <v>0</v>
      </c>
      <c r="HW310">
        <v>0</v>
      </c>
      <c r="HX310">
        <v>0</v>
      </c>
      <c r="HY310">
        <v>0</v>
      </c>
      <c r="HZ310">
        <v>0</v>
      </c>
      <c r="IA310">
        <v>0</v>
      </c>
      <c r="IB310">
        <v>0</v>
      </c>
      <c r="IC310">
        <v>0</v>
      </c>
      <c r="ID310">
        <v>0</v>
      </c>
      <c r="IE310">
        <v>0</v>
      </c>
      <c r="IF310">
        <v>0</v>
      </c>
      <c r="IG310">
        <v>0</v>
      </c>
      <c r="IH310">
        <v>0</v>
      </c>
      <c r="II310">
        <v>0</v>
      </c>
      <c r="IJ310">
        <v>0</v>
      </c>
      <c r="IK310">
        <v>0</v>
      </c>
    </row>
    <row r="311" spans="13:245" hidden="1">
      <c r="M311" s="343" t="s">
        <v>633</v>
      </c>
      <c r="N311" t="s">
        <v>1010</v>
      </c>
      <c r="O311">
        <v>2</v>
      </c>
      <c r="P311">
        <v>42</v>
      </c>
      <c r="Q311" s="184" t="str">
        <f t="shared" si="12"/>
        <v>SDJ200242</v>
      </c>
      <c r="R311">
        <v>514.1</v>
      </c>
      <c r="S311">
        <v>2000</v>
      </c>
      <c r="T311">
        <v>2000</v>
      </c>
      <c r="U311">
        <v>2056.4</v>
      </c>
      <c r="V311">
        <v>2570.5</v>
      </c>
      <c r="W311">
        <v>3084.6</v>
      </c>
      <c r="X311">
        <v>3598.7</v>
      </c>
      <c r="Y311">
        <v>4112.8</v>
      </c>
      <c r="Z311">
        <v>4626.8999999999996</v>
      </c>
      <c r="AA311">
        <v>5141</v>
      </c>
      <c r="AB311">
        <v>5655.1</v>
      </c>
      <c r="AC311">
        <v>6169.2</v>
      </c>
      <c r="AD311">
        <v>6683.3</v>
      </c>
      <c r="AE311">
        <v>7197.4</v>
      </c>
      <c r="AF311">
        <v>7711.5</v>
      </c>
      <c r="AG311">
        <v>8225.6</v>
      </c>
      <c r="AH311">
        <v>8739.7000000000007</v>
      </c>
      <c r="AI311">
        <v>9253.7999999999993</v>
      </c>
      <c r="AJ311">
        <v>9767.9</v>
      </c>
      <c r="AK311">
        <v>10282</v>
      </c>
      <c r="AL311">
        <v>10282</v>
      </c>
      <c r="AM311">
        <v>10282</v>
      </c>
      <c r="AN311">
        <v>10282</v>
      </c>
      <c r="AO311">
        <v>10282</v>
      </c>
      <c r="AP311">
        <v>10282</v>
      </c>
      <c r="AQ311">
        <v>10282</v>
      </c>
      <c r="AR311">
        <v>10282</v>
      </c>
      <c r="AS311">
        <v>10282</v>
      </c>
      <c r="AT311">
        <v>10282</v>
      </c>
      <c r="AU311">
        <v>10282</v>
      </c>
      <c r="AV311">
        <v>10282</v>
      </c>
      <c r="AW311">
        <v>10282</v>
      </c>
      <c r="AX311">
        <v>10282</v>
      </c>
      <c r="AY311">
        <v>10282</v>
      </c>
      <c r="AZ311">
        <v>10282</v>
      </c>
      <c r="BA311">
        <v>10282</v>
      </c>
      <c r="BB311">
        <v>10282</v>
      </c>
      <c r="BC311">
        <v>10282</v>
      </c>
      <c r="BD311">
        <v>10282</v>
      </c>
      <c r="BE311">
        <v>10282</v>
      </c>
      <c r="BF311">
        <v>10282</v>
      </c>
      <c r="BG311">
        <v>10282</v>
      </c>
      <c r="BH311">
        <v>10282</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Z311" s="343" t="s">
        <v>633</v>
      </c>
      <c r="EA311" t="s">
        <v>1010</v>
      </c>
      <c r="EB311">
        <v>2</v>
      </c>
      <c r="EC311">
        <v>42</v>
      </c>
      <c r="ED311" s="184" t="str">
        <f t="shared" si="13"/>
        <v>SDJ200242</v>
      </c>
      <c r="EE311">
        <v>514.1</v>
      </c>
      <c r="EF311">
        <v>10000</v>
      </c>
      <c r="EG311">
        <v>10000</v>
      </c>
      <c r="EH311">
        <v>10000</v>
      </c>
      <c r="EI311">
        <v>10000</v>
      </c>
      <c r="EJ311">
        <v>10000</v>
      </c>
      <c r="EK311">
        <v>10000</v>
      </c>
      <c r="EL311">
        <v>10000</v>
      </c>
      <c r="EM311">
        <v>10000</v>
      </c>
      <c r="EN311">
        <v>10000</v>
      </c>
      <c r="EO311">
        <v>10000</v>
      </c>
      <c r="EP311">
        <v>10000</v>
      </c>
      <c r="EQ311">
        <v>10000</v>
      </c>
      <c r="ER311">
        <v>10000</v>
      </c>
      <c r="ES311">
        <v>10000</v>
      </c>
      <c r="ET311">
        <v>10000</v>
      </c>
      <c r="EU311">
        <v>10000</v>
      </c>
      <c r="EV311">
        <v>10000</v>
      </c>
      <c r="EW311">
        <v>10000</v>
      </c>
      <c r="EX311">
        <v>10282</v>
      </c>
      <c r="EY311">
        <v>10282</v>
      </c>
      <c r="EZ311">
        <v>10282</v>
      </c>
      <c r="FA311">
        <v>10282</v>
      </c>
      <c r="FB311">
        <v>10282</v>
      </c>
      <c r="FC311">
        <v>10282</v>
      </c>
      <c r="FD311">
        <v>10282</v>
      </c>
      <c r="FE311">
        <v>10282</v>
      </c>
      <c r="FF311">
        <v>10282</v>
      </c>
      <c r="FG311">
        <v>10282</v>
      </c>
      <c r="FH311">
        <v>10282</v>
      </c>
      <c r="FI311">
        <v>10282</v>
      </c>
      <c r="FJ311">
        <v>10282</v>
      </c>
      <c r="FK311">
        <v>10282</v>
      </c>
      <c r="FL311">
        <v>10282</v>
      </c>
      <c r="FM311">
        <v>10282</v>
      </c>
      <c r="FN311">
        <v>10282</v>
      </c>
      <c r="FO311">
        <v>10282</v>
      </c>
      <c r="FP311">
        <v>10282</v>
      </c>
      <c r="FQ311">
        <v>10282</v>
      </c>
      <c r="FR311">
        <v>10282</v>
      </c>
      <c r="FS311">
        <v>10282</v>
      </c>
      <c r="FT311">
        <v>10282</v>
      </c>
      <c r="FU311">
        <v>10282</v>
      </c>
      <c r="FV311">
        <v>0</v>
      </c>
      <c r="FW311">
        <v>0</v>
      </c>
      <c r="FX311">
        <v>0</v>
      </c>
      <c r="FY311">
        <v>0</v>
      </c>
      <c r="FZ311">
        <v>0</v>
      </c>
      <c r="GA311">
        <v>0</v>
      </c>
      <c r="GB311">
        <v>0</v>
      </c>
      <c r="GC311">
        <v>0</v>
      </c>
      <c r="GD311">
        <v>0</v>
      </c>
      <c r="GE311">
        <v>0</v>
      </c>
      <c r="GF311">
        <v>0</v>
      </c>
      <c r="GG311">
        <v>0</v>
      </c>
      <c r="GH311">
        <v>0</v>
      </c>
      <c r="GI311">
        <v>0</v>
      </c>
      <c r="GJ311">
        <v>0</v>
      </c>
      <c r="GK311">
        <v>0</v>
      </c>
      <c r="GL311">
        <v>0</v>
      </c>
      <c r="GM311">
        <v>0</v>
      </c>
      <c r="GN311">
        <v>0</v>
      </c>
      <c r="GO311">
        <v>0</v>
      </c>
      <c r="GP311">
        <v>0</v>
      </c>
      <c r="GQ311">
        <v>0</v>
      </c>
      <c r="GR311">
        <v>0</v>
      </c>
      <c r="GS311">
        <v>0</v>
      </c>
      <c r="GT311">
        <v>0</v>
      </c>
      <c r="GU311">
        <v>0</v>
      </c>
      <c r="GV311">
        <v>0</v>
      </c>
      <c r="GW311">
        <v>0</v>
      </c>
      <c r="GX311">
        <v>0</v>
      </c>
      <c r="GY311">
        <v>0</v>
      </c>
      <c r="GZ311">
        <v>0</v>
      </c>
      <c r="HA311">
        <v>0</v>
      </c>
      <c r="HB311">
        <v>0</v>
      </c>
      <c r="HC311">
        <v>0</v>
      </c>
      <c r="HD311">
        <v>0</v>
      </c>
      <c r="HE311">
        <v>0</v>
      </c>
      <c r="HF311">
        <v>0</v>
      </c>
      <c r="HG311">
        <v>0</v>
      </c>
      <c r="HH311">
        <v>0</v>
      </c>
      <c r="HI311">
        <v>0</v>
      </c>
      <c r="HJ311">
        <v>0</v>
      </c>
      <c r="HK311">
        <v>0</v>
      </c>
      <c r="HL311">
        <v>0</v>
      </c>
      <c r="HM311">
        <v>0</v>
      </c>
      <c r="HN311">
        <v>0</v>
      </c>
      <c r="HO311">
        <v>0</v>
      </c>
      <c r="HP311">
        <v>0</v>
      </c>
      <c r="HQ311">
        <v>0</v>
      </c>
      <c r="HR311">
        <v>0</v>
      </c>
      <c r="HS311">
        <v>0</v>
      </c>
      <c r="HT311">
        <v>0</v>
      </c>
      <c r="HU311">
        <v>0</v>
      </c>
      <c r="HV311">
        <v>0</v>
      </c>
      <c r="HW311">
        <v>0</v>
      </c>
      <c r="HX311">
        <v>0</v>
      </c>
      <c r="HY311">
        <v>0</v>
      </c>
      <c r="HZ311">
        <v>0</v>
      </c>
      <c r="IA311">
        <v>0</v>
      </c>
      <c r="IB311">
        <v>0</v>
      </c>
      <c r="IC311">
        <v>0</v>
      </c>
      <c r="ID311">
        <v>0</v>
      </c>
      <c r="IE311">
        <v>0</v>
      </c>
      <c r="IF311">
        <v>0</v>
      </c>
      <c r="IG311">
        <v>0</v>
      </c>
      <c r="IH311">
        <v>0</v>
      </c>
      <c r="II311">
        <v>0</v>
      </c>
      <c r="IJ311">
        <v>0</v>
      </c>
      <c r="IK311">
        <v>0</v>
      </c>
    </row>
    <row r="312" spans="13:245" hidden="1">
      <c r="M312" s="343" t="s">
        <v>633</v>
      </c>
      <c r="N312" t="s">
        <v>1010</v>
      </c>
      <c r="O312">
        <v>2</v>
      </c>
      <c r="P312">
        <v>43</v>
      </c>
      <c r="Q312" s="184" t="str">
        <f t="shared" si="12"/>
        <v>SDJ200243</v>
      </c>
      <c r="R312">
        <v>536.4</v>
      </c>
      <c r="S312">
        <v>2000</v>
      </c>
      <c r="T312">
        <v>2000</v>
      </c>
      <c r="U312">
        <v>2145.4</v>
      </c>
      <c r="V312">
        <v>2681.8</v>
      </c>
      <c r="W312">
        <v>3218.2</v>
      </c>
      <c r="X312">
        <v>3754.5</v>
      </c>
      <c r="Y312">
        <v>4290.8999999999996</v>
      </c>
      <c r="Z312">
        <v>4827.2</v>
      </c>
      <c r="AA312">
        <v>5363.6</v>
      </c>
      <c r="AB312">
        <v>5900</v>
      </c>
      <c r="AC312">
        <v>6436.3</v>
      </c>
      <c r="AD312">
        <v>6972.7</v>
      </c>
      <c r="AE312">
        <v>7509</v>
      </c>
      <c r="AF312">
        <v>8045.4</v>
      </c>
      <c r="AG312">
        <v>8581.7999999999993</v>
      </c>
      <c r="AH312">
        <v>9118.1</v>
      </c>
      <c r="AI312">
        <v>9654.5</v>
      </c>
      <c r="AJ312">
        <v>10190.799999999999</v>
      </c>
      <c r="AK312">
        <v>10727.2</v>
      </c>
      <c r="AL312">
        <v>10727.2</v>
      </c>
      <c r="AM312">
        <v>10727.2</v>
      </c>
      <c r="AN312">
        <v>10727.2</v>
      </c>
      <c r="AO312">
        <v>10727.2</v>
      </c>
      <c r="AP312">
        <v>10727.2</v>
      </c>
      <c r="AQ312">
        <v>10727.2</v>
      </c>
      <c r="AR312">
        <v>10727.2</v>
      </c>
      <c r="AS312">
        <v>10727.2</v>
      </c>
      <c r="AT312">
        <v>10727.2</v>
      </c>
      <c r="AU312">
        <v>10727.2</v>
      </c>
      <c r="AV312">
        <v>10727.2</v>
      </c>
      <c r="AW312">
        <v>10727.2</v>
      </c>
      <c r="AX312">
        <v>10727.2</v>
      </c>
      <c r="AY312">
        <v>10727.2</v>
      </c>
      <c r="AZ312">
        <v>10727.2</v>
      </c>
      <c r="BA312">
        <v>10727.2</v>
      </c>
      <c r="BB312">
        <v>10727.2</v>
      </c>
      <c r="BC312">
        <v>10727.2</v>
      </c>
      <c r="BD312">
        <v>10727.2</v>
      </c>
      <c r="BE312">
        <v>10727.2</v>
      </c>
      <c r="BF312">
        <v>10727.2</v>
      </c>
      <c r="BG312">
        <v>10727.2</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Z312" s="343" t="s">
        <v>633</v>
      </c>
      <c r="EA312" t="s">
        <v>1010</v>
      </c>
      <c r="EB312">
        <v>2</v>
      </c>
      <c r="EC312">
        <v>43</v>
      </c>
      <c r="ED312" s="184" t="str">
        <f t="shared" si="13"/>
        <v>SDJ200243</v>
      </c>
      <c r="EE312">
        <v>536.4</v>
      </c>
      <c r="EF312">
        <v>10000</v>
      </c>
      <c r="EG312">
        <v>10000</v>
      </c>
      <c r="EH312">
        <v>10000</v>
      </c>
      <c r="EI312">
        <v>10000</v>
      </c>
      <c r="EJ312">
        <v>10000</v>
      </c>
      <c r="EK312">
        <v>10000</v>
      </c>
      <c r="EL312">
        <v>10000</v>
      </c>
      <c r="EM312">
        <v>10000</v>
      </c>
      <c r="EN312">
        <v>10000</v>
      </c>
      <c r="EO312">
        <v>10000</v>
      </c>
      <c r="EP312">
        <v>10000</v>
      </c>
      <c r="EQ312">
        <v>10000</v>
      </c>
      <c r="ER312">
        <v>10000</v>
      </c>
      <c r="ES312">
        <v>10000</v>
      </c>
      <c r="ET312">
        <v>10000</v>
      </c>
      <c r="EU312">
        <v>10000</v>
      </c>
      <c r="EV312">
        <v>10000</v>
      </c>
      <c r="EW312">
        <v>10190.799999999999</v>
      </c>
      <c r="EX312">
        <v>10727.2</v>
      </c>
      <c r="EY312">
        <v>10727.2</v>
      </c>
      <c r="EZ312">
        <v>10727.2</v>
      </c>
      <c r="FA312">
        <v>10727.2</v>
      </c>
      <c r="FB312">
        <v>10727.2</v>
      </c>
      <c r="FC312">
        <v>10727.2</v>
      </c>
      <c r="FD312">
        <v>10727.2</v>
      </c>
      <c r="FE312">
        <v>10727.2</v>
      </c>
      <c r="FF312">
        <v>10727.2</v>
      </c>
      <c r="FG312">
        <v>10727.2</v>
      </c>
      <c r="FH312">
        <v>10727.2</v>
      </c>
      <c r="FI312">
        <v>10727.2</v>
      </c>
      <c r="FJ312">
        <v>10727.2</v>
      </c>
      <c r="FK312">
        <v>10727.2</v>
      </c>
      <c r="FL312">
        <v>10727.2</v>
      </c>
      <c r="FM312">
        <v>10727.2</v>
      </c>
      <c r="FN312">
        <v>10727.2</v>
      </c>
      <c r="FO312">
        <v>10727.2</v>
      </c>
      <c r="FP312">
        <v>10727.2</v>
      </c>
      <c r="FQ312">
        <v>10727.2</v>
      </c>
      <c r="FR312">
        <v>10727.2</v>
      </c>
      <c r="FS312">
        <v>10727.2</v>
      </c>
      <c r="FT312">
        <v>10727.2</v>
      </c>
      <c r="FU312">
        <v>0</v>
      </c>
      <c r="FV312">
        <v>0</v>
      </c>
      <c r="FW312">
        <v>0</v>
      </c>
      <c r="FX312">
        <v>0</v>
      </c>
      <c r="FY312">
        <v>0</v>
      </c>
      <c r="FZ312">
        <v>0</v>
      </c>
      <c r="GA312">
        <v>0</v>
      </c>
      <c r="GB312">
        <v>0</v>
      </c>
      <c r="GC312">
        <v>0</v>
      </c>
      <c r="GD312">
        <v>0</v>
      </c>
      <c r="GE312">
        <v>0</v>
      </c>
      <c r="GF312">
        <v>0</v>
      </c>
      <c r="GG312">
        <v>0</v>
      </c>
      <c r="GH312">
        <v>0</v>
      </c>
      <c r="GI312">
        <v>0</v>
      </c>
      <c r="GJ312">
        <v>0</v>
      </c>
      <c r="GK312">
        <v>0</v>
      </c>
      <c r="GL312">
        <v>0</v>
      </c>
      <c r="GM312">
        <v>0</v>
      </c>
      <c r="GN312">
        <v>0</v>
      </c>
      <c r="GO312">
        <v>0</v>
      </c>
      <c r="GP312">
        <v>0</v>
      </c>
      <c r="GQ312">
        <v>0</v>
      </c>
      <c r="GR312">
        <v>0</v>
      </c>
      <c r="GS312">
        <v>0</v>
      </c>
      <c r="GT312">
        <v>0</v>
      </c>
      <c r="GU312">
        <v>0</v>
      </c>
      <c r="GV312">
        <v>0</v>
      </c>
      <c r="GW312">
        <v>0</v>
      </c>
      <c r="GX312">
        <v>0</v>
      </c>
      <c r="GY312">
        <v>0</v>
      </c>
      <c r="GZ312">
        <v>0</v>
      </c>
      <c r="HA312">
        <v>0</v>
      </c>
      <c r="HB312">
        <v>0</v>
      </c>
      <c r="HC312">
        <v>0</v>
      </c>
      <c r="HD312">
        <v>0</v>
      </c>
      <c r="HE312">
        <v>0</v>
      </c>
      <c r="HF312">
        <v>0</v>
      </c>
      <c r="HG312">
        <v>0</v>
      </c>
      <c r="HH312">
        <v>0</v>
      </c>
      <c r="HI312">
        <v>0</v>
      </c>
      <c r="HJ312">
        <v>0</v>
      </c>
      <c r="HK312">
        <v>0</v>
      </c>
      <c r="HL312">
        <v>0</v>
      </c>
      <c r="HM312">
        <v>0</v>
      </c>
      <c r="HN312">
        <v>0</v>
      </c>
      <c r="HO312">
        <v>0</v>
      </c>
      <c r="HP312">
        <v>0</v>
      </c>
      <c r="HQ312">
        <v>0</v>
      </c>
      <c r="HR312">
        <v>0</v>
      </c>
      <c r="HS312">
        <v>0</v>
      </c>
      <c r="HT312">
        <v>0</v>
      </c>
      <c r="HU312">
        <v>0</v>
      </c>
      <c r="HV312">
        <v>0</v>
      </c>
      <c r="HW312">
        <v>0</v>
      </c>
      <c r="HX312">
        <v>0</v>
      </c>
      <c r="HY312">
        <v>0</v>
      </c>
      <c r="HZ312">
        <v>0</v>
      </c>
      <c r="IA312">
        <v>0</v>
      </c>
      <c r="IB312">
        <v>0</v>
      </c>
      <c r="IC312">
        <v>0</v>
      </c>
      <c r="ID312">
        <v>0</v>
      </c>
      <c r="IE312">
        <v>0</v>
      </c>
      <c r="IF312">
        <v>0</v>
      </c>
      <c r="IG312">
        <v>0</v>
      </c>
      <c r="IH312">
        <v>0</v>
      </c>
      <c r="II312">
        <v>0</v>
      </c>
      <c r="IJ312">
        <v>0</v>
      </c>
      <c r="IK312">
        <v>0</v>
      </c>
    </row>
    <row r="313" spans="13:245" hidden="1">
      <c r="M313" s="343" t="s">
        <v>633</v>
      </c>
      <c r="N313" t="s">
        <v>1010</v>
      </c>
      <c r="O313">
        <v>2</v>
      </c>
      <c r="P313">
        <v>44</v>
      </c>
      <c r="Q313" s="184" t="str">
        <f t="shared" si="12"/>
        <v>SDJ200244</v>
      </c>
      <c r="R313">
        <v>558.6</v>
      </c>
      <c r="S313">
        <v>2000</v>
      </c>
      <c r="T313">
        <v>2000</v>
      </c>
      <c r="U313">
        <v>2234.5</v>
      </c>
      <c r="V313">
        <v>2793.1</v>
      </c>
      <c r="W313">
        <v>3351.7</v>
      </c>
      <c r="X313">
        <v>3910.3</v>
      </c>
      <c r="Y313">
        <v>4469</v>
      </c>
      <c r="Z313">
        <v>5027.6000000000004</v>
      </c>
      <c r="AA313">
        <v>5586.2</v>
      </c>
      <c r="AB313">
        <v>6144.8</v>
      </c>
      <c r="AC313">
        <v>6703.4</v>
      </c>
      <c r="AD313">
        <v>7262.1</v>
      </c>
      <c r="AE313">
        <v>7820.7</v>
      </c>
      <c r="AF313">
        <v>8379.2999999999993</v>
      </c>
      <c r="AG313">
        <v>8937.9</v>
      </c>
      <c r="AH313">
        <v>9496.5</v>
      </c>
      <c r="AI313">
        <v>10055.200000000001</v>
      </c>
      <c r="AJ313">
        <v>10613.8</v>
      </c>
      <c r="AK313">
        <v>11172.4</v>
      </c>
      <c r="AL313">
        <v>11172.4</v>
      </c>
      <c r="AM313">
        <v>11172.4</v>
      </c>
      <c r="AN313">
        <v>11172.4</v>
      </c>
      <c r="AO313">
        <v>11172.4</v>
      </c>
      <c r="AP313">
        <v>11172.4</v>
      </c>
      <c r="AQ313">
        <v>11172.4</v>
      </c>
      <c r="AR313">
        <v>11172.4</v>
      </c>
      <c r="AS313">
        <v>11172.4</v>
      </c>
      <c r="AT313">
        <v>11172.4</v>
      </c>
      <c r="AU313">
        <v>11172.4</v>
      </c>
      <c r="AV313">
        <v>11172.4</v>
      </c>
      <c r="AW313">
        <v>11172.4</v>
      </c>
      <c r="AX313">
        <v>11172.4</v>
      </c>
      <c r="AY313">
        <v>11172.4</v>
      </c>
      <c r="AZ313">
        <v>11172.4</v>
      </c>
      <c r="BA313">
        <v>11172.4</v>
      </c>
      <c r="BB313">
        <v>11172.4</v>
      </c>
      <c r="BC313">
        <v>11172.4</v>
      </c>
      <c r="BD313">
        <v>11172.4</v>
      </c>
      <c r="BE313">
        <v>11172.4</v>
      </c>
      <c r="BF313">
        <v>11172.4</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Z313" s="343" t="s">
        <v>633</v>
      </c>
      <c r="EA313" t="s">
        <v>1010</v>
      </c>
      <c r="EB313">
        <v>2</v>
      </c>
      <c r="EC313">
        <v>44</v>
      </c>
      <c r="ED313" s="184" t="str">
        <f t="shared" si="13"/>
        <v>SDJ200244</v>
      </c>
      <c r="EE313">
        <v>558.6</v>
      </c>
      <c r="EF313">
        <v>10000</v>
      </c>
      <c r="EG313">
        <v>10000</v>
      </c>
      <c r="EH313">
        <v>10000</v>
      </c>
      <c r="EI313">
        <v>10000</v>
      </c>
      <c r="EJ313">
        <v>10000</v>
      </c>
      <c r="EK313">
        <v>10000</v>
      </c>
      <c r="EL313">
        <v>10000</v>
      </c>
      <c r="EM313">
        <v>10000</v>
      </c>
      <c r="EN313">
        <v>10000</v>
      </c>
      <c r="EO313">
        <v>10000</v>
      </c>
      <c r="EP313">
        <v>10000</v>
      </c>
      <c r="EQ313">
        <v>10000</v>
      </c>
      <c r="ER313">
        <v>10000</v>
      </c>
      <c r="ES313">
        <v>10000</v>
      </c>
      <c r="ET313">
        <v>10000</v>
      </c>
      <c r="EU313">
        <v>10000</v>
      </c>
      <c r="EV313">
        <v>10055.200000000001</v>
      </c>
      <c r="EW313">
        <v>10613.8</v>
      </c>
      <c r="EX313">
        <v>11172.4</v>
      </c>
      <c r="EY313">
        <v>11172.4</v>
      </c>
      <c r="EZ313">
        <v>11172.4</v>
      </c>
      <c r="FA313">
        <v>11172.4</v>
      </c>
      <c r="FB313">
        <v>11172.4</v>
      </c>
      <c r="FC313">
        <v>11172.4</v>
      </c>
      <c r="FD313">
        <v>11172.4</v>
      </c>
      <c r="FE313">
        <v>11172.4</v>
      </c>
      <c r="FF313">
        <v>11172.4</v>
      </c>
      <c r="FG313">
        <v>11172.4</v>
      </c>
      <c r="FH313">
        <v>11172.4</v>
      </c>
      <c r="FI313">
        <v>11172.4</v>
      </c>
      <c r="FJ313">
        <v>11172.4</v>
      </c>
      <c r="FK313">
        <v>11172.4</v>
      </c>
      <c r="FL313">
        <v>11172.4</v>
      </c>
      <c r="FM313">
        <v>11172.4</v>
      </c>
      <c r="FN313">
        <v>11172.4</v>
      </c>
      <c r="FO313">
        <v>11172.4</v>
      </c>
      <c r="FP313">
        <v>11172.4</v>
      </c>
      <c r="FQ313">
        <v>11172.4</v>
      </c>
      <c r="FR313">
        <v>11172.4</v>
      </c>
      <c r="FS313">
        <v>11172.4</v>
      </c>
      <c r="FT313">
        <v>0</v>
      </c>
      <c r="FU313">
        <v>0</v>
      </c>
      <c r="FV313">
        <v>0</v>
      </c>
      <c r="FW313">
        <v>0</v>
      </c>
      <c r="FX313">
        <v>0</v>
      </c>
      <c r="FY313">
        <v>0</v>
      </c>
      <c r="FZ313">
        <v>0</v>
      </c>
      <c r="GA313">
        <v>0</v>
      </c>
      <c r="GB313">
        <v>0</v>
      </c>
      <c r="GC313">
        <v>0</v>
      </c>
      <c r="GD313">
        <v>0</v>
      </c>
      <c r="GE313">
        <v>0</v>
      </c>
      <c r="GF313">
        <v>0</v>
      </c>
      <c r="GG313">
        <v>0</v>
      </c>
      <c r="GH313">
        <v>0</v>
      </c>
      <c r="GI313">
        <v>0</v>
      </c>
      <c r="GJ313">
        <v>0</v>
      </c>
      <c r="GK313">
        <v>0</v>
      </c>
      <c r="GL313">
        <v>0</v>
      </c>
      <c r="GM313">
        <v>0</v>
      </c>
      <c r="GN313">
        <v>0</v>
      </c>
      <c r="GO313">
        <v>0</v>
      </c>
      <c r="GP313">
        <v>0</v>
      </c>
      <c r="GQ313">
        <v>0</v>
      </c>
      <c r="GR313">
        <v>0</v>
      </c>
      <c r="GS313">
        <v>0</v>
      </c>
      <c r="GT313">
        <v>0</v>
      </c>
      <c r="GU313">
        <v>0</v>
      </c>
      <c r="GV313">
        <v>0</v>
      </c>
      <c r="GW313">
        <v>0</v>
      </c>
      <c r="GX313">
        <v>0</v>
      </c>
      <c r="GY313">
        <v>0</v>
      </c>
      <c r="GZ313">
        <v>0</v>
      </c>
      <c r="HA313">
        <v>0</v>
      </c>
      <c r="HB313">
        <v>0</v>
      </c>
      <c r="HC313">
        <v>0</v>
      </c>
      <c r="HD313">
        <v>0</v>
      </c>
      <c r="HE313">
        <v>0</v>
      </c>
      <c r="HF313">
        <v>0</v>
      </c>
      <c r="HG313">
        <v>0</v>
      </c>
      <c r="HH313">
        <v>0</v>
      </c>
      <c r="HI313">
        <v>0</v>
      </c>
      <c r="HJ313">
        <v>0</v>
      </c>
      <c r="HK313">
        <v>0</v>
      </c>
      <c r="HL313">
        <v>0</v>
      </c>
      <c r="HM313">
        <v>0</v>
      </c>
      <c r="HN313">
        <v>0</v>
      </c>
      <c r="HO313">
        <v>0</v>
      </c>
      <c r="HP313">
        <v>0</v>
      </c>
      <c r="HQ313">
        <v>0</v>
      </c>
      <c r="HR313">
        <v>0</v>
      </c>
      <c r="HS313">
        <v>0</v>
      </c>
      <c r="HT313">
        <v>0</v>
      </c>
      <c r="HU313">
        <v>0</v>
      </c>
      <c r="HV313">
        <v>0</v>
      </c>
      <c r="HW313">
        <v>0</v>
      </c>
      <c r="HX313">
        <v>0</v>
      </c>
      <c r="HY313">
        <v>0</v>
      </c>
      <c r="HZ313">
        <v>0</v>
      </c>
      <c r="IA313">
        <v>0</v>
      </c>
      <c r="IB313">
        <v>0</v>
      </c>
      <c r="IC313">
        <v>0</v>
      </c>
      <c r="ID313">
        <v>0</v>
      </c>
      <c r="IE313">
        <v>0</v>
      </c>
      <c r="IF313">
        <v>0</v>
      </c>
      <c r="IG313">
        <v>0</v>
      </c>
      <c r="IH313">
        <v>0</v>
      </c>
      <c r="II313">
        <v>0</v>
      </c>
      <c r="IJ313">
        <v>0</v>
      </c>
      <c r="IK313">
        <v>0</v>
      </c>
    </row>
    <row r="314" spans="13:245" hidden="1">
      <c r="M314" s="343" t="s">
        <v>633</v>
      </c>
      <c r="N314" t="s">
        <v>1010</v>
      </c>
      <c r="O314">
        <v>2</v>
      </c>
      <c r="P314">
        <v>45</v>
      </c>
      <c r="Q314" s="184" t="str">
        <f t="shared" si="12"/>
        <v>SDJ200245</v>
      </c>
      <c r="R314">
        <v>580.9</v>
      </c>
      <c r="S314">
        <v>2000</v>
      </c>
      <c r="T314">
        <v>2000</v>
      </c>
      <c r="U314">
        <v>2323.5</v>
      </c>
      <c r="V314">
        <v>2904.4</v>
      </c>
      <c r="W314">
        <v>3485.3</v>
      </c>
      <c r="X314">
        <v>4066.2</v>
      </c>
      <c r="Y314">
        <v>4647</v>
      </c>
      <c r="Z314">
        <v>5227.8999999999996</v>
      </c>
      <c r="AA314">
        <v>5808.8</v>
      </c>
      <c r="AB314">
        <v>6389.7</v>
      </c>
      <c r="AC314">
        <v>6970.6</v>
      </c>
      <c r="AD314">
        <v>7551.4</v>
      </c>
      <c r="AE314">
        <v>8132.3</v>
      </c>
      <c r="AF314">
        <v>8713.2000000000007</v>
      </c>
      <c r="AG314">
        <v>9294.1</v>
      </c>
      <c r="AH314">
        <v>9875</v>
      </c>
      <c r="AI314">
        <v>10455.799999999999</v>
      </c>
      <c r="AJ314">
        <v>11036.7</v>
      </c>
      <c r="AK314">
        <v>11617.6</v>
      </c>
      <c r="AL314">
        <v>11617.6</v>
      </c>
      <c r="AM314">
        <v>11617.6</v>
      </c>
      <c r="AN314">
        <v>11617.6</v>
      </c>
      <c r="AO314">
        <v>11617.6</v>
      </c>
      <c r="AP314">
        <v>11617.6</v>
      </c>
      <c r="AQ314">
        <v>11617.6</v>
      </c>
      <c r="AR314">
        <v>11617.6</v>
      </c>
      <c r="AS314">
        <v>11617.6</v>
      </c>
      <c r="AT314">
        <v>11617.6</v>
      </c>
      <c r="AU314">
        <v>11617.6</v>
      </c>
      <c r="AV314">
        <v>11617.6</v>
      </c>
      <c r="AW314">
        <v>11617.6</v>
      </c>
      <c r="AX314">
        <v>11617.6</v>
      </c>
      <c r="AY314">
        <v>11617.6</v>
      </c>
      <c r="AZ314">
        <v>11617.6</v>
      </c>
      <c r="BA314">
        <v>11617.6</v>
      </c>
      <c r="BB314">
        <v>11617.6</v>
      </c>
      <c r="BC314">
        <v>11617.6</v>
      </c>
      <c r="BD314">
        <v>11617.6</v>
      </c>
      <c r="BE314">
        <v>11617.6</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Z314" s="343" t="s">
        <v>633</v>
      </c>
      <c r="EA314" t="s">
        <v>1010</v>
      </c>
      <c r="EB314">
        <v>2</v>
      </c>
      <c r="EC314">
        <v>45</v>
      </c>
      <c r="ED314" s="184" t="str">
        <f t="shared" si="13"/>
        <v>SDJ200245</v>
      </c>
      <c r="EE314">
        <v>580.9</v>
      </c>
      <c r="EF314">
        <v>10000</v>
      </c>
      <c r="EG314">
        <v>10000</v>
      </c>
      <c r="EH314">
        <v>10000</v>
      </c>
      <c r="EI314">
        <v>10000</v>
      </c>
      <c r="EJ314">
        <v>10000</v>
      </c>
      <c r="EK314">
        <v>10000</v>
      </c>
      <c r="EL314">
        <v>10000</v>
      </c>
      <c r="EM314">
        <v>10000</v>
      </c>
      <c r="EN314">
        <v>10000</v>
      </c>
      <c r="EO314">
        <v>10000</v>
      </c>
      <c r="EP314">
        <v>10000</v>
      </c>
      <c r="EQ314">
        <v>10000</v>
      </c>
      <c r="ER314">
        <v>10000</v>
      </c>
      <c r="ES314">
        <v>10000</v>
      </c>
      <c r="ET314">
        <v>10000</v>
      </c>
      <c r="EU314">
        <v>10000</v>
      </c>
      <c r="EV314">
        <v>10455.799999999999</v>
      </c>
      <c r="EW314">
        <v>11036.7</v>
      </c>
      <c r="EX314">
        <v>11617.6</v>
      </c>
      <c r="EY314">
        <v>11617.6</v>
      </c>
      <c r="EZ314">
        <v>11617.6</v>
      </c>
      <c r="FA314">
        <v>11617.6</v>
      </c>
      <c r="FB314">
        <v>11617.6</v>
      </c>
      <c r="FC314">
        <v>11617.6</v>
      </c>
      <c r="FD314">
        <v>11617.6</v>
      </c>
      <c r="FE314">
        <v>11617.6</v>
      </c>
      <c r="FF314">
        <v>11617.6</v>
      </c>
      <c r="FG314">
        <v>11617.6</v>
      </c>
      <c r="FH314">
        <v>11617.6</v>
      </c>
      <c r="FI314">
        <v>11617.6</v>
      </c>
      <c r="FJ314">
        <v>11617.6</v>
      </c>
      <c r="FK314">
        <v>11617.6</v>
      </c>
      <c r="FL314">
        <v>11617.6</v>
      </c>
      <c r="FM314">
        <v>11617.6</v>
      </c>
      <c r="FN314">
        <v>11617.6</v>
      </c>
      <c r="FO314">
        <v>11617.6</v>
      </c>
      <c r="FP314">
        <v>11617.6</v>
      </c>
      <c r="FQ314">
        <v>11617.6</v>
      </c>
      <c r="FR314">
        <v>11617.6</v>
      </c>
      <c r="FS314">
        <v>0</v>
      </c>
      <c r="FT314">
        <v>0</v>
      </c>
      <c r="FU314">
        <v>0</v>
      </c>
      <c r="FV314">
        <v>0</v>
      </c>
      <c r="FW314">
        <v>0</v>
      </c>
      <c r="FX314">
        <v>0</v>
      </c>
      <c r="FY314">
        <v>0</v>
      </c>
      <c r="FZ314">
        <v>0</v>
      </c>
      <c r="GA314">
        <v>0</v>
      </c>
      <c r="GB314">
        <v>0</v>
      </c>
      <c r="GC314">
        <v>0</v>
      </c>
      <c r="GD314">
        <v>0</v>
      </c>
      <c r="GE314">
        <v>0</v>
      </c>
      <c r="GF314">
        <v>0</v>
      </c>
      <c r="GG314">
        <v>0</v>
      </c>
      <c r="GH314">
        <v>0</v>
      </c>
      <c r="GI314">
        <v>0</v>
      </c>
      <c r="GJ314">
        <v>0</v>
      </c>
      <c r="GK314">
        <v>0</v>
      </c>
      <c r="GL314">
        <v>0</v>
      </c>
      <c r="GM314">
        <v>0</v>
      </c>
      <c r="GN314">
        <v>0</v>
      </c>
      <c r="GO314">
        <v>0</v>
      </c>
      <c r="GP314">
        <v>0</v>
      </c>
      <c r="GQ314">
        <v>0</v>
      </c>
      <c r="GR314">
        <v>0</v>
      </c>
      <c r="GS314">
        <v>0</v>
      </c>
      <c r="GT314">
        <v>0</v>
      </c>
      <c r="GU314">
        <v>0</v>
      </c>
      <c r="GV314">
        <v>0</v>
      </c>
      <c r="GW314">
        <v>0</v>
      </c>
      <c r="GX314">
        <v>0</v>
      </c>
      <c r="GY314">
        <v>0</v>
      </c>
      <c r="GZ314">
        <v>0</v>
      </c>
      <c r="HA314">
        <v>0</v>
      </c>
      <c r="HB314">
        <v>0</v>
      </c>
      <c r="HC314">
        <v>0</v>
      </c>
      <c r="HD314">
        <v>0</v>
      </c>
      <c r="HE314">
        <v>0</v>
      </c>
      <c r="HF314">
        <v>0</v>
      </c>
      <c r="HG314">
        <v>0</v>
      </c>
      <c r="HH314">
        <v>0</v>
      </c>
      <c r="HI314">
        <v>0</v>
      </c>
      <c r="HJ314">
        <v>0</v>
      </c>
      <c r="HK314">
        <v>0</v>
      </c>
      <c r="HL314">
        <v>0</v>
      </c>
      <c r="HM314">
        <v>0</v>
      </c>
      <c r="HN314">
        <v>0</v>
      </c>
      <c r="HO314">
        <v>0</v>
      </c>
      <c r="HP314">
        <v>0</v>
      </c>
      <c r="HQ314">
        <v>0</v>
      </c>
      <c r="HR314">
        <v>0</v>
      </c>
      <c r="HS314">
        <v>0</v>
      </c>
      <c r="HT314">
        <v>0</v>
      </c>
      <c r="HU314">
        <v>0</v>
      </c>
      <c r="HV314">
        <v>0</v>
      </c>
      <c r="HW314">
        <v>0</v>
      </c>
      <c r="HX314">
        <v>0</v>
      </c>
      <c r="HY314">
        <v>0</v>
      </c>
      <c r="HZ314">
        <v>0</v>
      </c>
      <c r="IA314">
        <v>0</v>
      </c>
      <c r="IB314">
        <v>0</v>
      </c>
      <c r="IC314">
        <v>0</v>
      </c>
      <c r="ID314">
        <v>0</v>
      </c>
      <c r="IE314">
        <v>0</v>
      </c>
      <c r="IF314">
        <v>0</v>
      </c>
      <c r="IG314">
        <v>0</v>
      </c>
      <c r="IH314">
        <v>0</v>
      </c>
      <c r="II314">
        <v>0</v>
      </c>
      <c r="IJ314">
        <v>0</v>
      </c>
      <c r="IK314">
        <v>0</v>
      </c>
    </row>
    <row r="315" spans="13:245" hidden="1">
      <c r="M315" s="343" t="s">
        <v>633</v>
      </c>
      <c r="N315" t="s">
        <v>1010</v>
      </c>
      <c r="O315">
        <v>2</v>
      </c>
      <c r="P315">
        <v>46</v>
      </c>
      <c r="Q315" s="184" t="str">
        <f t="shared" si="12"/>
        <v>SDJ200246</v>
      </c>
      <c r="R315">
        <v>603.1</v>
      </c>
      <c r="S315">
        <v>2000</v>
      </c>
      <c r="T315">
        <v>2000</v>
      </c>
      <c r="U315">
        <v>2412.6</v>
      </c>
      <c r="V315">
        <v>3015.7</v>
      </c>
      <c r="W315">
        <v>3618.8</v>
      </c>
      <c r="X315">
        <v>4222</v>
      </c>
      <c r="Y315">
        <v>4825.1000000000004</v>
      </c>
      <c r="Z315">
        <v>5428.3</v>
      </c>
      <c r="AA315">
        <v>6031.4</v>
      </c>
      <c r="AB315">
        <v>6634.5</v>
      </c>
      <c r="AC315">
        <v>7237.7</v>
      </c>
      <c r="AD315">
        <v>7840.8</v>
      </c>
      <c r="AE315">
        <v>8444</v>
      </c>
      <c r="AF315">
        <v>9047.1</v>
      </c>
      <c r="AG315">
        <v>9650.2000000000007</v>
      </c>
      <c r="AH315">
        <v>10253.4</v>
      </c>
      <c r="AI315">
        <v>10856.5</v>
      </c>
      <c r="AJ315">
        <v>11459.7</v>
      </c>
      <c r="AK315">
        <v>12062.8</v>
      </c>
      <c r="AL315">
        <v>12062.8</v>
      </c>
      <c r="AM315">
        <v>12062.8</v>
      </c>
      <c r="AN315">
        <v>12062.8</v>
      </c>
      <c r="AO315">
        <v>12062.8</v>
      </c>
      <c r="AP315">
        <v>12062.8</v>
      </c>
      <c r="AQ315">
        <v>12062.8</v>
      </c>
      <c r="AR315">
        <v>12062.8</v>
      </c>
      <c r="AS315">
        <v>12062.8</v>
      </c>
      <c r="AT315">
        <v>12062.8</v>
      </c>
      <c r="AU315">
        <v>12062.8</v>
      </c>
      <c r="AV315">
        <v>12062.8</v>
      </c>
      <c r="AW315">
        <v>12062.8</v>
      </c>
      <c r="AX315">
        <v>12062.8</v>
      </c>
      <c r="AY315">
        <v>12062.8</v>
      </c>
      <c r="AZ315">
        <v>12062.8</v>
      </c>
      <c r="BA315">
        <v>12062.8</v>
      </c>
      <c r="BB315">
        <v>12062.8</v>
      </c>
      <c r="BC315">
        <v>12062.8</v>
      </c>
      <c r="BD315">
        <v>12062.8</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Z315" s="343" t="s">
        <v>633</v>
      </c>
      <c r="EA315" t="s">
        <v>1010</v>
      </c>
      <c r="EB315">
        <v>2</v>
      </c>
      <c r="EC315">
        <v>46</v>
      </c>
      <c r="ED315" s="184" t="str">
        <f t="shared" si="13"/>
        <v>SDJ200246</v>
      </c>
      <c r="EE315">
        <v>603.1</v>
      </c>
      <c r="EF315">
        <v>10000</v>
      </c>
      <c r="EG315">
        <v>10000</v>
      </c>
      <c r="EH315">
        <v>10000</v>
      </c>
      <c r="EI315">
        <v>10000</v>
      </c>
      <c r="EJ315">
        <v>10000</v>
      </c>
      <c r="EK315">
        <v>10000</v>
      </c>
      <c r="EL315">
        <v>10000</v>
      </c>
      <c r="EM315">
        <v>10000</v>
      </c>
      <c r="EN315">
        <v>10000</v>
      </c>
      <c r="EO315">
        <v>10000</v>
      </c>
      <c r="EP315">
        <v>10000</v>
      </c>
      <c r="EQ315">
        <v>10000</v>
      </c>
      <c r="ER315">
        <v>10000</v>
      </c>
      <c r="ES315">
        <v>10000</v>
      </c>
      <c r="ET315">
        <v>10000</v>
      </c>
      <c r="EU315">
        <v>10253.4</v>
      </c>
      <c r="EV315">
        <v>10856.5</v>
      </c>
      <c r="EW315">
        <v>11459.7</v>
      </c>
      <c r="EX315">
        <v>12062.8</v>
      </c>
      <c r="EY315">
        <v>12062.8</v>
      </c>
      <c r="EZ315">
        <v>12062.8</v>
      </c>
      <c r="FA315">
        <v>12062.8</v>
      </c>
      <c r="FB315">
        <v>12062.8</v>
      </c>
      <c r="FC315">
        <v>12062.8</v>
      </c>
      <c r="FD315">
        <v>12062.8</v>
      </c>
      <c r="FE315">
        <v>12062.8</v>
      </c>
      <c r="FF315">
        <v>12062.8</v>
      </c>
      <c r="FG315">
        <v>12062.8</v>
      </c>
      <c r="FH315">
        <v>12062.8</v>
      </c>
      <c r="FI315">
        <v>12062.8</v>
      </c>
      <c r="FJ315">
        <v>12062.8</v>
      </c>
      <c r="FK315">
        <v>12062.8</v>
      </c>
      <c r="FL315">
        <v>12062.8</v>
      </c>
      <c r="FM315">
        <v>12062.8</v>
      </c>
      <c r="FN315">
        <v>12062.8</v>
      </c>
      <c r="FO315">
        <v>12062.8</v>
      </c>
      <c r="FP315">
        <v>12062.8</v>
      </c>
      <c r="FQ315">
        <v>12062.8</v>
      </c>
      <c r="FR315">
        <v>0</v>
      </c>
      <c r="FS315">
        <v>0</v>
      </c>
      <c r="FT315">
        <v>0</v>
      </c>
      <c r="FU315">
        <v>0</v>
      </c>
      <c r="FV315">
        <v>0</v>
      </c>
      <c r="FW315">
        <v>0</v>
      </c>
      <c r="FX315">
        <v>0</v>
      </c>
      <c r="FY315">
        <v>0</v>
      </c>
      <c r="FZ315">
        <v>0</v>
      </c>
      <c r="GA315">
        <v>0</v>
      </c>
      <c r="GB315">
        <v>0</v>
      </c>
      <c r="GC315">
        <v>0</v>
      </c>
      <c r="GD315">
        <v>0</v>
      </c>
      <c r="GE315">
        <v>0</v>
      </c>
      <c r="GF315">
        <v>0</v>
      </c>
      <c r="GG315">
        <v>0</v>
      </c>
      <c r="GH315">
        <v>0</v>
      </c>
      <c r="GI315">
        <v>0</v>
      </c>
      <c r="GJ315">
        <v>0</v>
      </c>
      <c r="GK315">
        <v>0</v>
      </c>
      <c r="GL315">
        <v>0</v>
      </c>
      <c r="GM315">
        <v>0</v>
      </c>
      <c r="GN315">
        <v>0</v>
      </c>
      <c r="GO315">
        <v>0</v>
      </c>
      <c r="GP315">
        <v>0</v>
      </c>
      <c r="GQ315">
        <v>0</v>
      </c>
      <c r="GR315">
        <v>0</v>
      </c>
      <c r="GS315">
        <v>0</v>
      </c>
      <c r="GT315">
        <v>0</v>
      </c>
      <c r="GU315">
        <v>0</v>
      </c>
      <c r="GV315">
        <v>0</v>
      </c>
      <c r="GW315">
        <v>0</v>
      </c>
      <c r="GX315">
        <v>0</v>
      </c>
      <c r="GY315">
        <v>0</v>
      </c>
      <c r="GZ315">
        <v>0</v>
      </c>
      <c r="HA315">
        <v>0</v>
      </c>
      <c r="HB315">
        <v>0</v>
      </c>
      <c r="HC315">
        <v>0</v>
      </c>
      <c r="HD315">
        <v>0</v>
      </c>
      <c r="HE315">
        <v>0</v>
      </c>
      <c r="HF315">
        <v>0</v>
      </c>
      <c r="HG315">
        <v>0</v>
      </c>
      <c r="HH315">
        <v>0</v>
      </c>
      <c r="HI315">
        <v>0</v>
      </c>
      <c r="HJ315">
        <v>0</v>
      </c>
      <c r="HK315">
        <v>0</v>
      </c>
      <c r="HL315">
        <v>0</v>
      </c>
      <c r="HM315">
        <v>0</v>
      </c>
      <c r="HN315">
        <v>0</v>
      </c>
      <c r="HO315">
        <v>0</v>
      </c>
      <c r="HP315">
        <v>0</v>
      </c>
      <c r="HQ315">
        <v>0</v>
      </c>
      <c r="HR315">
        <v>0</v>
      </c>
      <c r="HS315">
        <v>0</v>
      </c>
      <c r="HT315">
        <v>0</v>
      </c>
      <c r="HU315">
        <v>0</v>
      </c>
      <c r="HV315">
        <v>0</v>
      </c>
      <c r="HW315">
        <v>0</v>
      </c>
      <c r="HX315">
        <v>0</v>
      </c>
      <c r="HY315">
        <v>0</v>
      </c>
      <c r="HZ315">
        <v>0</v>
      </c>
      <c r="IA315">
        <v>0</v>
      </c>
      <c r="IB315">
        <v>0</v>
      </c>
      <c r="IC315">
        <v>0</v>
      </c>
      <c r="ID315">
        <v>0</v>
      </c>
      <c r="IE315">
        <v>0</v>
      </c>
      <c r="IF315">
        <v>0</v>
      </c>
      <c r="IG315">
        <v>0</v>
      </c>
      <c r="IH315">
        <v>0</v>
      </c>
      <c r="II315">
        <v>0</v>
      </c>
      <c r="IJ315">
        <v>0</v>
      </c>
      <c r="IK315">
        <v>0</v>
      </c>
    </row>
    <row r="316" spans="13:245" hidden="1">
      <c r="M316" s="343" t="s">
        <v>633</v>
      </c>
      <c r="N316" t="s">
        <v>1010</v>
      </c>
      <c r="O316">
        <v>2</v>
      </c>
      <c r="P316">
        <v>47</v>
      </c>
      <c r="Q316" s="184" t="str">
        <f t="shared" si="12"/>
        <v>SDJ200247</v>
      </c>
      <c r="R316">
        <v>625.4</v>
      </c>
      <c r="S316">
        <v>2000</v>
      </c>
      <c r="T316">
        <v>2000</v>
      </c>
      <c r="U316">
        <v>2501.6</v>
      </c>
      <c r="V316">
        <v>3127</v>
      </c>
      <c r="W316">
        <v>3752.4</v>
      </c>
      <c r="X316">
        <v>4377.8</v>
      </c>
      <c r="Y316">
        <v>5003.2</v>
      </c>
      <c r="Z316">
        <v>5628.6</v>
      </c>
      <c r="AA316">
        <v>6254</v>
      </c>
      <c r="AB316">
        <v>6879.4</v>
      </c>
      <c r="AC316">
        <v>7504.8</v>
      </c>
      <c r="AD316">
        <v>8130.2</v>
      </c>
      <c r="AE316">
        <v>8755.6</v>
      </c>
      <c r="AF316">
        <v>9381</v>
      </c>
      <c r="AG316">
        <v>10006.4</v>
      </c>
      <c r="AH316">
        <v>10631.8</v>
      </c>
      <c r="AI316">
        <v>11257.2</v>
      </c>
      <c r="AJ316">
        <v>11882.6</v>
      </c>
      <c r="AK316">
        <v>12508</v>
      </c>
      <c r="AL316">
        <v>12508</v>
      </c>
      <c r="AM316">
        <v>12508</v>
      </c>
      <c r="AN316">
        <v>12508</v>
      </c>
      <c r="AO316">
        <v>12508</v>
      </c>
      <c r="AP316">
        <v>12508</v>
      </c>
      <c r="AQ316">
        <v>12508</v>
      </c>
      <c r="AR316">
        <v>12508</v>
      </c>
      <c r="AS316">
        <v>12508</v>
      </c>
      <c r="AT316">
        <v>12508</v>
      </c>
      <c r="AU316">
        <v>12508</v>
      </c>
      <c r="AV316">
        <v>12508</v>
      </c>
      <c r="AW316">
        <v>12508</v>
      </c>
      <c r="AX316">
        <v>12508</v>
      </c>
      <c r="AY316">
        <v>12508</v>
      </c>
      <c r="AZ316">
        <v>12508</v>
      </c>
      <c r="BA316">
        <v>12508</v>
      </c>
      <c r="BB316">
        <v>12508</v>
      </c>
      <c r="BC316">
        <v>12508</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Z316" s="343" t="s">
        <v>633</v>
      </c>
      <c r="EA316" t="s">
        <v>1010</v>
      </c>
      <c r="EB316">
        <v>2</v>
      </c>
      <c r="EC316">
        <v>47</v>
      </c>
      <c r="ED316" s="184" t="str">
        <f t="shared" si="13"/>
        <v>SDJ200247</v>
      </c>
      <c r="EE316">
        <v>625.4</v>
      </c>
      <c r="EF316">
        <v>10000</v>
      </c>
      <c r="EG316">
        <v>10000</v>
      </c>
      <c r="EH316">
        <v>10000</v>
      </c>
      <c r="EI316">
        <v>10000</v>
      </c>
      <c r="EJ316">
        <v>10000</v>
      </c>
      <c r="EK316">
        <v>10000</v>
      </c>
      <c r="EL316">
        <v>10000</v>
      </c>
      <c r="EM316">
        <v>10000</v>
      </c>
      <c r="EN316">
        <v>10000</v>
      </c>
      <c r="EO316">
        <v>10000</v>
      </c>
      <c r="EP316">
        <v>10000</v>
      </c>
      <c r="EQ316">
        <v>10000</v>
      </c>
      <c r="ER316">
        <v>10000</v>
      </c>
      <c r="ES316">
        <v>10000</v>
      </c>
      <c r="ET316">
        <v>10006.4</v>
      </c>
      <c r="EU316">
        <v>10631.8</v>
      </c>
      <c r="EV316">
        <v>11257.2</v>
      </c>
      <c r="EW316">
        <v>11882.6</v>
      </c>
      <c r="EX316">
        <v>12508</v>
      </c>
      <c r="EY316">
        <v>12508</v>
      </c>
      <c r="EZ316">
        <v>12508</v>
      </c>
      <c r="FA316">
        <v>12508</v>
      </c>
      <c r="FB316">
        <v>12508</v>
      </c>
      <c r="FC316">
        <v>12508</v>
      </c>
      <c r="FD316">
        <v>12508</v>
      </c>
      <c r="FE316">
        <v>12508</v>
      </c>
      <c r="FF316">
        <v>12508</v>
      </c>
      <c r="FG316">
        <v>12508</v>
      </c>
      <c r="FH316">
        <v>12508</v>
      </c>
      <c r="FI316">
        <v>12508</v>
      </c>
      <c r="FJ316">
        <v>12508</v>
      </c>
      <c r="FK316">
        <v>12508</v>
      </c>
      <c r="FL316">
        <v>12508</v>
      </c>
      <c r="FM316">
        <v>12508</v>
      </c>
      <c r="FN316">
        <v>12508</v>
      </c>
      <c r="FO316">
        <v>12508</v>
      </c>
      <c r="FP316">
        <v>12508</v>
      </c>
      <c r="FQ316">
        <v>0</v>
      </c>
      <c r="FR316">
        <v>0</v>
      </c>
      <c r="FS316">
        <v>0</v>
      </c>
      <c r="FT316">
        <v>0</v>
      </c>
      <c r="FU316">
        <v>0</v>
      </c>
      <c r="FV316">
        <v>0</v>
      </c>
      <c r="FW316">
        <v>0</v>
      </c>
      <c r="FX316">
        <v>0</v>
      </c>
      <c r="FY316">
        <v>0</v>
      </c>
      <c r="FZ316">
        <v>0</v>
      </c>
      <c r="GA316">
        <v>0</v>
      </c>
      <c r="GB316">
        <v>0</v>
      </c>
      <c r="GC316">
        <v>0</v>
      </c>
      <c r="GD316">
        <v>0</v>
      </c>
      <c r="GE316">
        <v>0</v>
      </c>
      <c r="GF316">
        <v>0</v>
      </c>
      <c r="GG316">
        <v>0</v>
      </c>
      <c r="GH316">
        <v>0</v>
      </c>
      <c r="GI316">
        <v>0</v>
      </c>
      <c r="GJ316">
        <v>0</v>
      </c>
      <c r="GK316">
        <v>0</v>
      </c>
      <c r="GL316">
        <v>0</v>
      </c>
      <c r="GM316">
        <v>0</v>
      </c>
      <c r="GN316">
        <v>0</v>
      </c>
      <c r="GO316">
        <v>0</v>
      </c>
      <c r="GP316">
        <v>0</v>
      </c>
      <c r="GQ316">
        <v>0</v>
      </c>
      <c r="GR316">
        <v>0</v>
      </c>
      <c r="GS316">
        <v>0</v>
      </c>
      <c r="GT316">
        <v>0</v>
      </c>
      <c r="GU316">
        <v>0</v>
      </c>
      <c r="GV316">
        <v>0</v>
      </c>
      <c r="GW316">
        <v>0</v>
      </c>
      <c r="GX316">
        <v>0</v>
      </c>
      <c r="GY316">
        <v>0</v>
      </c>
      <c r="GZ316">
        <v>0</v>
      </c>
      <c r="HA316">
        <v>0</v>
      </c>
      <c r="HB316">
        <v>0</v>
      </c>
      <c r="HC316">
        <v>0</v>
      </c>
      <c r="HD316">
        <v>0</v>
      </c>
      <c r="HE316">
        <v>0</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0</v>
      </c>
      <c r="IB316">
        <v>0</v>
      </c>
      <c r="IC316">
        <v>0</v>
      </c>
      <c r="ID316">
        <v>0</v>
      </c>
      <c r="IE316">
        <v>0</v>
      </c>
      <c r="IF316">
        <v>0</v>
      </c>
      <c r="IG316">
        <v>0</v>
      </c>
      <c r="IH316">
        <v>0</v>
      </c>
      <c r="II316">
        <v>0</v>
      </c>
      <c r="IJ316">
        <v>0</v>
      </c>
      <c r="IK316">
        <v>0</v>
      </c>
    </row>
    <row r="317" spans="13:245" hidden="1">
      <c r="M317" s="343" t="s">
        <v>633</v>
      </c>
      <c r="N317" t="s">
        <v>1010</v>
      </c>
      <c r="O317">
        <v>2</v>
      </c>
      <c r="P317">
        <v>48</v>
      </c>
      <c r="Q317" s="184" t="str">
        <f t="shared" si="12"/>
        <v>SDJ200248</v>
      </c>
      <c r="R317">
        <v>647.70000000000005</v>
      </c>
      <c r="S317">
        <v>2000</v>
      </c>
      <c r="T317">
        <v>2000</v>
      </c>
      <c r="U317">
        <v>2590.6</v>
      </c>
      <c r="V317">
        <v>3238.3</v>
      </c>
      <c r="W317">
        <v>3886</v>
      </c>
      <c r="X317">
        <v>4533.6000000000004</v>
      </c>
      <c r="Y317">
        <v>5181.3</v>
      </c>
      <c r="Z317">
        <v>5828.9</v>
      </c>
      <c r="AA317">
        <v>6476.6</v>
      </c>
      <c r="AB317">
        <v>7124.3</v>
      </c>
      <c r="AC317">
        <v>7771.9</v>
      </c>
      <c r="AD317">
        <v>8419.6</v>
      </c>
      <c r="AE317">
        <v>9067.2000000000007</v>
      </c>
      <c r="AF317">
        <v>9714.9</v>
      </c>
      <c r="AG317">
        <v>10362.6</v>
      </c>
      <c r="AH317">
        <v>11010.2</v>
      </c>
      <c r="AI317">
        <v>11657.9</v>
      </c>
      <c r="AJ317">
        <v>12305.5</v>
      </c>
      <c r="AK317">
        <v>12953.2</v>
      </c>
      <c r="AL317">
        <v>12953.2</v>
      </c>
      <c r="AM317">
        <v>12953.2</v>
      </c>
      <c r="AN317">
        <v>12953.2</v>
      </c>
      <c r="AO317">
        <v>12953.2</v>
      </c>
      <c r="AP317">
        <v>12953.2</v>
      </c>
      <c r="AQ317">
        <v>12953.2</v>
      </c>
      <c r="AR317">
        <v>12953.2</v>
      </c>
      <c r="AS317">
        <v>12953.2</v>
      </c>
      <c r="AT317">
        <v>12953.2</v>
      </c>
      <c r="AU317">
        <v>12953.2</v>
      </c>
      <c r="AV317">
        <v>12953.2</v>
      </c>
      <c r="AW317">
        <v>12953.2</v>
      </c>
      <c r="AX317">
        <v>12953.2</v>
      </c>
      <c r="AY317">
        <v>12953.2</v>
      </c>
      <c r="AZ317">
        <v>12953.2</v>
      </c>
      <c r="BA317">
        <v>12953.2</v>
      </c>
      <c r="BB317">
        <v>12953.2</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Z317" s="343" t="s">
        <v>633</v>
      </c>
      <c r="EA317" t="s">
        <v>1010</v>
      </c>
      <c r="EB317">
        <v>2</v>
      </c>
      <c r="EC317">
        <v>48</v>
      </c>
      <c r="ED317" s="184" t="str">
        <f t="shared" si="13"/>
        <v>SDJ200248</v>
      </c>
      <c r="EE317">
        <v>647.70000000000005</v>
      </c>
      <c r="EF317">
        <v>10000</v>
      </c>
      <c r="EG317">
        <v>10000</v>
      </c>
      <c r="EH317">
        <v>10000</v>
      </c>
      <c r="EI317">
        <v>10000</v>
      </c>
      <c r="EJ317">
        <v>10000</v>
      </c>
      <c r="EK317">
        <v>10000</v>
      </c>
      <c r="EL317">
        <v>10000</v>
      </c>
      <c r="EM317">
        <v>10000</v>
      </c>
      <c r="EN317">
        <v>10000</v>
      </c>
      <c r="EO317">
        <v>10000</v>
      </c>
      <c r="EP317">
        <v>10000</v>
      </c>
      <c r="EQ317">
        <v>10000</v>
      </c>
      <c r="ER317">
        <v>10000</v>
      </c>
      <c r="ES317">
        <v>10000</v>
      </c>
      <c r="ET317">
        <v>10362.6</v>
      </c>
      <c r="EU317">
        <v>11010.2</v>
      </c>
      <c r="EV317">
        <v>11657.9</v>
      </c>
      <c r="EW317">
        <v>12305.5</v>
      </c>
      <c r="EX317">
        <v>12953.2</v>
      </c>
      <c r="EY317">
        <v>12953.2</v>
      </c>
      <c r="EZ317">
        <v>12953.2</v>
      </c>
      <c r="FA317">
        <v>12953.2</v>
      </c>
      <c r="FB317">
        <v>12953.2</v>
      </c>
      <c r="FC317">
        <v>12953.2</v>
      </c>
      <c r="FD317">
        <v>12953.2</v>
      </c>
      <c r="FE317">
        <v>12953.2</v>
      </c>
      <c r="FF317">
        <v>12953.2</v>
      </c>
      <c r="FG317">
        <v>12953.2</v>
      </c>
      <c r="FH317">
        <v>12953.2</v>
      </c>
      <c r="FI317">
        <v>12953.2</v>
      </c>
      <c r="FJ317">
        <v>12953.2</v>
      </c>
      <c r="FK317">
        <v>12953.2</v>
      </c>
      <c r="FL317">
        <v>12953.2</v>
      </c>
      <c r="FM317">
        <v>12953.2</v>
      </c>
      <c r="FN317">
        <v>12953.2</v>
      </c>
      <c r="FO317">
        <v>12953.2</v>
      </c>
      <c r="FP317">
        <v>0</v>
      </c>
      <c r="FQ317">
        <v>0</v>
      </c>
      <c r="FR317">
        <v>0</v>
      </c>
      <c r="FS317">
        <v>0</v>
      </c>
      <c r="FT317">
        <v>0</v>
      </c>
      <c r="FU317">
        <v>0</v>
      </c>
      <c r="FV317">
        <v>0</v>
      </c>
      <c r="FW317">
        <v>0</v>
      </c>
      <c r="FX317">
        <v>0</v>
      </c>
      <c r="FY317">
        <v>0</v>
      </c>
      <c r="FZ317">
        <v>0</v>
      </c>
      <c r="GA317">
        <v>0</v>
      </c>
      <c r="GB317">
        <v>0</v>
      </c>
      <c r="GC317">
        <v>0</v>
      </c>
      <c r="GD317">
        <v>0</v>
      </c>
      <c r="GE317">
        <v>0</v>
      </c>
      <c r="GF317">
        <v>0</v>
      </c>
      <c r="GG317">
        <v>0</v>
      </c>
      <c r="GH317">
        <v>0</v>
      </c>
      <c r="GI317">
        <v>0</v>
      </c>
      <c r="GJ317">
        <v>0</v>
      </c>
      <c r="GK317">
        <v>0</v>
      </c>
      <c r="GL317">
        <v>0</v>
      </c>
      <c r="GM317">
        <v>0</v>
      </c>
      <c r="GN317">
        <v>0</v>
      </c>
      <c r="GO317">
        <v>0</v>
      </c>
      <c r="GP317">
        <v>0</v>
      </c>
      <c r="GQ317">
        <v>0</v>
      </c>
      <c r="GR317">
        <v>0</v>
      </c>
      <c r="GS317">
        <v>0</v>
      </c>
      <c r="GT317">
        <v>0</v>
      </c>
      <c r="GU317">
        <v>0</v>
      </c>
      <c r="GV317">
        <v>0</v>
      </c>
      <c r="GW317">
        <v>0</v>
      </c>
      <c r="GX317">
        <v>0</v>
      </c>
      <c r="GY317">
        <v>0</v>
      </c>
      <c r="GZ317">
        <v>0</v>
      </c>
      <c r="HA317">
        <v>0</v>
      </c>
      <c r="HB317">
        <v>0</v>
      </c>
      <c r="HC317">
        <v>0</v>
      </c>
      <c r="HD317">
        <v>0</v>
      </c>
      <c r="HE317">
        <v>0</v>
      </c>
      <c r="HF317">
        <v>0</v>
      </c>
      <c r="HG317">
        <v>0</v>
      </c>
      <c r="HH317">
        <v>0</v>
      </c>
      <c r="HI317">
        <v>0</v>
      </c>
      <c r="HJ317">
        <v>0</v>
      </c>
      <c r="HK317">
        <v>0</v>
      </c>
      <c r="HL317">
        <v>0</v>
      </c>
      <c r="HM317">
        <v>0</v>
      </c>
      <c r="HN317">
        <v>0</v>
      </c>
      <c r="HO317">
        <v>0</v>
      </c>
      <c r="HP317">
        <v>0</v>
      </c>
      <c r="HQ317">
        <v>0</v>
      </c>
      <c r="HR317">
        <v>0</v>
      </c>
      <c r="HS317">
        <v>0</v>
      </c>
      <c r="HT317">
        <v>0</v>
      </c>
      <c r="HU317">
        <v>0</v>
      </c>
      <c r="HV317">
        <v>0</v>
      </c>
      <c r="HW317">
        <v>0</v>
      </c>
      <c r="HX317">
        <v>0</v>
      </c>
      <c r="HY317">
        <v>0</v>
      </c>
      <c r="HZ317">
        <v>0</v>
      </c>
      <c r="IA317">
        <v>0</v>
      </c>
      <c r="IB317">
        <v>0</v>
      </c>
      <c r="IC317">
        <v>0</v>
      </c>
      <c r="ID317">
        <v>0</v>
      </c>
      <c r="IE317">
        <v>0</v>
      </c>
      <c r="IF317">
        <v>0</v>
      </c>
      <c r="IG317">
        <v>0</v>
      </c>
      <c r="IH317">
        <v>0</v>
      </c>
      <c r="II317">
        <v>0</v>
      </c>
      <c r="IJ317">
        <v>0</v>
      </c>
      <c r="IK317">
        <v>0</v>
      </c>
    </row>
    <row r="318" spans="13:245" hidden="1">
      <c r="M318" s="343" t="s">
        <v>633</v>
      </c>
      <c r="N318" t="s">
        <v>1010</v>
      </c>
      <c r="O318">
        <v>2</v>
      </c>
      <c r="P318">
        <v>49</v>
      </c>
      <c r="Q318" s="184" t="str">
        <f t="shared" si="12"/>
        <v>SDJ200249</v>
      </c>
      <c r="R318">
        <v>676.3</v>
      </c>
      <c r="S318">
        <v>2000</v>
      </c>
      <c r="T318">
        <v>2028.8</v>
      </c>
      <c r="U318">
        <v>2705.1</v>
      </c>
      <c r="V318">
        <v>3381.4</v>
      </c>
      <c r="W318">
        <v>4057.7</v>
      </c>
      <c r="X318">
        <v>4734</v>
      </c>
      <c r="Y318">
        <v>5410.2</v>
      </c>
      <c r="Z318">
        <v>6086.5</v>
      </c>
      <c r="AA318">
        <v>6762.8</v>
      </c>
      <c r="AB318">
        <v>7439.1</v>
      </c>
      <c r="AC318">
        <v>8115.4</v>
      </c>
      <c r="AD318">
        <v>8791.6</v>
      </c>
      <c r="AE318">
        <v>9467.9</v>
      </c>
      <c r="AF318">
        <v>10144.200000000001</v>
      </c>
      <c r="AG318">
        <v>10820.5</v>
      </c>
      <c r="AH318">
        <v>11496.8</v>
      </c>
      <c r="AI318">
        <v>12173</v>
      </c>
      <c r="AJ318">
        <v>12849.3</v>
      </c>
      <c r="AK318">
        <v>13525.6</v>
      </c>
      <c r="AL318">
        <v>13525.6</v>
      </c>
      <c r="AM318">
        <v>13525.6</v>
      </c>
      <c r="AN318">
        <v>13525.6</v>
      </c>
      <c r="AO318">
        <v>13525.6</v>
      </c>
      <c r="AP318">
        <v>13525.6</v>
      </c>
      <c r="AQ318">
        <v>13525.6</v>
      </c>
      <c r="AR318">
        <v>13525.6</v>
      </c>
      <c r="AS318">
        <v>13525.6</v>
      </c>
      <c r="AT318">
        <v>13525.6</v>
      </c>
      <c r="AU318">
        <v>13525.6</v>
      </c>
      <c r="AV318">
        <v>13525.6</v>
      </c>
      <c r="AW318">
        <v>13525.6</v>
      </c>
      <c r="AX318">
        <v>13525.6</v>
      </c>
      <c r="AY318">
        <v>13525.6</v>
      </c>
      <c r="AZ318">
        <v>13525.6</v>
      </c>
      <c r="BA318">
        <v>13525.6</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Z318" s="343" t="s">
        <v>633</v>
      </c>
      <c r="EA318" t="s">
        <v>1010</v>
      </c>
      <c r="EB318">
        <v>2</v>
      </c>
      <c r="EC318">
        <v>49</v>
      </c>
      <c r="ED318" s="184" t="str">
        <f t="shared" si="13"/>
        <v>SDJ200249</v>
      </c>
      <c r="EE318">
        <v>676.3</v>
      </c>
      <c r="EF318">
        <v>10000</v>
      </c>
      <c r="EG318">
        <v>10000</v>
      </c>
      <c r="EH318">
        <v>10000</v>
      </c>
      <c r="EI318">
        <v>10000</v>
      </c>
      <c r="EJ318">
        <v>10000</v>
      </c>
      <c r="EK318">
        <v>10000</v>
      </c>
      <c r="EL318">
        <v>10000</v>
      </c>
      <c r="EM318">
        <v>10000</v>
      </c>
      <c r="EN318">
        <v>10000</v>
      </c>
      <c r="EO318">
        <v>10000</v>
      </c>
      <c r="EP318">
        <v>10000</v>
      </c>
      <c r="EQ318">
        <v>10000</v>
      </c>
      <c r="ER318">
        <v>10000</v>
      </c>
      <c r="ES318">
        <v>10144.200000000001</v>
      </c>
      <c r="ET318">
        <v>10820.5</v>
      </c>
      <c r="EU318">
        <v>11496.8</v>
      </c>
      <c r="EV318">
        <v>12173</v>
      </c>
      <c r="EW318">
        <v>12849.3</v>
      </c>
      <c r="EX318">
        <v>13525.6</v>
      </c>
      <c r="EY318">
        <v>13525.6</v>
      </c>
      <c r="EZ318">
        <v>13525.6</v>
      </c>
      <c r="FA318">
        <v>13525.6</v>
      </c>
      <c r="FB318">
        <v>13525.6</v>
      </c>
      <c r="FC318">
        <v>13525.6</v>
      </c>
      <c r="FD318">
        <v>13525.6</v>
      </c>
      <c r="FE318">
        <v>13525.6</v>
      </c>
      <c r="FF318">
        <v>13525.6</v>
      </c>
      <c r="FG318">
        <v>13525.6</v>
      </c>
      <c r="FH318">
        <v>13525.6</v>
      </c>
      <c r="FI318">
        <v>13525.6</v>
      </c>
      <c r="FJ318">
        <v>13525.6</v>
      </c>
      <c r="FK318">
        <v>13525.6</v>
      </c>
      <c r="FL318">
        <v>13525.6</v>
      </c>
      <c r="FM318">
        <v>13525.6</v>
      </c>
      <c r="FN318">
        <v>13525.6</v>
      </c>
      <c r="FO318">
        <v>0</v>
      </c>
      <c r="FP318">
        <v>0</v>
      </c>
      <c r="FQ318">
        <v>0</v>
      </c>
      <c r="FR318">
        <v>0</v>
      </c>
      <c r="FS318">
        <v>0</v>
      </c>
      <c r="FT318">
        <v>0</v>
      </c>
      <c r="FU318">
        <v>0</v>
      </c>
      <c r="FV318">
        <v>0</v>
      </c>
      <c r="FW318">
        <v>0</v>
      </c>
      <c r="FX318">
        <v>0</v>
      </c>
      <c r="FY318">
        <v>0</v>
      </c>
      <c r="FZ318">
        <v>0</v>
      </c>
      <c r="GA318">
        <v>0</v>
      </c>
      <c r="GB318">
        <v>0</v>
      </c>
      <c r="GC318">
        <v>0</v>
      </c>
      <c r="GD318">
        <v>0</v>
      </c>
      <c r="GE318">
        <v>0</v>
      </c>
      <c r="GF318">
        <v>0</v>
      </c>
      <c r="GG318">
        <v>0</v>
      </c>
      <c r="GH318">
        <v>0</v>
      </c>
      <c r="GI318">
        <v>0</v>
      </c>
      <c r="GJ318">
        <v>0</v>
      </c>
      <c r="GK318">
        <v>0</v>
      </c>
      <c r="GL318">
        <v>0</v>
      </c>
      <c r="GM318">
        <v>0</v>
      </c>
      <c r="GN318">
        <v>0</v>
      </c>
      <c r="GO318">
        <v>0</v>
      </c>
      <c r="GP318">
        <v>0</v>
      </c>
      <c r="GQ318">
        <v>0</v>
      </c>
      <c r="GR318">
        <v>0</v>
      </c>
      <c r="GS318">
        <v>0</v>
      </c>
      <c r="GT318">
        <v>0</v>
      </c>
      <c r="GU318">
        <v>0</v>
      </c>
      <c r="GV318">
        <v>0</v>
      </c>
      <c r="GW318">
        <v>0</v>
      </c>
      <c r="GX318">
        <v>0</v>
      </c>
      <c r="GY318">
        <v>0</v>
      </c>
      <c r="GZ318">
        <v>0</v>
      </c>
      <c r="HA318">
        <v>0</v>
      </c>
      <c r="HB318">
        <v>0</v>
      </c>
      <c r="HC318">
        <v>0</v>
      </c>
      <c r="HD318">
        <v>0</v>
      </c>
      <c r="HE318">
        <v>0</v>
      </c>
      <c r="HF318">
        <v>0</v>
      </c>
      <c r="HG318">
        <v>0</v>
      </c>
      <c r="HH318">
        <v>0</v>
      </c>
      <c r="HI318">
        <v>0</v>
      </c>
      <c r="HJ318">
        <v>0</v>
      </c>
      <c r="HK318">
        <v>0</v>
      </c>
      <c r="HL318">
        <v>0</v>
      </c>
      <c r="HM318">
        <v>0</v>
      </c>
      <c r="HN318">
        <v>0</v>
      </c>
      <c r="HO318">
        <v>0</v>
      </c>
      <c r="HP318">
        <v>0</v>
      </c>
      <c r="HQ318">
        <v>0</v>
      </c>
      <c r="HR318">
        <v>0</v>
      </c>
      <c r="HS318">
        <v>0</v>
      </c>
      <c r="HT318">
        <v>0</v>
      </c>
      <c r="HU318">
        <v>0</v>
      </c>
      <c r="HV318">
        <v>0</v>
      </c>
      <c r="HW318">
        <v>0</v>
      </c>
      <c r="HX318">
        <v>0</v>
      </c>
      <c r="HY318">
        <v>0</v>
      </c>
      <c r="HZ318">
        <v>0</v>
      </c>
      <c r="IA318">
        <v>0</v>
      </c>
      <c r="IB318">
        <v>0</v>
      </c>
      <c r="IC318">
        <v>0</v>
      </c>
      <c r="ID318">
        <v>0</v>
      </c>
      <c r="IE318">
        <v>0</v>
      </c>
      <c r="IF318">
        <v>0</v>
      </c>
      <c r="IG318">
        <v>0</v>
      </c>
      <c r="IH318">
        <v>0</v>
      </c>
      <c r="II318">
        <v>0</v>
      </c>
      <c r="IJ318">
        <v>0</v>
      </c>
      <c r="IK318">
        <v>0</v>
      </c>
    </row>
    <row r="319" spans="13:245" hidden="1">
      <c r="M319" s="343" t="s">
        <v>633</v>
      </c>
      <c r="N319" t="s">
        <v>1010</v>
      </c>
      <c r="O319">
        <v>2</v>
      </c>
      <c r="P319">
        <v>50</v>
      </c>
      <c r="Q319" s="184" t="str">
        <f t="shared" si="12"/>
        <v>SDJ200250</v>
      </c>
      <c r="R319">
        <v>704.9</v>
      </c>
      <c r="S319">
        <v>2000</v>
      </c>
      <c r="T319">
        <v>2114.6999999999998</v>
      </c>
      <c r="U319">
        <v>2819.6</v>
      </c>
      <c r="V319">
        <v>3524.5</v>
      </c>
      <c r="W319">
        <v>4229.3999999999996</v>
      </c>
      <c r="X319">
        <v>4934.3</v>
      </c>
      <c r="Y319">
        <v>5639.2</v>
      </c>
      <c r="Z319">
        <v>6344.1</v>
      </c>
      <c r="AA319">
        <v>7049</v>
      </c>
      <c r="AB319">
        <v>7753.9</v>
      </c>
      <c r="AC319">
        <v>8458.7999999999993</v>
      </c>
      <c r="AD319">
        <v>9163.7000000000007</v>
      </c>
      <c r="AE319">
        <v>9868.6</v>
      </c>
      <c r="AF319">
        <v>10573.5</v>
      </c>
      <c r="AG319">
        <v>11278.4</v>
      </c>
      <c r="AH319">
        <v>11983.3</v>
      </c>
      <c r="AI319">
        <v>12688.2</v>
      </c>
      <c r="AJ319">
        <v>13393.1</v>
      </c>
      <c r="AK319">
        <v>14098</v>
      </c>
      <c r="AL319">
        <v>14098</v>
      </c>
      <c r="AM319">
        <v>14098</v>
      </c>
      <c r="AN319">
        <v>14098</v>
      </c>
      <c r="AO319">
        <v>14098</v>
      </c>
      <c r="AP319">
        <v>14098</v>
      </c>
      <c r="AQ319">
        <v>14098</v>
      </c>
      <c r="AR319">
        <v>14098</v>
      </c>
      <c r="AS319">
        <v>14098</v>
      </c>
      <c r="AT319">
        <v>14098</v>
      </c>
      <c r="AU319">
        <v>14098</v>
      </c>
      <c r="AV319">
        <v>14098</v>
      </c>
      <c r="AW319">
        <v>14098</v>
      </c>
      <c r="AX319">
        <v>14098</v>
      </c>
      <c r="AY319">
        <v>14098</v>
      </c>
      <c r="AZ319">
        <v>14098</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Z319" s="343" t="s">
        <v>633</v>
      </c>
      <c r="EA319" t="s">
        <v>1010</v>
      </c>
      <c r="EB319">
        <v>2</v>
      </c>
      <c r="EC319">
        <v>50</v>
      </c>
      <c r="ED319" s="184" t="str">
        <f t="shared" si="13"/>
        <v>SDJ200250</v>
      </c>
      <c r="EE319">
        <v>704.9</v>
      </c>
      <c r="EF319">
        <v>10000</v>
      </c>
      <c r="EG319">
        <v>10000</v>
      </c>
      <c r="EH319">
        <v>10000</v>
      </c>
      <c r="EI319">
        <v>10000</v>
      </c>
      <c r="EJ319">
        <v>10000</v>
      </c>
      <c r="EK319">
        <v>10000</v>
      </c>
      <c r="EL319">
        <v>10000</v>
      </c>
      <c r="EM319">
        <v>10000</v>
      </c>
      <c r="EN319">
        <v>10000</v>
      </c>
      <c r="EO319">
        <v>10000</v>
      </c>
      <c r="EP319">
        <v>10000</v>
      </c>
      <c r="EQ319">
        <v>10000</v>
      </c>
      <c r="ER319">
        <v>10000</v>
      </c>
      <c r="ES319">
        <v>10573.5</v>
      </c>
      <c r="ET319">
        <v>11278.4</v>
      </c>
      <c r="EU319">
        <v>11983.3</v>
      </c>
      <c r="EV319">
        <v>12688.2</v>
      </c>
      <c r="EW319">
        <v>13393.1</v>
      </c>
      <c r="EX319">
        <v>14098</v>
      </c>
      <c r="EY319">
        <v>14098</v>
      </c>
      <c r="EZ319">
        <v>14098</v>
      </c>
      <c r="FA319">
        <v>14098</v>
      </c>
      <c r="FB319">
        <v>14098</v>
      </c>
      <c r="FC319">
        <v>14098</v>
      </c>
      <c r="FD319">
        <v>14098</v>
      </c>
      <c r="FE319">
        <v>14098</v>
      </c>
      <c r="FF319">
        <v>14098</v>
      </c>
      <c r="FG319">
        <v>14098</v>
      </c>
      <c r="FH319">
        <v>14098</v>
      </c>
      <c r="FI319">
        <v>14098</v>
      </c>
      <c r="FJ319">
        <v>14098</v>
      </c>
      <c r="FK319">
        <v>14098</v>
      </c>
      <c r="FL319">
        <v>14098</v>
      </c>
      <c r="FM319">
        <v>14098</v>
      </c>
      <c r="FN319">
        <v>0</v>
      </c>
      <c r="FO319">
        <v>0</v>
      </c>
      <c r="FP319">
        <v>0</v>
      </c>
      <c r="FQ319">
        <v>0</v>
      </c>
      <c r="FR319">
        <v>0</v>
      </c>
      <c r="FS319">
        <v>0</v>
      </c>
      <c r="FT319">
        <v>0</v>
      </c>
      <c r="FU319">
        <v>0</v>
      </c>
      <c r="FV319">
        <v>0</v>
      </c>
      <c r="FW319">
        <v>0</v>
      </c>
      <c r="FX319">
        <v>0</v>
      </c>
      <c r="FY319">
        <v>0</v>
      </c>
      <c r="FZ319">
        <v>0</v>
      </c>
      <c r="GA319">
        <v>0</v>
      </c>
      <c r="GB319">
        <v>0</v>
      </c>
      <c r="GC319">
        <v>0</v>
      </c>
      <c r="GD319">
        <v>0</v>
      </c>
      <c r="GE319">
        <v>0</v>
      </c>
      <c r="GF319">
        <v>0</v>
      </c>
      <c r="GG319">
        <v>0</v>
      </c>
      <c r="GH319">
        <v>0</v>
      </c>
      <c r="GI319">
        <v>0</v>
      </c>
      <c r="GJ319">
        <v>0</v>
      </c>
      <c r="GK319">
        <v>0</v>
      </c>
      <c r="GL319">
        <v>0</v>
      </c>
      <c r="GM319">
        <v>0</v>
      </c>
      <c r="GN319">
        <v>0</v>
      </c>
      <c r="GO319">
        <v>0</v>
      </c>
      <c r="GP319">
        <v>0</v>
      </c>
      <c r="GQ319">
        <v>0</v>
      </c>
      <c r="GR319">
        <v>0</v>
      </c>
      <c r="GS319">
        <v>0</v>
      </c>
      <c r="GT319">
        <v>0</v>
      </c>
      <c r="GU319">
        <v>0</v>
      </c>
      <c r="GV319">
        <v>0</v>
      </c>
      <c r="GW319">
        <v>0</v>
      </c>
      <c r="GX319">
        <v>0</v>
      </c>
      <c r="GY319">
        <v>0</v>
      </c>
      <c r="GZ319">
        <v>0</v>
      </c>
      <c r="HA319">
        <v>0</v>
      </c>
      <c r="HB319">
        <v>0</v>
      </c>
      <c r="HC319">
        <v>0</v>
      </c>
      <c r="HD319">
        <v>0</v>
      </c>
      <c r="HE319">
        <v>0</v>
      </c>
      <c r="HF319">
        <v>0</v>
      </c>
      <c r="HG319">
        <v>0</v>
      </c>
      <c r="HH319">
        <v>0</v>
      </c>
      <c r="HI319">
        <v>0</v>
      </c>
      <c r="HJ319">
        <v>0</v>
      </c>
      <c r="HK319">
        <v>0</v>
      </c>
      <c r="HL319">
        <v>0</v>
      </c>
      <c r="HM319">
        <v>0</v>
      </c>
      <c r="HN319">
        <v>0</v>
      </c>
      <c r="HO319">
        <v>0</v>
      </c>
      <c r="HP319">
        <v>0</v>
      </c>
      <c r="HQ319">
        <v>0</v>
      </c>
      <c r="HR319">
        <v>0</v>
      </c>
      <c r="HS319">
        <v>0</v>
      </c>
      <c r="HT319">
        <v>0</v>
      </c>
      <c r="HU319">
        <v>0</v>
      </c>
      <c r="HV319">
        <v>0</v>
      </c>
      <c r="HW319">
        <v>0</v>
      </c>
      <c r="HX319">
        <v>0</v>
      </c>
      <c r="HY319">
        <v>0</v>
      </c>
      <c r="HZ319">
        <v>0</v>
      </c>
      <c r="IA319">
        <v>0</v>
      </c>
      <c r="IB319">
        <v>0</v>
      </c>
      <c r="IC319">
        <v>0</v>
      </c>
      <c r="ID319">
        <v>0</v>
      </c>
      <c r="IE319">
        <v>0</v>
      </c>
      <c r="IF319">
        <v>0</v>
      </c>
      <c r="IG319">
        <v>0</v>
      </c>
      <c r="IH319">
        <v>0</v>
      </c>
      <c r="II319">
        <v>0</v>
      </c>
      <c r="IJ319">
        <v>0</v>
      </c>
      <c r="IK319">
        <v>0</v>
      </c>
    </row>
    <row r="320" spans="13:245" hidden="1">
      <c r="M320" s="413"/>
      <c r="N320" s="413"/>
      <c r="O320" s="413"/>
      <c r="P320" s="414"/>
      <c r="Q320" s="184"/>
      <c r="R320" s="414"/>
      <c r="S320" s="414"/>
      <c r="T320" s="414"/>
      <c r="U320" s="414"/>
      <c r="V320" s="414"/>
      <c r="W320" s="414"/>
      <c r="X320" s="414"/>
      <c r="Y320" s="414"/>
      <c r="Z320" s="414"/>
      <c r="AA320" s="414"/>
      <c r="AB320" s="414"/>
      <c r="AC320" s="414"/>
      <c r="AD320" s="414"/>
      <c r="AE320" s="414"/>
      <c r="AF320" s="414"/>
      <c r="AG320" s="414"/>
      <c r="AH320" s="414"/>
      <c r="AI320" s="414"/>
      <c r="AJ320" s="414"/>
      <c r="AK320" s="414"/>
      <c r="AL320" s="414"/>
      <c r="AM320" s="414"/>
      <c r="AN320" s="414"/>
      <c r="AO320" s="414"/>
      <c r="AP320" s="414"/>
      <c r="AQ320" s="414"/>
      <c r="AR320" s="414"/>
      <c r="AS320" s="414"/>
      <c r="AT320" s="414"/>
      <c r="AU320" s="414"/>
      <c r="AV320" s="414"/>
      <c r="AW320" s="414"/>
      <c r="AX320" s="414"/>
      <c r="AY320" s="414"/>
      <c r="AZ320" s="414"/>
      <c r="BA320" s="414"/>
      <c r="BB320" s="414"/>
      <c r="BC320" s="414"/>
      <c r="BD320" s="414"/>
      <c r="BE320" s="414"/>
      <c r="BF320" s="414"/>
      <c r="BG320" s="414"/>
      <c r="BH320" s="414"/>
      <c r="BI320" s="414"/>
      <c r="BJ320" s="414"/>
      <c r="BK320" s="414"/>
      <c r="BL320" s="414"/>
      <c r="BM320" s="414"/>
      <c r="BN320" s="414"/>
      <c r="BO320" s="414"/>
      <c r="BP320" s="414"/>
      <c r="BQ320" s="414"/>
      <c r="BR320" s="414"/>
      <c r="BS320" s="414"/>
      <c r="BT320" s="414"/>
      <c r="BU320" s="414"/>
      <c r="BV320" s="414"/>
      <c r="BW320" s="414"/>
      <c r="BX320" s="414"/>
      <c r="BY320" s="414"/>
      <c r="BZ320" s="414"/>
      <c r="CA320" s="414"/>
      <c r="CB320" s="414"/>
      <c r="CC320" s="414"/>
      <c r="CD320" s="414"/>
      <c r="CE320" s="414"/>
      <c r="CF320" s="414"/>
      <c r="CG320" s="414"/>
      <c r="CH320" s="414"/>
      <c r="CI320" s="414"/>
      <c r="CJ320" s="414"/>
      <c r="CK320" s="414"/>
      <c r="CL320" s="414"/>
      <c r="CM320" s="414"/>
      <c r="CN320" s="414"/>
      <c r="CO320" s="414"/>
      <c r="CP320" s="414"/>
      <c r="CQ320" s="414"/>
      <c r="CR320" s="414"/>
      <c r="CS320" s="414"/>
      <c r="CT320" s="414"/>
      <c r="CU320" s="414"/>
      <c r="CV320" s="414"/>
      <c r="CW320" s="414"/>
      <c r="CX320" s="414"/>
      <c r="CY320" s="414"/>
      <c r="CZ320" s="414"/>
      <c r="DA320" s="414"/>
      <c r="DB320" s="414"/>
      <c r="DC320" s="414"/>
      <c r="DD320" s="414"/>
      <c r="DE320" s="414"/>
      <c r="DF320" s="414"/>
      <c r="DG320" s="414"/>
      <c r="DH320" s="414"/>
      <c r="DI320" s="414"/>
      <c r="DJ320" s="414"/>
      <c r="DK320" s="414"/>
      <c r="DL320" s="414"/>
      <c r="DM320" s="414"/>
      <c r="DN320" s="414"/>
      <c r="DO320" s="414"/>
      <c r="DP320" s="414"/>
      <c r="DQ320" s="414"/>
      <c r="DR320" s="414"/>
      <c r="DS320" s="414"/>
      <c r="DT320" s="414"/>
      <c r="DU320" s="414"/>
      <c r="DV320" s="414"/>
      <c r="DW320" s="414"/>
      <c r="DX320" s="414"/>
      <c r="DZ320" s="413"/>
      <c r="EA320" s="413"/>
      <c r="EB320" s="413"/>
      <c r="EC320" s="414"/>
      <c r="ED320" s="300"/>
      <c r="EE320" s="414"/>
      <c r="EF320" s="414"/>
      <c r="EG320" s="414"/>
      <c r="EH320" s="414"/>
      <c r="EI320" s="414"/>
      <c r="EJ320" s="414"/>
      <c r="EK320" s="414"/>
      <c r="EL320" s="414"/>
      <c r="EM320" s="414"/>
      <c r="EN320" s="414"/>
      <c r="EO320" s="414"/>
      <c r="EP320" s="414"/>
      <c r="EQ320" s="414"/>
      <c r="ER320" s="414"/>
      <c r="ES320" s="414"/>
      <c r="ET320" s="414"/>
      <c r="EU320" s="414"/>
      <c r="EV320" s="414"/>
      <c r="EW320" s="414"/>
      <c r="EX320" s="414"/>
      <c r="EY320" s="414"/>
      <c r="EZ320" s="414"/>
      <c r="FA320" s="414"/>
      <c r="FB320" s="414"/>
      <c r="FC320" s="414"/>
      <c r="FD320" s="414"/>
      <c r="FE320" s="414"/>
      <c r="FF320" s="414"/>
      <c r="FG320" s="414"/>
      <c r="FH320" s="414"/>
      <c r="FI320" s="414"/>
      <c r="FJ320" s="414"/>
      <c r="FK320" s="414"/>
      <c r="FL320" s="414"/>
      <c r="FM320" s="414"/>
      <c r="FN320" s="414"/>
      <c r="FO320" s="414"/>
      <c r="FP320" s="414"/>
      <c r="FQ320" s="414"/>
      <c r="FR320" s="414"/>
      <c r="FS320" s="414"/>
      <c r="FT320" s="414"/>
      <c r="FU320" s="414"/>
      <c r="FV320" s="414"/>
      <c r="FW320" s="414"/>
      <c r="FX320" s="414"/>
      <c r="FY320" s="414"/>
      <c r="FZ320" s="414"/>
      <c r="GA320" s="414"/>
      <c r="GB320" s="414"/>
      <c r="GC320" s="414"/>
      <c r="GD320" s="414"/>
      <c r="GE320" s="414"/>
      <c r="GF320" s="414"/>
      <c r="GG320" s="414"/>
      <c r="GH320" s="414"/>
      <c r="GI320" s="414"/>
      <c r="GJ320" s="414"/>
      <c r="GK320" s="414"/>
      <c r="GL320" s="414"/>
      <c r="GM320" s="414"/>
      <c r="GN320" s="414"/>
      <c r="GO320" s="414"/>
      <c r="GP320" s="414"/>
      <c r="GQ320" s="414"/>
      <c r="GR320" s="414"/>
      <c r="GS320" s="414"/>
      <c r="GT320" s="414"/>
      <c r="GU320" s="414"/>
      <c r="GV320" s="414"/>
      <c r="GW320" s="414"/>
      <c r="GX320" s="414"/>
      <c r="GY320" s="414"/>
      <c r="GZ320" s="414"/>
      <c r="HA320" s="414"/>
      <c r="HB320" s="414"/>
      <c r="HC320" s="414"/>
      <c r="HD320" s="414"/>
      <c r="HE320" s="414"/>
      <c r="HF320" s="414"/>
      <c r="HG320" s="414"/>
      <c r="HH320" s="414"/>
      <c r="HI320" s="414"/>
      <c r="HJ320" s="414"/>
      <c r="HK320" s="414"/>
      <c r="HL320" s="414"/>
      <c r="HM320" s="414"/>
      <c r="HN320" s="414"/>
      <c r="HO320" s="414"/>
      <c r="HP320" s="414"/>
      <c r="HQ320" s="414"/>
      <c r="HR320" s="414"/>
      <c r="HS320" s="414"/>
      <c r="HT320" s="414"/>
      <c r="HU320" s="414"/>
      <c r="HV320" s="414"/>
      <c r="HW320" s="414"/>
      <c r="HX320" s="414"/>
      <c r="HY320" s="414"/>
      <c r="HZ320" s="414"/>
      <c r="IA320" s="414"/>
      <c r="IB320" s="414"/>
      <c r="IC320" s="414"/>
      <c r="ID320" s="414"/>
      <c r="IE320" s="414"/>
      <c r="IF320" s="414"/>
      <c r="IG320" s="414"/>
      <c r="IH320" s="414"/>
      <c r="II320" s="414"/>
      <c r="IJ320" s="414"/>
      <c r="IK320" s="414"/>
    </row>
    <row r="321" spans="13:245" hidden="1">
      <c r="M321" s="413"/>
      <c r="N321" s="413"/>
      <c r="O321" s="413"/>
      <c r="P321" s="414"/>
      <c r="Q321" s="184"/>
      <c r="R321" s="414"/>
      <c r="S321" s="414"/>
      <c r="T321" s="414"/>
      <c r="U321" s="414"/>
      <c r="V321" s="414"/>
      <c r="W321" s="414"/>
      <c r="X321" s="414"/>
      <c r="Y321" s="414"/>
      <c r="Z321" s="414"/>
      <c r="AA321" s="414"/>
      <c r="AB321" s="414"/>
      <c r="AC321" s="414"/>
      <c r="AD321" s="414"/>
      <c r="AE321" s="414"/>
      <c r="AF321" s="414"/>
      <c r="AG321" s="414"/>
      <c r="AH321" s="414"/>
      <c r="AI321" s="414"/>
      <c r="AJ321" s="414"/>
      <c r="AK321" s="414"/>
      <c r="AL321" s="414"/>
      <c r="AM321" s="414"/>
      <c r="AN321" s="414"/>
      <c r="AO321" s="414"/>
      <c r="AP321" s="414"/>
      <c r="AQ321" s="414"/>
      <c r="AR321" s="414"/>
      <c r="AS321" s="414"/>
      <c r="AT321" s="414"/>
      <c r="AU321" s="414"/>
      <c r="AV321" s="414"/>
      <c r="AW321" s="414"/>
      <c r="AX321" s="414"/>
      <c r="AY321" s="414"/>
      <c r="AZ321" s="414"/>
      <c r="BA321" s="414"/>
      <c r="BB321" s="414"/>
      <c r="BC321" s="414"/>
      <c r="BD321" s="414"/>
      <c r="BE321" s="414"/>
      <c r="BF321" s="414"/>
      <c r="BG321" s="414"/>
      <c r="BH321" s="414"/>
      <c r="BI321" s="414"/>
      <c r="BJ321" s="414"/>
      <c r="BK321" s="414"/>
      <c r="BL321" s="414"/>
      <c r="BM321" s="414"/>
      <c r="BN321" s="414"/>
      <c r="BO321" s="414"/>
      <c r="BP321" s="414"/>
      <c r="BQ321" s="414"/>
      <c r="BR321" s="414"/>
      <c r="BS321" s="414"/>
      <c r="BT321" s="414"/>
      <c r="BU321" s="414"/>
      <c r="BV321" s="414"/>
      <c r="BW321" s="414"/>
      <c r="BX321" s="414"/>
      <c r="BY321" s="414"/>
      <c r="BZ321" s="414"/>
      <c r="CA321" s="414"/>
      <c r="CB321" s="414"/>
      <c r="CC321" s="414"/>
      <c r="CD321" s="414"/>
      <c r="CE321" s="414"/>
      <c r="CF321" s="414"/>
      <c r="CG321" s="414"/>
      <c r="CH321" s="414"/>
      <c r="CI321" s="414"/>
      <c r="CJ321" s="414"/>
      <c r="CK321" s="414"/>
      <c r="CL321" s="414"/>
      <c r="CM321" s="414"/>
      <c r="CN321" s="414"/>
      <c r="CO321" s="414"/>
      <c r="CP321" s="414"/>
      <c r="CQ321" s="414"/>
      <c r="CR321" s="414"/>
      <c r="CS321" s="414"/>
      <c r="CT321" s="414"/>
      <c r="CU321" s="414"/>
      <c r="CV321" s="414"/>
      <c r="CW321" s="414"/>
      <c r="CX321" s="414"/>
      <c r="CY321" s="414"/>
      <c r="CZ321" s="414"/>
      <c r="DA321" s="414"/>
      <c r="DB321" s="414"/>
      <c r="DC321" s="414"/>
      <c r="DD321" s="414"/>
      <c r="DE321" s="414"/>
      <c r="DF321" s="414"/>
      <c r="DG321" s="414"/>
      <c r="DH321" s="414"/>
      <c r="DI321" s="414"/>
      <c r="DJ321" s="414"/>
      <c r="DK321" s="414"/>
      <c r="DL321" s="414"/>
      <c r="DM321" s="414"/>
      <c r="DN321" s="414"/>
      <c r="DO321" s="414"/>
      <c r="DP321" s="414"/>
      <c r="DQ321" s="414"/>
      <c r="DR321" s="414"/>
      <c r="DS321" s="414"/>
      <c r="DT321" s="414"/>
      <c r="DU321" s="414"/>
      <c r="DV321" s="414"/>
      <c r="DW321" s="414"/>
      <c r="DX321" s="414"/>
      <c r="DZ321" s="413"/>
      <c r="EA321" s="413"/>
      <c r="EB321" s="413"/>
      <c r="EC321" s="414"/>
      <c r="ED321" s="300"/>
      <c r="EE321" s="414"/>
      <c r="EF321" s="414"/>
      <c r="EG321" s="414"/>
      <c r="EH321" s="414"/>
      <c r="EI321" s="414"/>
      <c r="EJ321" s="414"/>
      <c r="EK321" s="414"/>
      <c r="EL321" s="414"/>
      <c r="EM321" s="414"/>
      <c r="EN321" s="414"/>
      <c r="EO321" s="414"/>
      <c r="EP321" s="414"/>
      <c r="EQ321" s="414"/>
      <c r="ER321" s="414"/>
      <c r="ES321" s="414"/>
      <c r="ET321" s="414"/>
      <c r="EU321" s="414"/>
      <c r="EV321" s="414"/>
      <c r="EW321" s="414"/>
      <c r="EX321" s="414"/>
      <c r="EY321" s="414"/>
      <c r="EZ321" s="414"/>
      <c r="FA321" s="414"/>
      <c r="FB321" s="414"/>
      <c r="FC321" s="414"/>
      <c r="FD321" s="414"/>
      <c r="FE321" s="414"/>
      <c r="FF321" s="414"/>
      <c r="FG321" s="414"/>
      <c r="FH321" s="414"/>
      <c r="FI321" s="414"/>
      <c r="FJ321" s="414"/>
      <c r="FK321" s="414"/>
      <c r="FL321" s="414"/>
      <c r="FM321" s="414"/>
      <c r="FN321" s="414"/>
      <c r="FO321" s="414"/>
      <c r="FP321" s="414"/>
      <c r="FQ321" s="414"/>
      <c r="FR321" s="414"/>
      <c r="FS321" s="414"/>
      <c r="FT321" s="414"/>
      <c r="FU321" s="414"/>
      <c r="FV321" s="414"/>
      <c r="FW321" s="414"/>
      <c r="FX321" s="414"/>
      <c r="FY321" s="414"/>
      <c r="FZ321" s="414"/>
      <c r="GA321" s="414"/>
      <c r="GB321" s="414"/>
      <c r="GC321" s="414"/>
      <c r="GD321" s="414"/>
      <c r="GE321" s="414"/>
      <c r="GF321" s="414"/>
      <c r="GG321" s="414"/>
      <c r="GH321" s="414"/>
      <c r="GI321" s="414"/>
      <c r="GJ321" s="414"/>
      <c r="GK321" s="414"/>
      <c r="GL321" s="414"/>
      <c r="GM321" s="414"/>
      <c r="GN321" s="414"/>
      <c r="GO321" s="414"/>
      <c r="GP321" s="414"/>
      <c r="GQ321" s="414"/>
      <c r="GR321" s="414"/>
      <c r="GS321" s="414"/>
      <c r="GT321" s="414"/>
      <c r="GU321" s="414"/>
      <c r="GV321" s="414"/>
      <c r="GW321" s="414"/>
      <c r="GX321" s="414"/>
      <c r="GY321" s="414"/>
      <c r="GZ321" s="414"/>
      <c r="HA321" s="414"/>
      <c r="HB321" s="414"/>
      <c r="HC321" s="414"/>
      <c r="HD321" s="414"/>
      <c r="HE321" s="414"/>
      <c r="HF321" s="414"/>
      <c r="HG321" s="414"/>
      <c r="HH321" s="414"/>
      <c r="HI321" s="414"/>
      <c r="HJ321" s="414"/>
      <c r="HK321" s="414"/>
      <c r="HL321" s="414"/>
      <c r="HM321" s="414"/>
      <c r="HN321" s="414"/>
      <c r="HO321" s="414"/>
      <c r="HP321" s="414"/>
      <c r="HQ321" s="414"/>
      <c r="HR321" s="414"/>
      <c r="HS321" s="414"/>
      <c r="HT321" s="414"/>
      <c r="HU321" s="414"/>
      <c r="HV321" s="414"/>
      <c r="HW321" s="414"/>
      <c r="HX321" s="414"/>
      <c r="HY321" s="414"/>
      <c r="HZ321" s="414"/>
      <c r="IA321" s="414"/>
      <c r="IB321" s="414"/>
      <c r="IC321" s="414"/>
      <c r="ID321" s="414"/>
      <c r="IE321" s="414"/>
      <c r="IF321" s="414"/>
      <c r="IG321" s="414"/>
      <c r="IH321" s="414"/>
      <c r="II321" s="414"/>
      <c r="IJ321" s="414"/>
      <c r="IK321" s="414"/>
    </row>
    <row r="322" spans="13:245" hidden="1">
      <c r="M322" s="413"/>
      <c r="N322" s="413"/>
      <c r="O322" s="413"/>
      <c r="P322" s="414"/>
      <c r="Q322" s="184"/>
      <c r="R322" s="414"/>
      <c r="S322" s="414"/>
      <c r="T322" s="414"/>
      <c r="U322" s="414"/>
      <c r="V322" s="414"/>
      <c r="W322" s="414"/>
      <c r="X322" s="414"/>
      <c r="Y322" s="414"/>
      <c r="Z322" s="414"/>
      <c r="AA322" s="414"/>
      <c r="AB322" s="414"/>
      <c r="AC322" s="414"/>
      <c r="AD322" s="414"/>
      <c r="AE322" s="414"/>
      <c r="AF322" s="414"/>
      <c r="AG322" s="414"/>
      <c r="AH322" s="414"/>
      <c r="AI322" s="414"/>
      <c r="AJ322" s="414"/>
      <c r="AK322" s="414"/>
      <c r="AL322" s="414"/>
      <c r="AM322" s="414"/>
      <c r="AN322" s="414"/>
      <c r="AO322" s="414"/>
      <c r="AP322" s="414"/>
      <c r="AQ322" s="414"/>
      <c r="AR322" s="414"/>
      <c r="AS322" s="414"/>
      <c r="AT322" s="414"/>
      <c r="AU322" s="414"/>
      <c r="AV322" s="414"/>
      <c r="AW322" s="414"/>
      <c r="AX322" s="414"/>
      <c r="AY322" s="414"/>
      <c r="AZ322" s="414"/>
      <c r="BA322" s="414"/>
      <c r="BB322" s="414"/>
      <c r="BC322" s="414"/>
      <c r="BD322" s="414"/>
      <c r="BE322" s="414"/>
      <c r="BF322" s="414"/>
      <c r="BG322" s="414"/>
      <c r="BH322" s="414"/>
      <c r="BI322" s="414"/>
      <c r="BJ322" s="414"/>
      <c r="BK322" s="414"/>
      <c r="BL322" s="414"/>
      <c r="BM322" s="414"/>
      <c r="BN322" s="414"/>
      <c r="BO322" s="414"/>
      <c r="BP322" s="414"/>
      <c r="BQ322" s="414"/>
      <c r="BR322" s="414"/>
      <c r="BS322" s="414"/>
      <c r="BT322" s="414"/>
      <c r="BU322" s="414"/>
      <c r="BV322" s="414"/>
      <c r="BW322" s="414"/>
      <c r="BX322" s="414"/>
      <c r="BY322" s="414"/>
      <c r="BZ322" s="414"/>
      <c r="CA322" s="414"/>
      <c r="CB322" s="414"/>
      <c r="CC322" s="414"/>
      <c r="CD322" s="414"/>
      <c r="CE322" s="414"/>
      <c r="CF322" s="414"/>
      <c r="CG322" s="414"/>
      <c r="CH322" s="414"/>
      <c r="CI322" s="414"/>
      <c r="CJ322" s="414"/>
      <c r="CK322" s="414"/>
      <c r="CL322" s="414"/>
      <c r="CM322" s="414"/>
      <c r="CN322" s="414"/>
      <c r="CO322" s="414"/>
      <c r="CP322" s="414"/>
      <c r="CQ322" s="414"/>
      <c r="CR322" s="414"/>
      <c r="CS322" s="414"/>
      <c r="CT322" s="414"/>
      <c r="CU322" s="414"/>
      <c r="CV322" s="414"/>
      <c r="CW322" s="414"/>
      <c r="CX322" s="414"/>
      <c r="CY322" s="414"/>
      <c r="CZ322" s="414"/>
      <c r="DA322" s="414"/>
      <c r="DB322" s="414"/>
      <c r="DC322" s="414"/>
      <c r="DD322" s="414"/>
      <c r="DE322" s="414"/>
      <c r="DF322" s="414"/>
      <c r="DG322" s="414"/>
      <c r="DH322" s="414"/>
      <c r="DI322" s="414"/>
      <c r="DJ322" s="414"/>
      <c r="DK322" s="414"/>
      <c r="DL322" s="414"/>
      <c r="DM322" s="414"/>
      <c r="DN322" s="414"/>
      <c r="DO322" s="414"/>
      <c r="DP322" s="414"/>
      <c r="DQ322" s="414"/>
      <c r="DR322" s="414"/>
      <c r="DS322" s="414"/>
      <c r="DT322" s="414"/>
      <c r="DU322" s="414"/>
      <c r="DV322" s="414"/>
      <c r="DW322" s="414"/>
      <c r="DX322" s="414"/>
      <c r="DZ322" s="413"/>
      <c r="EA322" s="413"/>
      <c r="EB322" s="413"/>
      <c r="EC322" s="414"/>
      <c r="ED322" s="300"/>
      <c r="EE322" s="414"/>
      <c r="EF322" s="414"/>
      <c r="EG322" s="414"/>
      <c r="EH322" s="414"/>
      <c r="EI322" s="414"/>
      <c r="EJ322" s="414"/>
      <c r="EK322" s="414"/>
      <c r="EL322" s="414"/>
      <c r="EM322" s="414"/>
      <c r="EN322" s="414"/>
      <c r="EO322" s="414"/>
      <c r="EP322" s="414"/>
      <c r="EQ322" s="414"/>
      <c r="ER322" s="414"/>
      <c r="ES322" s="414"/>
      <c r="ET322" s="414"/>
      <c r="EU322" s="414"/>
      <c r="EV322" s="414"/>
      <c r="EW322" s="414"/>
      <c r="EX322" s="414"/>
      <c r="EY322" s="414"/>
      <c r="EZ322" s="414"/>
      <c r="FA322" s="414"/>
      <c r="FB322" s="414"/>
      <c r="FC322" s="414"/>
      <c r="FD322" s="414"/>
      <c r="FE322" s="414"/>
      <c r="FF322" s="414"/>
      <c r="FG322" s="414"/>
      <c r="FH322" s="414"/>
      <c r="FI322" s="414"/>
      <c r="FJ322" s="414"/>
      <c r="FK322" s="414"/>
      <c r="FL322" s="414"/>
      <c r="FM322" s="414"/>
      <c r="FN322" s="414"/>
      <c r="FO322" s="414"/>
      <c r="FP322" s="414"/>
      <c r="FQ322" s="414"/>
      <c r="FR322" s="414"/>
      <c r="FS322" s="414"/>
      <c r="FT322" s="414"/>
      <c r="FU322" s="414"/>
      <c r="FV322" s="414"/>
      <c r="FW322" s="414"/>
      <c r="FX322" s="414"/>
      <c r="FY322" s="414"/>
      <c r="FZ322" s="414"/>
      <c r="GA322" s="414"/>
      <c r="GB322" s="414"/>
      <c r="GC322" s="414"/>
      <c r="GD322" s="414"/>
      <c r="GE322" s="414"/>
      <c r="GF322" s="414"/>
      <c r="GG322" s="414"/>
      <c r="GH322" s="414"/>
      <c r="GI322" s="414"/>
      <c r="GJ322" s="414"/>
      <c r="GK322" s="414"/>
      <c r="GL322" s="414"/>
      <c r="GM322" s="414"/>
      <c r="GN322" s="414"/>
      <c r="GO322" s="414"/>
      <c r="GP322" s="414"/>
      <c r="GQ322" s="414"/>
      <c r="GR322" s="414"/>
      <c r="GS322" s="414"/>
      <c r="GT322" s="414"/>
      <c r="GU322" s="414"/>
      <c r="GV322" s="414"/>
      <c r="GW322" s="414"/>
      <c r="GX322" s="414"/>
      <c r="GY322" s="414"/>
      <c r="GZ322" s="414"/>
      <c r="HA322" s="414"/>
      <c r="HB322" s="414"/>
      <c r="HC322" s="414"/>
      <c r="HD322" s="414"/>
      <c r="HE322" s="414"/>
      <c r="HF322" s="414"/>
      <c r="HG322" s="414"/>
      <c r="HH322" s="414"/>
      <c r="HI322" s="414"/>
      <c r="HJ322" s="414"/>
      <c r="HK322" s="414"/>
      <c r="HL322" s="414"/>
      <c r="HM322" s="414"/>
      <c r="HN322" s="414"/>
      <c r="HO322" s="414"/>
      <c r="HP322" s="414"/>
      <c r="HQ322" s="414"/>
      <c r="HR322" s="414"/>
      <c r="HS322" s="414"/>
      <c r="HT322" s="414"/>
      <c r="HU322" s="414"/>
      <c r="HV322" s="414"/>
      <c r="HW322" s="414"/>
      <c r="HX322" s="414"/>
      <c r="HY322" s="414"/>
      <c r="HZ322" s="414"/>
      <c r="IA322" s="414"/>
      <c r="IB322" s="414"/>
      <c r="IC322" s="414"/>
      <c r="ID322" s="414"/>
      <c r="IE322" s="414"/>
      <c r="IF322" s="414"/>
      <c r="IG322" s="414"/>
      <c r="IH322" s="414"/>
      <c r="II322" s="414"/>
      <c r="IJ322" s="414"/>
      <c r="IK322" s="414"/>
    </row>
    <row r="323" spans="13:245" hidden="1">
      <c r="Q323" s="184"/>
    </row>
    <row r="324" spans="13:245" hidden="1">
      <c r="Q324" s="184"/>
    </row>
    <row r="325" spans="13:245" hidden="1">
      <c r="Q325" s="184"/>
    </row>
    <row r="326" spans="13:245" hidden="1">
      <c r="M326" t="s">
        <v>746</v>
      </c>
      <c r="Q326" s="184" t="str">
        <f t="shared" ref="Q326:Q389" si="14">N326&amp;TEXT(O326,"00")&amp;TEXT(P326,"00")</f>
        <v>0000</v>
      </c>
    </row>
    <row r="327" spans="13:245" ht="24" hidden="1">
      <c r="M327" s="342" t="s">
        <v>110</v>
      </c>
      <c r="N327" s="342" t="s">
        <v>15</v>
      </c>
      <c r="O327" s="342" t="s">
        <v>17</v>
      </c>
      <c r="P327" s="342" t="s">
        <v>16</v>
      </c>
      <c r="Q327" s="184" t="str">
        <f t="shared" si="14"/>
        <v>商品代號性別年齡</v>
      </c>
      <c r="R327" s="342" t="s">
        <v>634</v>
      </c>
      <c r="S327" s="342" t="s">
        <v>635</v>
      </c>
      <c r="T327" s="342" t="s">
        <v>636</v>
      </c>
      <c r="U327" s="342" t="s">
        <v>637</v>
      </c>
      <c r="V327" s="342" t="s">
        <v>638</v>
      </c>
      <c r="W327" s="342" t="s">
        <v>639</v>
      </c>
      <c r="X327" s="342" t="s">
        <v>640</v>
      </c>
      <c r="Y327" s="342" t="s">
        <v>641</v>
      </c>
      <c r="Z327" s="342" t="s">
        <v>642</v>
      </c>
      <c r="AA327" s="342" t="s">
        <v>643</v>
      </c>
      <c r="AB327" s="342" t="s">
        <v>644</v>
      </c>
      <c r="AC327" s="342" t="s">
        <v>645</v>
      </c>
      <c r="AD327" s="342" t="s">
        <v>646</v>
      </c>
      <c r="AE327" s="342" t="s">
        <v>647</v>
      </c>
      <c r="AF327" s="342" t="s">
        <v>648</v>
      </c>
      <c r="AG327" s="342" t="s">
        <v>649</v>
      </c>
      <c r="AH327" s="342" t="s">
        <v>650</v>
      </c>
      <c r="AI327" s="342" t="s">
        <v>651</v>
      </c>
      <c r="AJ327" s="342" t="s">
        <v>652</v>
      </c>
      <c r="AK327" s="342" t="s">
        <v>653</v>
      </c>
      <c r="AL327" s="342" t="s">
        <v>654</v>
      </c>
      <c r="AM327" s="342" t="s">
        <v>655</v>
      </c>
      <c r="AN327" s="342" t="s">
        <v>656</v>
      </c>
      <c r="AO327" s="342" t="s">
        <v>657</v>
      </c>
      <c r="AP327" s="342" t="s">
        <v>658</v>
      </c>
      <c r="AQ327" s="342" t="s">
        <v>659</v>
      </c>
      <c r="AR327" s="342" t="s">
        <v>660</v>
      </c>
      <c r="AS327" s="342" t="s">
        <v>661</v>
      </c>
      <c r="AT327" s="342" t="s">
        <v>662</v>
      </c>
      <c r="AU327" s="342" t="s">
        <v>663</v>
      </c>
      <c r="AV327" s="342" t="s">
        <v>664</v>
      </c>
      <c r="AW327" s="342" t="s">
        <v>665</v>
      </c>
      <c r="AX327" s="342" t="s">
        <v>666</v>
      </c>
      <c r="AY327" s="342" t="s">
        <v>667</v>
      </c>
      <c r="AZ327" s="342" t="s">
        <v>668</v>
      </c>
      <c r="BA327" s="342" t="s">
        <v>669</v>
      </c>
      <c r="BB327" s="342" t="s">
        <v>670</v>
      </c>
      <c r="BC327" s="342" t="s">
        <v>671</v>
      </c>
      <c r="BD327" s="342" t="s">
        <v>672</v>
      </c>
      <c r="BE327" s="342" t="s">
        <v>673</v>
      </c>
      <c r="BF327" s="342" t="s">
        <v>674</v>
      </c>
      <c r="BG327" s="342" t="s">
        <v>675</v>
      </c>
      <c r="BH327" s="342" t="s">
        <v>676</v>
      </c>
      <c r="BI327" s="342" t="s">
        <v>677</v>
      </c>
      <c r="BJ327" s="342" t="s">
        <v>678</v>
      </c>
      <c r="BK327" s="342" t="s">
        <v>679</v>
      </c>
      <c r="BL327" s="342" t="s">
        <v>680</v>
      </c>
      <c r="BM327" s="342" t="s">
        <v>681</v>
      </c>
      <c r="BN327" s="342" t="s">
        <v>682</v>
      </c>
      <c r="BO327" s="342" t="s">
        <v>683</v>
      </c>
      <c r="BP327" s="342" t="s">
        <v>684</v>
      </c>
      <c r="BQ327" s="342" t="s">
        <v>685</v>
      </c>
      <c r="BR327" s="342" t="s">
        <v>686</v>
      </c>
      <c r="BS327" s="342" t="s">
        <v>687</v>
      </c>
      <c r="BT327" s="342" t="s">
        <v>688</v>
      </c>
      <c r="BU327" s="342" t="s">
        <v>689</v>
      </c>
      <c r="BV327" s="342" t="s">
        <v>690</v>
      </c>
      <c r="BW327" s="342" t="s">
        <v>691</v>
      </c>
      <c r="BX327" s="342" t="s">
        <v>692</v>
      </c>
      <c r="BY327" s="342" t="s">
        <v>693</v>
      </c>
      <c r="BZ327" s="342" t="s">
        <v>694</v>
      </c>
      <c r="CA327" s="342" t="s">
        <v>695</v>
      </c>
      <c r="CB327" s="342" t="s">
        <v>696</v>
      </c>
      <c r="CC327" s="342" t="s">
        <v>697</v>
      </c>
      <c r="CD327" s="342" t="s">
        <v>698</v>
      </c>
      <c r="CE327" s="342" t="s">
        <v>699</v>
      </c>
      <c r="CF327" s="342" t="s">
        <v>700</v>
      </c>
      <c r="CG327" s="342" t="s">
        <v>701</v>
      </c>
      <c r="CH327" s="342" t="s">
        <v>702</v>
      </c>
      <c r="CI327" s="342" t="s">
        <v>703</v>
      </c>
      <c r="CJ327" s="342" t="s">
        <v>704</v>
      </c>
      <c r="CK327" s="342" t="s">
        <v>705</v>
      </c>
      <c r="CL327" s="342" t="s">
        <v>706</v>
      </c>
      <c r="CM327" s="342" t="s">
        <v>707</v>
      </c>
      <c r="CN327" s="342" t="s">
        <v>708</v>
      </c>
      <c r="CO327" s="342" t="s">
        <v>709</v>
      </c>
      <c r="CP327" s="342" t="s">
        <v>710</v>
      </c>
      <c r="CQ327" s="342" t="s">
        <v>711</v>
      </c>
      <c r="CR327" s="342" t="s">
        <v>712</v>
      </c>
      <c r="CS327" s="342" t="s">
        <v>713</v>
      </c>
      <c r="CT327" s="342" t="s">
        <v>714</v>
      </c>
      <c r="CU327" s="342" t="s">
        <v>715</v>
      </c>
      <c r="CV327" s="342" t="s">
        <v>716</v>
      </c>
      <c r="CW327" s="342" t="s">
        <v>717</v>
      </c>
      <c r="CX327" s="342" t="s">
        <v>718</v>
      </c>
      <c r="CY327" s="342" t="s">
        <v>719</v>
      </c>
      <c r="CZ327" s="342" t="s">
        <v>720</v>
      </c>
      <c r="DA327" s="342" t="s">
        <v>721</v>
      </c>
      <c r="DB327" s="342" t="s">
        <v>722</v>
      </c>
      <c r="DC327" s="342" t="s">
        <v>723</v>
      </c>
      <c r="DD327" s="342" t="s">
        <v>724</v>
      </c>
      <c r="DE327" s="342" t="s">
        <v>725</v>
      </c>
      <c r="DF327" s="342" t="s">
        <v>726</v>
      </c>
      <c r="DG327" s="342" t="s">
        <v>727</v>
      </c>
      <c r="DH327" s="342" t="s">
        <v>728</v>
      </c>
      <c r="DI327" s="342" t="s">
        <v>729</v>
      </c>
      <c r="DJ327" s="342" t="s">
        <v>730</v>
      </c>
      <c r="DK327" s="342" t="s">
        <v>731</v>
      </c>
      <c r="DL327" s="342" t="s">
        <v>732</v>
      </c>
      <c r="DM327" s="342" t="s">
        <v>733</v>
      </c>
      <c r="DN327" s="342" t="s">
        <v>734</v>
      </c>
      <c r="DO327" s="342" t="s">
        <v>735</v>
      </c>
      <c r="DP327" s="342" t="s">
        <v>736</v>
      </c>
      <c r="DQ327" s="342" t="s">
        <v>737</v>
      </c>
      <c r="DR327" s="342" t="s">
        <v>738</v>
      </c>
      <c r="DS327" s="342" t="s">
        <v>739</v>
      </c>
      <c r="DT327" s="342" t="s">
        <v>740</v>
      </c>
      <c r="DU327" s="342" t="s">
        <v>741</v>
      </c>
      <c r="DV327" s="342" t="s">
        <v>742</v>
      </c>
      <c r="DW327" s="342" t="s">
        <v>743</v>
      </c>
      <c r="DX327" s="342" t="s">
        <v>744</v>
      </c>
    </row>
    <row r="328" spans="13:245" hidden="1">
      <c r="M328" s="343" t="s">
        <v>633</v>
      </c>
      <c r="N328" t="s">
        <v>1010</v>
      </c>
      <c r="O328">
        <v>1</v>
      </c>
      <c r="P328" s="431">
        <v>0</v>
      </c>
      <c r="Q328" s="184" t="str">
        <f t="shared" si="14"/>
        <v>SDJ200100</v>
      </c>
      <c r="R328">
        <v>10000</v>
      </c>
      <c r="S328">
        <v>10000</v>
      </c>
      <c r="T328">
        <v>10000</v>
      </c>
      <c r="U328">
        <v>10000</v>
      </c>
      <c r="V328">
        <v>10000</v>
      </c>
      <c r="W328">
        <v>10000</v>
      </c>
      <c r="X328">
        <v>10000</v>
      </c>
      <c r="Y328">
        <v>10000</v>
      </c>
      <c r="Z328">
        <v>10000</v>
      </c>
      <c r="AA328">
        <v>10000</v>
      </c>
      <c r="AB328">
        <v>10000</v>
      </c>
      <c r="AC328">
        <v>10000</v>
      </c>
      <c r="AD328">
        <v>10000</v>
      </c>
      <c r="AE328">
        <v>10000</v>
      </c>
      <c r="AF328">
        <v>10000</v>
      </c>
      <c r="AG328">
        <v>10000</v>
      </c>
      <c r="AH328">
        <v>10000</v>
      </c>
      <c r="AI328">
        <v>10000</v>
      </c>
      <c r="AJ328">
        <v>10000</v>
      </c>
      <c r="AK328">
        <v>10000</v>
      </c>
      <c r="AL328">
        <v>10000</v>
      </c>
      <c r="AM328">
        <v>10000</v>
      </c>
      <c r="AN328">
        <v>10000</v>
      </c>
      <c r="AO328">
        <v>10000</v>
      </c>
      <c r="AP328">
        <v>10000</v>
      </c>
      <c r="AQ328">
        <v>10000</v>
      </c>
      <c r="AR328">
        <v>10000</v>
      </c>
      <c r="AS328">
        <v>10000</v>
      </c>
      <c r="AT328">
        <v>10000</v>
      </c>
      <c r="AU328">
        <v>10000</v>
      </c>
      <c r="AV328">
        <v>10000</v>
      </c>
      <c r="AW328">
        <v>10000</v>
      </c>
      <c r="AX328">
        <v>10000</v>
      </c>
      <c r="AY328">
        <v>10000</v>
      </c>
      <c r="AZ328">
        <v>10000</v>
      </c>
      <c r="BA328">
        <v>10000</v>
      </c>
      <c r="BB328">
        <v>10000</v>
      </c>
      <c r="BC328">
        <v>10000</v>
      </c>
      <c r="BD328">
        <v>10000</v>
      </c>
      <c r="BE328">
        <v>10000</v>
      </c>
      <c r="BF328">
        <v>10000</v>
      </c>
      <c r="BG328">
        <v>10000</v>
      </c>
      <c r="BH328">
        <v>10000</v>
      </c>
      <c r="BI328">
        <v>10000</v>
      </c>
      <c r="BJ328">
        <v>10000</v>
      </c>
      <c r="BK328">
        <v>10000</v>
      </c>
      <c r="BL328">
        <v>10000</v>
      </c>
      <c r="BM328">
        <v>10000</v>
      </c>
      <c r="BN328">
        <v>10000</v>
      </c>
      <c r="BO328">
        <v>10000</v>
      </c>
      <c r="BP328">
        <v>10000</v>
      </c>
      <c r="BQ328">
        <v>10000</v>
      </c>
      <c r="BR328">
        <v>10000</v>
      </c>
      <c r="BS328">
        <v>10000</v>
      </c>
      <c r="BT328">
        <v>10000</v>
      </c>
      <c r="BU328">
        <v>10000</v>
      </c>
      <c r="BV328">
        <v>10000</v>
      </c>
      <c r="BW328">
        <v>10000</v>
      </c>
      <c r="BX328">
        <v>10000</v>
      </c>
      <c r="BY328">
        <v>10000</v>
      </c>
      <c r="BZ328">
        <v>10000</v>
      </c>
      <c r="CA328">
        <v>10000</v>
      </c>
      <c r="CB328">
        <v>10000</v>
      </c>
      <c r="CC328">
        <v>10000</v>
      </c>
      <c r="CD328">
        <v>10000</v>
      </c>
      <c r="CE328">
        <v>10000</v>
      </c>
      <c r="CF328">
        <v>10000</v>
      </c>
      <c r="CG328">
        <v>10000</v>
      </c>
      <c r="CH328">
        <v>10000</v>
      </c>
      <c r="CI328">
        <v>10000</v>
      </c>
      <c r="CJ328">
        <v>10000</v>
      </c>
      <c r="CK328">
        <v>10000</v>
      </c>
      <c r="CL328">
        <v>10000</v>
      </c>
      <c r="CM328">
        <v>10000</v>
      </c>
      <c r="CN328">
        <v>10000</v>
      </c>
      <c r="CO328">
        <v>10000</v>
      </c>
      <c r="CP328">
        <v>10000</v>
      </c>
      <c r="CQ328">
        <v>10000</v>
      </c>
      <c r="CR328">
        <v>10000</v>
      </c>
      <c r="CS328">
        <v>10000</v>
      </c>
      <c r="CT328">
        <v>10000</v>
      </c>
      <c r="CU328">
        <v>10000</v>
      </c>
      <c r="CV328">
        <v>10000</v>
      </c>
      <c r="CW328">
        <v>10000</v>
      </c>
      <c r="CX328">
        <v>10000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row>
    <row r="329" spans="13:245" hidden="1">
      <c r="M329" s="343" t="s">
        <v>633</v>
      </c>
      <c r="N329" t="s">
        <v>1010</v>
      </c>
      <c r="O329">
        <v>1</v>
      </c>
      <c r="P329">
        <v>1</v>
      </c>
      <c r="Q329" s="184" t="str">
        <f t="shared" si="14"/>
        <v>SDJ200101</v>
      </c>
      <c r="R329">
        <v>10000</v>
      </c>
      <c r="S329">
        <v>10000</v>
      </c>
      <c r="T329">
        <v>10000</v>
      </c>
      <c r="U329">
        <v>10000</v>
      </c>
      <c r="V329">
        <v>10000</v>
      </c>
      <c r="W329">
        <v>10000</v>
      </c>
      <c r="X329">
        <v>10000</v>
      </c>
      <c r="Y329">
        <v>10000</v>
      </c>
      <c r="Z329">
        <v>10000</v>
      </c>
      <c r="AA329">
        <v>10000</v>
      </c>
      <c r="AB329">
        <v>10000</v>
      </c>
      <c r="AC329">
        <v>10000</v>
      </c>
      <c r="AD329">
        <v>10000</v>
      </c>
      <c r="AE329">
        <v>10000</v>
      </c>
      <c r="AF329">
        <v>10000</v>
      </c>
      <c r="AG329">
        <v>10000</v>
      </c>
      <c r="AH329">
        <v>10000</v>
      </c>
      <c r="AI329">
        <v>10000</v>
      </c>
      <c r="AJ329">
        <v>10000</v>
      </c>
      <c r="AK329">
        <v>10000</v>
      </c>
      <c r="AL329">
        <v>10000</v>
      </c>
      <c r="AM329">
        <v>10000</v>
      </c>
      <c r="AN329">
        <v>10000</v>
      </c>
      <c r="AO329">
        <v>10000</v>
      </c>
      <c r="AP329">
        <v>10000</v>
      </c>
      <c r="AQ329">
        <v>10000</v>
      </c>
      <c r="AR329">
        <v>10000</v>
      </c>
      <c r="AS329">
        <v>10000</v>
      </c>
      <c r="AT329">
        <v>10000</v>
      </c>
      <c r="AU329">
        <v>10000</v>
      </c>
      <c r="AV329">
        <v>10000</v>
      </c>
      <c r="AW329">
        <v>10000</v>
      </c>
      <c r="AX329">
        <v>10000</v>
      </c>
      <c r="AY329">
        <v>10000</v>
      </c>
      <c r="AZ329">
        <v>10000</v>
      </c>
      <c r="BA329">
        <v>10000</v>
      </c>
      <c r="BB329">
        <v>10000</v>
      </c>
      <c r="BC329">
        <v>10000</v>
      </c>
      <c r="BD329">
        <v>10000</v>
      </c>
      <c r="BE329">
        <v>10000</v>
      </c>
      <c r="BF329">
        <v>10000</v>
      </c>
      <c r="BG329">
        <v>10000</v>
      </c>
      <c r="BH329">
        <v>10000</v>
      </c>
      <c r="BI329">
        <v>10000</v>
      </c>
      <c r="BJ329">
        <v>10000</v>
      </c>
      <c r="BK329">
        <v>10000</v>
      </c>
      <c r="BL329">
        <v>10000</v>
      </c>
      <c r="BM329">
        <v>10000</v>
      </c>
      <c r="BN329">
        <v>10000</v>
      </c>
      <c r="BO329">
        <v>10000</v>
      </c>
      <c r="BP329">
        <v>10000</v>
      </c>
      <c r="BQ329">
        <v>10000</v>
      </c>
      <c r="BR329">
        <v>10000</v>
      </c>
      <c r="BS329">
        <v>10000</v>
      </c>
      <c r="BT329">
        <v>10000</v>
      </c>
      <c r="BU329">
        <v>10000</v>
      </c>
      <c r="BV329">
        <v>10000</v>
      </c>
      <c r="BW329">
        <v>10000</v>
      </c>
      <c r="BX329">
        <v>10000</v>
      </c>
      <c r="BY329">
        <v>10000</v>
      </c>
      <c r="BZ329">
        <v>10000</v>
      </c>
      <c r="CA329">
        <v>10000</v>
      </c>
      <c r="CB329">
        <v>10000</v>
      </c>
      <c r="CC329">
        <v>10000</v>
      </c>
      <c r="CD329">
        <v>10000</v>
      </c>
      <c r="CE329">
        <v>10000</v>
      </c>
      <c r="CF329">
        <v>10000</v>
      </c>
      <c r="CG329">
        <v>10000</v>
      </c>
      <c r="CH329">
        <v>10000</v>
      </c>
      <c r="CI329">
        <v>10000</v>
      </c>
      <c r="CJ329">
        <v>10000</v>
      </c>
      <c r="CK329">
        <v>10000</v>
      </c>
      <c r="CL329">
        <v>10000</v>
      </c>
      <c r="CM329">
        <v>10000</v>
      </c>
      <c r="CN329">
        <v>10000</v>
      </c>
      <c r="CO329">
        <v>10000</v>
      </c>
      <c r="CP329">
        <v>10000</v>
      </c>
      <c r="CQ329">
        <v>10000</v>
      </c>
      <c r="CR329">
        <v>10000</v>
      </c>
      <c r="CS329">
        <v>10000</v>
      </c>
      <c r="CT329">
        <v>10000</v>
      </c>
      <c r="CU329">
        <v>10000</v>
      </c>
      <c r="CV329">
        <v>10000</v>
      </c>
      <c r="CW329">
        <v>10000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row>
    <row r="330" spans="13:245" hidden="1">
      <c r="M330" s="343" t="s">
        <v>633</v>
      </c>
      <c r="N330" t="s">
        <v>1010</v>
      </c>
      <c r="O330">
        <v>1</v>
      </c>
      <c r="P330">
        <v>2</v>
      </c>
      <c r="Q330" s="184" t="str">
        <f t="shared" si="14"/>
        <v>SDJ200102</v>
      </c>
      <c r="R330">
        <v>10000</v>
      </c>
      <c r="S330">
        <v>10000</v>
      </c>
      <c r="T330">
        <v>10000</v>
      </c>
      <c r="U330">
        <v>10000</v>
      </c>
      <c r="V330">
        <v>10000</v>
      </c>
      <c r="W330">
        <v>10000</v>
      </c>
      <c r="X330">
        <v>10000</v>
      </c>
      <c r="Y330">
        <v>10000</v>
      </c>
      <c r="Z330">
        <v>10000</v>
      </c>
      <c r="AA330">
        <v>10000</v>
      </c>
      <c r="AB330">
        <v>10000</v>
      </c>
      <c r="AC330">
        <v>10000</v>
      </c>
      <c r="AD330">
        <v>10000</v>
      </c>
      <c r="AE330">
        <v>10000</v>
      </c>
      <c r="AF330">
        <v>10000</v>
      </c>
      <c r="AG330">
        <v>10000</v>
      </c>
      <c r="AH330">
        <v>10000</v>
      </c>
      <c r="AI330">
        <v>10000</v>
      </c>
      <c r="AJ330">
        <v>10000</v>
      </c>
      <c r="AK330">
        <v>10000</v>
      </c>
      <c r="AL330">
        <v>10000</v>
      </c>
      <c r="AM330">
        <v>10000</v>
      </c>
      <c r="AN330">
        <v>10000</v>
      </c>
      <c r="AO330">
        <v>10000</v>
      </c>
      <c r="AP330">
        <v>10000</v>
      </c>
      <c r="AQ330">
        <v>10000</v>
      </c>
      <c r="AR330">
        <v>10000</v>
      </c>
      <c r="AS330">
        <v>10000</v>
      </c>
      <c r="AT330">
        <v>10000</v>
      </c>
      <c r="AU330">
        <v>10000</v>
      </c>
      <c r="AV330">
        <v>10000</v>
      </c>
      <c r="AW330">
        <v>10000</v>
      </c>
      <c r="AX330">
        <v>10000</v>
      </c>
      <c r="AY330">
        <v>10000</v>
      </c>
      <c r="AZ330">
        <v>10000</v>
      </c>
      <c r="BA330">
        <v>10000</v>
      </c>
      <c r="BB330">
        <v>10000</v>
      </c>
      <c r="BC330">
        <v>10000</v>
      </c>
      <c r="BD330">
        <v>10000</v>
      </c>
      <c r="BE330">
        <v>10000</v>
      </c>
      <c r="BF330">
        <v>10000</v>
      </c>
      <c r="BG330">
        <v>10000</v>
      </c>
      <c r="BH330">
        <v>10000</v>
      </c>
      <c r="BI330">
        <v>10000</v>
      </c>
      <c r="BJ330">
        <v>10000</v>
      </c>
      <c r="BK330">
        <v>10000</v>
      </c>
      <c r="BL330">
        <v>10000</v>
      </c>
      <c r="BM330">
        <v>10000</v>
      </c>
      <c r="BN330">
        <v>10000</v>
      </c>
      <c r="BO330">
        <v>10000</v>
      </c>
      <c r="BP330">
        <v>10000</v>
      </c>
      <c r="BQ330">
        <v>10000</v>
      </c>
      <c r="BR330">
        <v>10000</v>
      </c>
      <c r="BS330">
        <v>10000</v>
      </c>
      <c r="BT330">
        <v>10000</v>
      </c>
      <c r="BU330">
        <v>10000</v>
      </c>
      <c r="BV330">
        <v>10000</v>
      </c>
      <c r="BW330">
        <v>10000</v>
      </c>
      <c r="BX330">
        <v>10000</v>
      </c>
      <c r="BY330">
        <v>10000</v>
      </c>
      <c r="BZ330">
        <v>10000</v>
      </c>
      <c r="CA330">
        <v>10000</v>
      </c>
      <c r="CB330">
        <v>10000</v>
      </c>
      <c r="CC330">
        <v>10000</v>
      </c>
      <c r="CD330">
        <v>10000</v>
      </c>
      <c r="CE330">
        <v>10000</v>
      </c>
      <c r="CF330">
        <v>10000</v>
      </c>
      <c r="CG330">
        <v>10000</v>
      </c>
      <c r="CH330">
        <v>10000</v>
      </c>
      <c r="CI330">
        <v>10000</v>
      </c>
      <c r="CJ330">
        <v>10000</v>
      </c>
      <c r="CK330">
        <v>10000</v>
      </c>
      <c r="CL330">
        <v>10000</v>
      </c>
      <c r="CM330">
        <v>10000</v>
      </c>
      <c r="CN330">
        <v>10000</v>
      </c>
      <c r="CO330">
        <v>10000</v>
      </c>
      <c r="CP330">
        <v>10000</v>
      </c>
      <c r="CQ330">
        <v>10000</v>
      </c>
      <c r="CR330">
        <v>10000</v>
      </c>
      <c r="CS330">
        <v>10000</v>
      </c>
      <c r="CT330">
        <v>10000</v>
      </c>
      <c r="CU330">
        <v>10000</v>
      </c>
      <c r="CV330">
        <v>10000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row>
    <row r="331" spans="13:245" hidden="1">
      <c r="M331" s="343" t="s">
        <v>633</v>
      </c>
      <c r="N331" t="s">
        <v>1010</v>
      </c>
      <c r="O331">
        <v>1</v>
      </c>
      <c r="P331">
        <v>3</v>
      </c>
      <c r="Q331" s="184" t="str">
        <f t="shared" si="14"/>
        <v>SDJ200103</v>
      </c>
      <c r="R331">
        <v>10000</v>
      </c>
      <c r="S331">
        <v>10000</v>
      </c>
      <c r="T331">
        <v>10000</v>
      </c>
      <c r="U331">
        <v>10000</v>
      </c>
      <c r="V331">
        <v>10000</v>
      </c>
      <c r="W331">
        <v>10000</v>
      </c>
      <c r="X331">
        <v>10000</v>
      </c>
      <c r="Y331">
        <v>10000</v>
      </c>
      <c r="Z331">
        <v>10000</v>
      </c>
      <c r="AA331">
        <v>10000</v>
      </c>
      <c r="AB331">
        <v>10000</v>
      </c>
      <c r="AC331">
        <v>10000</v>
      </c>
      <c r="AD331">
        <v>10000</v>
      </c>
      <c r="AE331">
        <v>10000</v>
      </c>
      <c r="AF331">
        <v>10000</v>
      </c>
      <c r="AG331">
        <v>10000</v>
      </c>
      <c r="AH331">
        <v>10000</v>
      </c>
      <c r="AI331">
        <v>10000</v>
      </c>
      <c r="AJ331">
        <v>10000</v>
      </c>
      <c r="AK331">
        <v>10000</v>
      </c>
      <c r="AL331">
        <v>10000</v>
      </c>
      <c r="AM331">
        <v>10000</v>
      </c>
      <c r="AN331">
        <v>10000</v>
      </c>
      <c r="AO331">
        <v>10000</v>
      </c>
      <c r="AP331">
        <v>10000</v>
      </c>
      <c r="AQ331">
        <v>10000</v>
      </c>
      <c r="AR331">
        <v>10000</v>
      </c>
      <c r="AS331">
        <v>10000</v>
      </c>
      <c r="AT331">
        <v>10000</v>
      </c>
      <c r="AU331">
        <v>10000</v>
      </c>
      <c r="AV331">
        <v>10000</v>
      </c>
      <c r="AW331">
        <v>10000</v>
      </c>
      <c r="AX331">
        <v>10000</v>
      </c>
      <c r="AY331">
        <v>10000</v>
      </c>
      <c r="AZ331">
        <v>10000</v>
      </c>
      <c r="BA331">
        <v>10000</v>
      </c>
      <c r="BB331">
        <v>10000</v>
      </c>
      <c r="BC331">
        <v>10000</v>
      </c>
      <c r="BD331">
        <v>10000</v>
      </c>
      <c r="BE331">
        <v>10000</v>
      </c>
      <c r="BF331">
        <v>10000</v>
      </c>
      <c r="BG331">
        <v>10000</v>
      </c>
      <c r="BH331">
        <v>10000</v>
      </c>
      <c r="BI331">
        <v>10000</v>
      </c>
      <c r="BJ331">
        <v>10000</v>
      </c>
      <c r="BK331">
        <v>10000</v>
      </c>
      <c r="BL331">
        <v>10000</v>
      </c>
      <c r="BM331">
        <v>10000</v>
      </c>
      <c r="BN331">
        <v>10000</v>
      </c>
      <c r="BO331">
        <v>10000</v>
      </c>
      <c r="BP331">
        <v>10000</v>
      </c>
      <c r="BQ331">
        <v>10000</v>
      </c>
      <c r="BR331">
        <v>10000</v>
      </c>
      <c r="BS331">
        <v>10000</v>
      </c>
      <c r="BT331">
        <v>10000</v>
      </c>
      <c r="BU331">
        <v>10000</v>
      </c>
      <c r="BV331">
        <v>10000</v>
      </c>
      <c r="BW331">
        <v>10000</v>
      </c>
      <c r="BX331">
        <v>10000</v>
      </c>
      <c r="BY331">
        <v>10000</v>
      </c>
      <c r="BZ331">
        <v>10000</v>
      </c>
      <c r="CA331">
        <v>10000</v>
      </c>
      <c r="CB331">
        <v>10000</v>
      </c>
      <c r="CC331">
        <v>10000</v>
      </c>
      <c r="CD331">
        <v>10000</v>
      </c>
      <c r="CE331">
        <v>10000</v>
      </c>
      <c r="CF331">
        <v>10000</v>
      </c>
      <c r="CG331">
        <v>10000</v>
      </c>
      <c r="CH331">
        <v>10000</v>
      </c>
      <c r="CI331">
        <v>10000</v>
      </c>
      <c r="CJ331">
        <v>10000</v>
      </c>
      <c r="CK331">
        <v>10000</v>
      </c>
      <c r="CL331">
        <v>10000</v>
      </c>
      <c r="CM331">
        <v>10000</v>
      </c>
      <c r="CN331">
        <v>10000</v>
      </c>
      <c r="CO331">
        <v>10000</v>
      </c>
      <c r="CP331">
        <v>10000</v>
      </c>
      <c r="CQ331">
        <v>10000</v>
      </c>
      <c r="CR331">
        <v>10000</v>
      </c>
      <c r="CS331">
        <v>10000</v>
      </c>
      <c r="CT331">
        <v>10000</v>
      </c>
      <c r="CU331">
        <v>10000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row>
    <row r="332" spans="13:245" hidden="1">
      <c r="M332" s="343" t="s">
        <v>633</v>
      </c>
      <c r="N332" t="s">
        <v>1010</v>
      </c>
      <c r="O332">
        <v>1</v>
      </c>
      <c r="P332">
        <v>4</v>
      </c>
      <c r="Q332" s="184" t="str">
        <f t="shared" si="14"/>
        <v>SDJ200104</v>
      </c>
      <c r="R332">
        <v>10000</v>
      </c>
      <c r="S332">
        <v>10000</v>
      </c>
      <c r="T332">
        <v>10000</v>
      </c>
      <c r="U332">
        <v>10000</v>
      </c>
      <c r="V332">
        <v>10000</v>
      </c>
      <c r="W332">
        <v>10000</v>
      </c>
      <c r="X332">
        <v>10000</v>
      </c>
      <c r="Y332">
        <v>10000</v>
      </c>
      <c r="Z332">
        <v>10000</v>
      </c>
      <c r="AA332">
        <v>10000</v>
      </c>
      <c r="AB332">
        <v>10000</v>
      </c>
      <c r="AC332">
        <v>10000</v>
      </c>
      <c r="AD332">
        <v>10000</v>
      </c>
      <c r="AE332">
        <v>10000</v>
      </c>
      <c r="AF332">
        <v>10000</v>
      </c>
      <c r="AG332">
        <v>10000</v>
      </c>
      <c r="AH332">
        <v>10000</v>
      </c>
      <c r="AI332">
        <v>10000</v>
      </c>
      <c r="AJ332">
        <v>10000</v>
      </c>
      <c r="AK332">
        <v>10000</v>
      </c>
      <c r="AL332">
        <v>10000</v>
      </c>
      <c r="AM332">
        <v>10000</v>
      </c>
      <c r="AN332">
        <v>10000</v>
      </c>
      <c r="AO332">
        <v>10000</v>
      </c>
      <c r="AP332">
        <v>10000</v>
      </c>
      <c r="AQ332">
        <v>10000</v>
      </c>
      <c r="AR332">
        <v>10000</v>
      </c>
      <c r="AS332">
        <v>10000</v>
      </c>
      <c r="AT332">
        <v>10000</v>
      </c>
      <c r="AU332">
        <v>10000</v>
      </c>
      <c r="AV332">
        <v>10000</v>
      </c>
      <c r="AW332">
        <v>10000</v>
      </c>
      <c r="AX332">
        <v>10000</v>
      </c>
      <c r="AY332">
        <v>10000</v>
      </c>
      <c r="AZ332">
        <v>10000</v>
      </c>
      <c r="BA332">
        <v>10000</v>
      </c>
      <c r="BB332">
        <v>10000</v>
      </c>
      <c r="BC332">
        <v>10000</v>
      </c>
      <c r="BD332">
        <v>10000</v>
      </c>
      <c r="BE332">
        <v>10000</v>
      </c>
      <c r="BF332">
        <v>10000</v>
      </c>
      <c r="BG332">
        <v>10000</v>
      </c>
      <c r="BH332">
        <v>10000</v>
      </c>
      <c r="BI332">
        <v>10000</v>
      </c>
      <c r="BJ332">
        <v>10000</v>
      </c>
      <c r="BK332">
        <v>10000</v>
      </c>
      <c r="BL332">
        <v>10000</v>
      </c>
      <c r="BM332">
        <v>10000</v>
      </c>
      <c r="BN332">
        <v>10000</v>
      </c>
      <c r="BO332">
        <v>10000</v>
      </c>
      <c r="BP332">
        <v>10000</v>
      </c>
      <c r="BQ332">
        <v>10000</v>
      </c>
      <c r="BR332">
        <v>10000</v>
      </c>
      <c r="BS332">
        <v>10000</v>
      </c>
      <c r="BT332">
        <v>10000</v>
      </c>
      <c r="BU332">
        <v>10000</v>
      </c>
      <c r="BV332">
        <v>10000</v>
      </c>
      <c r="BW332">
        <v>10000</v>
      </c>
      <c r="BX332">
        <v>10000</v>
      </c>
      <c r="BY332">
        <v>10000</v>
      </c>
      <c r="BZ332">
        <v>10000</v>
      </c>
      <c r="CA332">
        <v>10000</v>
      </c>
      <c r="CB332">
        <v>10000</v>
      </c>
      <c r="CC332">
        <v>10000</v>
      </c>
      <c r="CD332">
        <v>10000</v>
      </c>
      <c r="CE332">
        <v>10000</v>
      </c>
      <c r="CF332">
        <v>10000</v>
      </c>
      <c r="CG332">
        <v>10000</v>
      </c>
      <c r="CH332">
        <v>10000</v>
      </c>
      <c r="CI332">
        <v>10000</v>
      </c>
      <c r="CJ332">
        <v>10000</v>
      </c>
      <c r="CK332">
        <v>10000</v>
      </c>
      <c r="CL332">
        <v>10000</v>
      </c>
      <c r="CM332">
        <v>10000</v>
      </c>
      <c r="CN332">
        <v>10000</v>
      </c>
      <c r="CO332">
        <v>10000</v>
      </c>
      <c r="CP332">
        <v>10000</v>
      </c>
      <c r="CQ332">
        <v>10000</v>
      </c>
      <c r="CR332">
        <v>10000</v>
      </c>
      <c r="CS332">
        <v>10000</v>
      </c>
      <c r="CT332">
        <v>10000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row>
    <row r="333" spans="13:245" hidden="1">
      <c r="M333" s="343" t="s">
        <v>633</v>
      </c>
      <c r="N333" t="s">
        <v>1010</v>
      </c>
      <c r="O333">
        <v>1</v>
      </c>
      <c r="P333">
        <v>5</v>
      </c>
      <c r="Q333" s="184" t="str">
        <f t="shared" si="14"/>
        <v>SDJ200105</v>
      </c>
      <c r="R333">
        <v>10000</v>
      </c>
      <c r="S333">
        <v>10000</v>
      </c>
      <c r="T333">
        <v>10000</v>
      </c>
      <c r="U333">
        <v>10000</v>
      </c>
      <c r="V333">
        <v>10000</v>
      </c>
      <c r="W333">
        <v>10000</v>
      </c>
      <c r="X333">
        <v>10000</v>
      </c>
      <c r="Y333">
        <v>10000</v>
      </c>
      <c r="Z333">
        <v>10000</v>
      </c>
      <c r="AA333">
        <v>10000</v>
      </c>
      <c r="AB333">
        <v>10000</v>
      </c>
      <c r="AC333">
        <v>10000</v>
      </c>
      <c r="AD333">
        <v>10000</v>
      </c>
      <c r="AE333">
        <v>10000</v>
      </c>
      <c r="AF333">
        <v>10000</v>
      </c>
      <c r="AG333">
        <v>10000</v>
      </c>
      <c r="AH333">
        <v>10000</v>
      </c>
      <c r="AI333">
        <v>10000</v>
      </c>
      <c r="AJ333">
        <v>10000</v>
      </c>
      <c r="AK333">
        <v>10000</v>
      </c>
      <c r="AL333">
        <v>10000</v>
      </c>
      <c r="AM333">
        <v>10000</v>
      </c>
      <c r="AN333">
        <v>10000</v>
      </c>
      <c r="AO333">
        <v>10000</v>
      </c>
      <c r="AP333">
        <v>10000</v>
      </c>
      <c r="AQ333">
        <v>10000</v>
      </c>
      <c r="AR333">
        <v>10000</v>
      </c>
      <c r="AS333">
        <v>10000</v>
      </c>
      <c r="AT333">
        <v>10000</v>
      </c>
      <c r="AU333">
        <v>10000</v>
      </c>
      <c r="AV333">
        <v>10000</v>
      </c>
      <c r="AW333">
        <v>10000</v>
      </c>
      <c r="AX333">
        <v>10000</v>
      </c>
      <c r="AY333">
        <v>10000</v>
      </c>
      <c r="AZ333">
        <v>10000</v>
      </c>
      <c r="BA333">
        <v>10000</v>
      </c>
      <c r="BB333">
        <v>10000</v>
      </c>
      <c r="BC333">
        <v>10000</v>
      </c>
      <c r="BD333">
        <v>10000</v>
      </c>
      <c r="BE333">
        <v>10000</v>
      </c>
      <c r="BF333">
        <v>10000</v>
      </c>
      <c r="BG333">
        <v>10000</v>
      </c>
      <c r="BH333">
        <v>10000</v>
      </c>
      <c r="BI333">
        <v>10000</v>
      </c>
      <c r="BJ333">
        <v>10000</v>
      </c>
      <c r="BK333">
        <v>10000</v>
      </c>
      <c r="BL333">
        <v>10000</v>
      </c>
      <c r="BM333">
        <v>10000</v>
      </c>
      <c r="BN333">
        <v>10000</v>
      </c>
      <c r="BO333">
        <v>10000</v>
      </c>
      <c r="BP333">
        <v>10000</v>
      </c>
      <c r="BQ333">
        <v>10000</v>
      </c>
      <c r="BR333">
        <v>10000</v>
      </c>
      <c r="BS333">
        <v>10000</v>
      </c>
      <c r="BT333">
        <v>10000</v>
      </c>
      <c r="BU333">
        <v>10000</v>
      </c>
      <c r="BV333">
        <v>10000</v>
      </c>
      <c r="BW333">
        <v>10000</v>
      </c>
      <c r="BX333">
        <v>10000</v>
      </c>
      <c r="BY333">
        <v>10000</v>
      </c>
      <c r="BZ333">
        <v>10000</v>
      </c>
      <c r="CA333">
        <v>10000</v>
      </c>
      <c r="CB333">
        <v>10000</v>
      </c>
      <c r="CC333">
        <v>10000</v>
      </c>
      <c r="CD333">
        <v>10000</v>
      </c>
      <c r="CE333">
        <v>10000</v>
      </c>
      <c r="CF333">
        <v>10000</v>
      </c>
      <c r="CG333">
        <v>10000</v>
      </c>
      <c r="CH333">
        <v>10000</v>
      </c>
      <c r="CI333">
        <v>10000</v>
      </c>
      <c r="CJ333">
        <v>10000</v>
      </c>
      <c r="CK333">
        <v>10000</v>
      </c>
      <c r="CL333">
        <v>10000</v>
      </c>
      <c r="CM333">
        <v>10000</v>
      </c>
      <c r="CN333">
        <v>10000</v>
      </c>
      <c r="CO333">
        <v>10000</v>
      </c>
      <c r="CP333">
        <v>10000</v>
      </c>
      <c r="CQ333">
        <v>10000</v>
      </c>
      <c r="CR333">
        <v>10000</v>
      </c>
      <c r="CS333">
        <v>10000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row>
    <row r="334" spans="13:245" hidden="1">
      <c r="M334" s="343" t="s">
        <v>633</v>
      </c>
      <c r="N334" t="s">
        <v>1010</v>
      </c>
      <c r="O334">
        <v>1</v>
      </c>
      <c r="P334">
        <v>6</v>
      </c>
      <c r="Q334" s="184" t="str">
        <f t="shared" si="14"/>
        <v>SDJ200106</v>
      </c>
      <c r="R334">
        <v>10000</v>
      </c>
      <c r="S334">
        <v>10000</v>
      </c>
      <c r="T334">
        <v>10000</v>
      </c>
      <c r="U334">
        <v>10000</v>
      </c>
      <c r="V334">
        <v>10000</v>
      </c>
      <c r="W334">
        <v>10000</v>
      </c>
      <c r="X334">
        <v>10000</v>
      </c>
      <c r="Y334">
        <v>10000</v>
      </c>
      <c r="Z334">
        <v>10000</v>
      </c>
      <c r="AA334">
        <v>10000</v>
      </c>
      <c r="AB334">
        <v>10000</v>
      </c>
      <c r="AC334">
        <v>10000</v>
      </c>
      <c r="AD334">
        <v>10000</v>
      </c>
      <c r="AE334">
        <v>10000</v>
      </c>
      <c r="AF334">
        <v>10000</v>
      </c>
      <c r="AG334">
        <v>10000</v>
      </c>
      <c r="AH334">
        <v>10000</v>
      </c>
      <c r="AI334">
        <v>10000</v>
      </c>
      <c r="AJ334">
        <v>10000</v>
      </c>
      <c r="AK334">
        <v>10000</v>
      </c>
      <c r="AL334">
        <v>10000</v>
      </c>
      <c r="AM334">
        <v>10000</v>
      </c>
      <c r="AN334">
        <v>10000</v>
      </c>
      <c r="AO334">
        <v>10000</v>
      </c>
      <c r="AP334">
        <v>10000</v>
      </c>
      <c r="AQ334">
        <v>10000</v>
      </c>
      <c r="AR334">
        <v>10000</v>
      </c>
      <c r="AS334">
        <v>10000</v>
      </c>
      <c r="AT334">
        <v>10000</v>
      </c>
      <c r="AU334">
        <v>10000</v>
      </c>
      <c r="AV334">
        <v>10000</v>
      </c>
      <c r="AW334">
        <v>10000</v>
      </c>
      <c r="AX334">
        <v>10000</v>
      </c>
      <c r="AY334">
        <v>10000</v>
      </c>
      <c r="AZ334">
        <v>10000</v>
      </c>
      <c r="BA334">
        <v>10000</v>
      </c>
      <c r="BB334">
        <v>10000</v>
      </c>
      <c r="BC334">
        <v>10000</v>
      </c>
      <c r="BD334">
        <v>10000</v>
      </c>
      <c r="BE334">
        <v>10000</v>
      </c>
      <c r="BF334">
        <v>10000</v>
      </c>
      <c r="BG334">
        <v>10000</v>
      </c>
      <c r="BH334">
        <v>10000</v>
      </c>
      <c r="BI334">
        <v>10000</v>
      </c>
      <c r="BJ334">
        <v>10000</v>
      </c>
      <c r="BK334">
        <v>10000</v>
      </c>
      <c r="BL334">
        <v>10000</v>
      </c>
      <c r="BM334">
        <v>10000</v>
      </c>
      <c r="BN334">
        <v>10000</v>
      </c>
      <c r="BO334">
        <v>10000</v>
      </c>
      <c r="BP334">
        <v>10000</v>
      </c>
      <c r="BQ334">
        <v>10000</v>
      </c>
      <c r="BR334">
        <v>10000</v>
      </c>
      <c r="BS334">
        <v>10000</v>
      </c>
      <c r="BT334">
        <v>10000</v>
      </c>
      <c r="BU334">
        <v>10000</v>
      </c>
      <c r="BV334">
        <v>10000</v>
      </c>
      <c r="BW334">
        <v>10000</v>
      </c>
      <c r="BX334">
        <v>10000</v>
      </c>
      <c r="BY334">
        <v>10000</v>
      </c>
      <c r="BZ334">
        <v>10000</v>
      </c>
      <c r="CA334">
        <v>10000</v>
      </c>
      <c r="CB334">
        <v>10000</v>
      </c>
      <c r="CC334">
        <v>10000</v>
      </c>
      <c r="CD334">
        <v>10000</v>
      </c>
      <c r="CE334">
        <v>10000</v>
      </c>
      <c r="CF334">
        <v>10000</v>
      </c>
      <c r="CG334">
        <v>10000</v>
      </c>
      <c r="CH334">
        <v>10000</v>
      </c>
      <c r="CI334">
        <v>10000</v>
      </c>
      <c r="CJ334">
        <v>10000</v>
      </c>
      <c r="CK334">
        <v>10000</v>
      </c>
      <c r="CL334">
        <v>10000</v>
      </c>
      <c r="CM334">
        <v>10000</v>
      </c>
      <c r="CN334">
        <v>10000</v>
      </c>
      <c r="CO334">
        <v>10000</v>
      </c>
      <c r="CP334">
        <v>10000</v>
      </c>
      <c r="CQ334">
        <v>10000</v>
      </c>
      <c r="CR334">
        <v>10000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row>
    <row r="335" spans="13:245" hidden="1">
      <c r="M335" s="343" t="s">
        <v>633</v>
      </c>
      <c r="N335" t="s">
        <v>1010</v>
      </c>
      <c r="O335">
        <v>1</v>
      </c>
      <c r="P335">
        <v>7</v>
      </c>
      <c r="Q335" s="184" t="str">
        <f t="shared" si="14"/>
        <v>SDJ200107</v>
      </c>
      <c r="R335">
        <v>10000</v>
      </c>
      <c r="S335">
        <v>10000</v>
      </c>
      <c r="T335">
        <v>10000</v>
      </c>
      <c r="U335">
        <v>10000</v>
      </c>
      <c r="V335">
        <v>10000</v>
      </c>
      <c r="W335">
        <v>10000</v>
      </c>
      <c r="X335">
        <v>10000</v>
      </c>
      <c r="Y335">
        <v>10000</v>
      </c>
      <c r="Z335">
        <v>10000</v>
      </c>
      <c r="AA335">
        <v>10000</v>
      </c>
      <c r="AB335">
        <v>10000</v>
      </c>
      <c r="AC335">
        <v>10000</v>
      </c>
      <c r="AD335">
        <v>10000</v>
      </c>
      <c r="AE335">
        <v>10000</v>
      </c>
      <c r="AF335">
        <v>10000</v>
      </c>
      <c r="AG335">
        <v>10000</v>
      </c>
      <c r="AH335">
        <v>10000</v>
      </c>
      <c r="AI335">
        <v>10000</v>
      </c>
      <c r="AJ335">
        <v>10000</v>
      </c>
      <c r="AK335">
        <v>10000</v>
      </c>
      <c r="AL335">
        <v>10000</v>
      </c>
      <c r="AM335">
        <v>10000</v>
      </c>
      <c r="AN335">
        <v>10000</v>
      </c>
      <c r="AO335">
        <v>10000</v>
      </c>
      <c r="AP335">
        <v>10000</v>
      </c>
      <c r="AQ335">
        <v>10000</v>
      </c>
      <c r="AR335">
        <v>10000</v>
      </c>
      <c r="AS335">
        <v>10000</v>
      </c>
      <c r="AT335">
        <v>10000</v>
      </c>
      <c r="AU335">
        <v>10000</v>
      </c>
      <c r="AV335">
        <v>10000</v>
      </c>
      <c r="AW335">
        <v>10000</v>
      </c>
      <c r="AX335">
        <v>10000</v>
      </c>
      <c r="AY335">
        <v>10000</v>
      </c>
      <c r="AZ335">
        <v>10000</v>
      </c>
      <c r="BA335">
        <v>10000</v>
      </c>
      <c r="BB335">
        <v>10000</v>
      </c>
      <c r="BC335">
        <v>10000</v>
      </c>
      <c r="BD335">
        <v>10000</v>
      </c>
      <c r="BE335">
        <v>10000</v>
      </c>
      <c r="BF335">
        <v>10000</v>
      </c>
      <c r="BG335">
        <v>10000</v>
      </c>
      <c r="BH335">
        <v>10000</v>
      </c>
      <c r="BI335">
        <v>10000</v>
      </c>
      <c r="BJ335">
        <v>10000</v>
      </c>
      <c r="BK335">
        <v>10000</v>
      </c>
      <c r="BL335">
        <v>10000</v>
      </c>
      <c r="BM335">
        <v>10000</v>
      </c>
      <c r="BN335">
        <v>10000</v>
      </c>
      <c r="BO335">
        <v>10000</v>
      </c>
      <c r="BP335">
        <v>10000</v>
      </c>
      <c r="BQ335">
        <v>10000</v>
      </c>
      <c r="BR335">
        <v>10000</v>
      </c>
      <c r="BS335">
        <v>10000</v>
      </c>
      <c r="BT335">
        <v>10000</v>
      </c>
      <c r="BU335">
        <v>10000</v>
      </c>
      <c r="BV335">
        <v>10000</v>
      </c>
      <c r="BW335">
        <v>10000</v>
      </c>
      <c r="BX335">
        <v>10000</v>
      </c>
      <c r="BY335">
        <v>10000</v>
      </c>
      <c r="BZ335">
        <v>10000</v>
      </c>
      <c r="CA335">
        <v>10000</v>
      </c>
      <c r="CB335">
        <v>10000</v>
      </c>
      <c r="CC335">
        <v>10000</v>
      </c>
      <c r="CD335">
        <v>10000</v>
      </c>
      <c r="CE335">
        <v>10000</v>
      </c>
      <c r="CF335">
        <v>10000</v>
      </c>
      <c r="CG335">
        <v>10000</v>
      </c>
      <c r="CH335">
        <v>10000</v>
      </c>
      <c r="CI335">
        <v>10000</v>
      </c>
      <c r="CJ335">
        <v>10000</v>
      </c>
      <c r="CK335">
        <v>10000</v>
      </c>
      <c r="CL335">
        <v>10000</v>
      </c>
      <c r="CM335">
        <v>10000</v>
      </c>
      <c r="CN335">
        <v>10000</v>
      </c>
      <c r="CO335">
        <v>10000</v>
      </c>
      <c r="CP335">
        <v>10000</v>
      </c>
      <c r="CQ335">
        <v>10000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row>
    <row r="336" spans="13:245" hidden="1">
      <c r="M336" s="343" t="s">
        <v>633</v>
      </c>
      <c r="N336" t="s">
        <v>1010</v>
      </c>
      <c r="O336">
        <v>1</v>
      </c>
      <c r="P336">
        <v>8</v>
      </c>
      <c r="Q336" s="184" t="str">
        <f t="shared" si="14"/>
        <v>SDJ200108</v>
      </c>
      <c r="R336">
        <v>10000</v>
      </c>
      <c r="S336">
        <v>10000</v>
      </c>
      <c r="T336">
        <v>10000</v>
      </c>
      <c r="U336">
        <v>10000</v>
      </c>
      <c r="V336">
        <v>10000</v>
      </c>
      <c r="W336">
        <v>10000</v>
      </c>
      <c r="X336">
        <v>10000</v>
      </c>
      <c r="Y336">
        <v>10000</v>
      </c>
      <c r="Z336">
        <v>10000</v>
      </c>
      <c r="AA336">
        <v>10000</v>
      </c>
      <c r="AB336">
        <v>10000</v>
      </c>
      <c r="AC336">
        <v>10000</v>
      </c>
      <c r="AD336">
        <v>10000</v>
      </c>
      <c r="AE336">
        <v>10000</v>
      </c>
      <c r="AF336">
        <v>10000</v>
      </c>
      <c r="AG336">
        <v>10000</v>
      </c>
      <c r="AH336">
        <v>10000</v>
      </c>
      <c r="AI336">
        <v>10000</v>
      </c>
      <c r="AJ336">
        <v>10000</v>
      </c>
      <c r="AK336">
        <v>10000</v>
      </c>
      <c r="AL336">
        <v>10000</v>
      </c>
      <c r="AM336">
        <v>10000</v>
      </c>
      <c r="AN336">
        <v>10000</v>
      </c>
      <c r="AO336">
        <v>10000</v>
      </c>
      <c r="AP336">
        <v>10000</v>
      </c>
      <c r="AQ336">
        <v>10000</v>
      </c>
      <c r="AR336">
        <v>10000</v>
      </c>
      <c r="AS336">
        <v>10000</v>
      </c>
      <c r="AT336">
        <v>10000</v>
      </c>
      <c r="AU336">
        <v>10000</v>
      </c>
      <c r="AV336">
        <v>10000</v>
      </c>
      <c r="AW336">
        <v>10000</v>
      </c>
      <c r="AX336">
        <v>10000</v>
      </c>
      <c r="AY336">
        <v>10000</v>
      </c>
      <c r="AZ336">
        <v>10000</v>
      </c>
      <c r="BA336">
        <v>10000</v>
      </c>
      <c r="BB336">
        <v>10000</v>
      </c>
      <c r="BC336">
        <v>10000</v>
      </c>
      <c r="BD336">
        <v>10000</v>
      </c>
      <c r="BE336">
        <v>10000</v>
      </c>
      <c r="BF336">
        <v>10000</v>
      </c>
      <c r="BG336">
        <v>10000</v>
      </c>
      <c r="BH336">
        <v>10000</v>
      </c>
      <c r="BI336">
        <v>10000</v>
      </c>
      <c r="BJ336">
        <v>10000</v>
      </c>
      <c r="BK336">
        <v>10000</v>
      </c>
      <c r="BL336">
        <v>10000</v>
      </c>
      <c r="BM336">
        <v>10000</v>
      </c>
      <c r="BN336">
        <v>10000</v>
      </c>
      <c r="BO336">
        <v>10000</v>
      </c>
      <c r="BP336">
        <v>10000</v>
      </c>
      <c r="BQ336">
        <v>10000</v>
      </c>
      <c r="BR336">
        <v>10000</v>
      </c>
      <c r="BS336">
        <v>10000</v>
      </c>
      <c r="BT336">
        <v>10000</v>
      </c>
      <c r="BU336">
        <v>10000</v>
      </c>
      <c r="BV336">
        <v>10000</v>
      </c>
      <c r="BW336">
        <v>10000</v>
      </c>
      <c r="BX336">
        <v>10000</v>
      </c>
      <c r="BY336">
        <v>10000</v>
      </c>
      <c r="BZ336">
        <v>10000</v>
      </c>
      <c r="CA336">
        <v>10000</v>
      </c>
      <c r="CB336">
        <v>10000</v>
      </c>
      <c r="CC336">
        <v>10000</v>
      </c>
      <c r="CD336">
        <v>10000</v>
      </c>
      <c r="CE336">
        <v>10000</v>
      </c>
      <c r="CF336">
        <v>10000</v>
      </c>
      <c r="CG336">
        <v>10000</v>
      </c>
      <c r="CH336">
        <v>10000</v>
      </c>
      <c r="CI336">
        <v>10000</v>
      </c>
      <c r="CJ336">
        <v>10000</v>
      </c>
      <c r="CK336">
        <v>10000</v>
      </c>
      <c r="CL336">
        <v>10000</v>
      </c>
      <c r="CM336">
        <v>10000</v>
      </c>
      <c r="CN336">
        <v>10000</v>
      </c>
      <c r="CO336">
        <v>10000</v>
      </c>
      <c r="CP336">
        <v>10000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row>
    <row r="337" spans="13:128" hidden="1">
      <c r="M337" s="343" t="s">
        <v>633</v>
      </c>
      <c r="N337" t="s">
        <v>1010</v>
      </c>
      <c r="O337">
        <v>1</v>
      </c>
      <c r="P337">
        <v>9</v>
      </c>
      <c r="Q337" s="184" t="str">
        <f t="shared" si="14"/>
        <v>SDJ200109</v>
      </c>
      <c r="R337">
        <v>10000</v>
      </c>
      <c r="S337">
        <v>10000</v>
      </c>
      <c r="T337">
        <v>10000</v>
      </c>
      <c r="U337">
        <v>10000</v>
      </c>
      <c r="V337">
        <v>10000</v>
      </c>
      <c r="W337">
        <v>10000</v>
      </c>
      <c r="X337">
        <v>10000</v>
      </c>
      <c r="Y337">
        <v>10000</v>
      </c>
      <c r="Z337">
        <v>10000</v>
      </c>
      <c r="AA337">
        <v>10000</v>
      </c>
      <c r="AB337">
        <v>10000</v>
      </c>
      <c r="AC337">
        <v>10000</v>
      </c>
      <c r="AD337">
        <v>10000</v>
      </c>
      <c r="AE337">
        <v>10000</v>
      </c>
      <c r="AF337">
        <v>10000</v>
      </c>
      <c r="AG337">
        <v>10000</v>
      </c>
      <c r="AH337">
        <v>10000</v>
      </c>
      <c r="AI337">
        <v>10000</v>
      </c>
      <c r="AJ337">
        <v>10000</v>
      </c>
      <c r="AK337">
        <v>10000</v>
      </c>
      <c r="AL337">
        <v>10000</v>
      </c>
      <c r="AM337">
        <v>10000</v>
      </c>
      <c r="AN337">
        <v>10000</v>
      </c>
      <c r="AO337">
        <v>10000</v>
      </c>
      <c r="AP337">
        <v>10000</v>
      </c>
      <c r="AQ337">
        <v>10000</v>
      </c>
      <c r="AR337">
        <v>10000</v>
      </c>
      <c r="AS337">
        <v>10000</v>
      </c>
      <c r="AT337">
        <v>10000</v>
      </c>
      <c r="AU337">
        <v>10000</v>
      </c>
      <c r="AV337">
        <v>10000</v>
      </c>
      <c r="AW337">
        <v>10000</v>
      </c>
      <c r="AX337">
        <v>10000</v>
      </c>
      <c r="AY337">
        <v>10000</v>
      </c>
      <c r="AZ337">
        <v>10000</v>
      </c>
      <c r="BA337">
        <v>10000</v>
      </c>
      <c r="BB337">
        <v>10000</v>
      </c>
      <c r="BC337">
        <v>10000</v>
      </c>
      <c r="BD337">
        <v>10000</v>
      </c>
      <c r="BE337">
        <v>10000</v>
      </c>
      <c r="BF337">
        <v>10000</v>
      </c>
      <c r="BG337">
        <v>10000</v>
      </c>
      <c r="BH337">
        <v>10000</v>
      </c>
      <c r="BI337">
        <v>10000</v>
      </c>
      <c r="BJ337">
        <v>10000</v>
      </c>
      <c r="BK337">
        <v>10000</v>
      </c>
      <c r="BL337">
        <v>10000</v>
      </c>
      <c r="BM337">
        <v>10000</v>
      </c>
      <c r="BN337">
        <v>10000</v>
      </c>
      <c r="BO337">
        <v>10000</v>
      </c>
      <c r="BP337">
        <v>10000</v>
      </c>
      <c r="BQ337">
        <v>10000</v>
      </c>
      <c r="BR337">
        <v>10000</v>
      </c>
      <c r="BS337">
        <v>10000</v>
      </c>
      <c r="BT337">
        <v>10000</v>
      </c>
      <c r="BU337">
        <v>10000</v>
      </c>
      <c r="BV337">
        <v>10000</v>
      </c>
      <c r="BW337">
        <v>10000</v>
      </c>
      <c r="BX337">
        <v>10000</v>
      </c>
      <c r="BY337">
        <v>10000</v>
      </c>
      <c r="BZ337">
        <v>10000</v>
      </c>
      <c r="CA337">
        <v>10000</v>
      </c>
      <c r="CB337">
        <v>10000</v>
      </c>
      <c r="CC337">
        <v>10000</v>
      </c>
      <c r="CD337">
        <v>10000</v>
      </c>
      <c r="CE337">
        <v>10000</v>
      </c>
      <c r="CF337">
        <v>10000</v>
      </c>
      <c r="CG337">
        <v>10000</v>
      </c>
      <c r="CH337">
        <v>10000</v>
      </c>
      <c r="CI337">
        <v>10000</v>
      </c>
      <c r="CJ337">
        <v>10000</v>
      </c>
      <c r="CK337">
        <v>10000</v>
      </c>
      <c r="CL337">
        <v>10000</v>
      </c>
      <c r="CM337">
        <v>10000</v>
      </c>
      <c r="CN337">
        <v>10000</v>
      </c>
      <c r="CO337">
        <v>10000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row>
    <row r="338" spans="13:128" hidden="1">
      <c r="M338" s="343" t="s">
        <v>633</v>
      </c>
      <c r="N338" t="s">
        <v>1010</v>
      </c>
      <c r="O338">
        <v>1</v>
      </c>
      <c r="P338">
        <v>10</v>
      </c>
      <c r="Q338" s="184" t="str">
        <f t="shared" si="14"/>
        <v>SDJ200110</v>
      </c>
      <c r="R338">
        <v>10000</v>
      </c>
      <c r="S338">
        <v>10000</v>
      </c>
      <c r="T338">
        <v>10000</v>
      </c>
      <c r="U338">
        <v>10000</v>
      </c>
      <c r="V338">
        <v>10000</v>
      </c>
      <c r="W338">
        <v>10000</v>
      </c>
      <c r="X338">
        <v>10000</v>
      </c>
      <c r="Y338">
        <v>10000</v>
      </c>
      <c r="Z338">
        <v>10000</v>
      </c>
      <c r="AA338">
        <v>10000</v>
      </c>
      <c r="AB338">
        <v>10000</v>
      </c>
      <c r="AC338">
        <v>10000</v>
      </c>
      <c r="AD338">
        <v>10000</v>
      </c>
      <c r="AE338">
        <v>10000</v>
      </c>
      <c r="AF338">
        <v>10000</v>
      </c>
      <c r="AG338">
        <v>10000</v>
      </c>
      <c r="AH338">
        <v>10000</v>
      </c>
      <c r="AI338">
        <v>10000</v>
      </c>
      <c r="AJ338">
        <v>10000</v>
      </c>
      <c r="AK338">
        <v>10000</v>
      </c>
      <c r="AL338">
        <v>10000</v>
      </c>
      <c r="AM338">
        <v>10000</v>
      </c>
      <c r="AN338">
        <v>10000</v>
      </c>
      <c r="AO338">
        <v>10000</v>
      </c>
      <c r="AP338">
        <v>10000</v>
      </c>
      <c r="AQ338">
        <v>10000</v>
      </c>
      <c r="AR338">
        <v>10000</v>
      </c>
      <c r="AS338">
        <v>10000</v>
      </c>
      <c r="AT338">
        <v>10000</v>
      </c>
      <c r="AU338">
        <v>10000</v>
      </c>
      <c r="AV338">
        <v>10000</v>
      </c>
      <c r="AW338">
        <v>10000</v>
      </c>
      <c r="AX338">
        <v>10000</v>
      </c>
      <c r="AY338">
        <v>10000</v>
      </c>
      <c r="AZ338">
        <v>10000</v>
      </c>
      <c r="BA338">
        <v>10000</v>
      </c>
      <c r="BB338">
        <v>10000</v>
      </c>
      <c r="BC338">
        <v>10000</v>
      </c>
      <c r="BD338">
        <v>10000</v>
      </c>
      <c r="BE338">
        <v>10000</v>
      </c>
      <c r="BF338">
        <v>10000</v>
      </c>
      <c r="BG338">
        <v>10000</v>
      </c>
      <c r="BH338">
        <v>10000</v>
      </c>
      <c r="BI338">
        <v>10000</v>
      </c>
      <c r="BJ338">
        <v>10000</v>
      </c>
      <c r="BK338">
        <v>10000</v>
      </c>
      <c r="BL338">
        <v>10000</v>
      </c>
      <c r="BM338">
        <v>10000</v>
      </c>
      <c r="BN338">
        <v>10000</v>
      </c>
      <c r="BO338">
        <v>10000</v>
      </c>
      <c r="BP338">
        <v>10000</v>
      </c>
      <c r="BQ338">
        <v>10000</v>
      </c>
      <c r="BR338">
        <v>10000</v>
      </c>
      <c r="BS338">
        <v>10000</v>
      </c>
      <c r="BT338">
        <v>10000</v>
      </c>
      <c r="BU338">
        <v>10000</v>
      </c>
      <c r="BV338">
        <v>10000</v>
      </c>
      <c r="BW338">
        <v>10000</v>
      </c>
      <c r="BX338">
        <v>10000</v>
      </c>
      <c r="BY338">
        <v>10000</v>
      </c>
      <c r="BZ338">
        <v>10000</v>
      </c>
      <c r="CA338">
        <v>10000</v>
      </c>
      <c r="CB338">
        <v>10000</v>
      </c>
      <c r="CC338">
        <v>10000</v>
      </c>
      <c r="CD338">
        <v>10000</v>
      </c>
      <c r="CE338">
        <v>10000</v>
      </c>
      <c r="CF338">
        <v>10000</v>
      </c>
      <c r="CG338">
        <v>10000</v>
      </c>
      <c r="CH338">
        <v>10000</v>
      </c>
      <c r="CI338">
        <v>10000</v>
      </c>
      <c r="CJ338">
        <v>10000</v>
      </c>
      <c r="CK338">
        <v>10000</v>
      </c>
      <c r="CL338">
        <v>10000</v>
      </c>
      <c r="CM338">
        <v>10000</v>
      </c>
      <c r="CN338">
        <v>10000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row>
    <row r="339" spans="13:128" hidden="1">
      <c r="M339" s="343" t="s">
        <v>633</v>
      </c>
      <c r="N339" t="s">
        <v>1010</v>
      </c>
      <c r="O339">
        <v>1</v>
      </c>
      <c r="P339">
        <v>11</v>
      </c>
      <c r="Q339" s="184" t="str">
        <f t="shared" si="14"/>
        <v>SDJ200111</v>
      </c>
      <c r="R339">
        <v>10000</v>
      </c>
      <c r="S339">
        <v>10000</v>
      </c>
      <c r="T339">
        <v>10000</v>
      </c>
      <c r="U339">
        <v>10000</v>
      </c>
      <c r="V339">
        <v>10000</v>
      </c>
      <c r="W339">
        <v>10000</v>
      </c>
      <c r="X339">
        <v>10000</v>
      </c>
      <c r="Y339">
        <v>10000</v>
      </c>
      <c r="Z339">
        <v>10000</v>
      </c>
      <c r="AA339">
        <v>10000</v>
      </c>
      <c r="AB339">
        <v>10000</v>
      </c>
      <c r="AC339">
        <v>10000</v>
      </c>
      <c r="AD339">
        <v>10000</v>
      </c>
      <c r="AE339">
        <v>10000</v>
      </c>
      <c r="AF339">
        <v>10000</v>
      </c>
      <c r="AG339">
        <v>10000</v>
      </c>
      <c r="AH339">
        <v>10000</v>
      </c>
      <c r="AI339">
        <v>10000</v>
      </c>
      <c r="AJ339">
        <v>10000</v>
      </c>
      <c r="AK339">
        <v>10000</v>
      </c>
      <c r="AL339">
        <v>10000</v>
      </c>
      <c r="AM339">
        <v>10000</v>
      </c>
      <c r="AN339">
        <v>10000</v>
      </c>
      <c r="AO339">
        <v>10000</v>
      </c>
      <c r="AP339">
        <v>10000</v>
      </c>
      <c r="AQ339">
        <v>10000</v>
      </c>
      <c r="AR339">
        <v>10000</v>
      </c>
      <c r="AS339">
        <v>10000</v>
      </c>
      <c r="AT339">
        <v>10000</v>
      </c>
      <c r="AU339">
        <v>10000</v>
      </c>
      <c r="AV339">
        <v>10000</v>
      </c>
      <c r="AW339">
        <v>10000</v>
      </c>
      <c r="AX339">
        <v>10000</v>
      </c>
      <c r="AY339">
        <v>10000</v>
      </c>
      <c r="AZ339">
        <v>10000</v>
      </c>
      <c r="BA339">
        <v>10000</v>
      </c>
      <c r="BB339">
        <v>10000</v>
      </c>
      <c r="BC339">
        <v>10000</v>
      </c>
      <c r="BD339">
        <v>10000</v>
      </c>
      <c r="BE339">
        <v>10000</v>
      </c>
      <c r="BF339">
        <v>10000</v>
      </c>
      <c r="BG339">
        <v>10000</v>
      </c>
      <c r="BH339">
        <v>10000</v>
      </c>
      <c r="BI339">
        <v>10000</v>
      </c>
      <c r="BJ339">
        <v>10000</v>
      </c>
      <c r="BK339">
        <v>10000</v>
      </c>
      <c r="BL339">
        <v>10000</v>
      </c>
      <c r="BM339">
        <v>10000</v>
      </c>
      <c r="BN339">
        <v>10000</v>
      </c>
      <c r="BO339">
        <v>10000</v>
      </c>
      <c r="BP339">
        <v>10000</v>
      </c>
      <c r="BQ339">
        <v>10000</v>
      </c>
      <c r="BR339">
        <v>10000</v>
      </c>
      <c r="BS339">
        <v>10000</v>
      </c>
      <c r="BT339">
        <v>10000</v>
      </c>
      <c r="BU339">
        <v>10000</v>
      </c>
      <c r="BV339">
        <v>10000</v>
      </c>
      <c r="BW339">
        <v>10000</v>
      </c>
      <c r="BX339">
        <v>10000</v>
      </c>
      <c r="BY339">
        <v>10000</v>
      </c>
      <c r="BZ339">
        <v>10000</v>
      </c>
      <c r="CA339">
        <v>10000</v>
      </c>
      <c r="CB339">
        <v>10000</v>
      </c>
      <c r="CC339">
        <v>10000</v>
      </c>
      <c r="CD339">
        <v>10000</v>
      </c>
      <c r="CE339">
        <v>10000</v>
      </c>
      <c r="CF339">
        <v>10000</v>
      </c>
      <c r="CG339">
        <v>10000</v>
      </c>
      <c r="CH339">
        <v>10000</v>
      </c>
      <c r="CI339">
        <v>10000</v>
      </c>
      <c r="CJ339">
        <v>10000</v>
      </c>
      <c r="CK339">
        <v>10000</v>
      </c>
      <c r="CL339">
        <v>10000</v>
      </c>
      <c r="CM339">
        <v>10000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row>
    <row r="340" spans="13:128" hidden="1">
      <c r="M340" s="343" t="s">
        <v>633</v>
      </c>
      <c r="N340" t="s">
        <v>1010</v>
      </c>
      <c r="O340">
        <v>1</v>
      </c>
      <c r="P340">
        <v>12</v>
      </c>
      <c r="Q340" s="184" t="str">
        <f t="shared" si="14"/>
        <v>SDJ200112</v>
      </c>
      <c r="R340">
        <v>10000</v>
      </c>
      <c r="S340">
        <v>10000</v>
      </c>
      <c r="T340">
        <v>10000</v>
      </c>
      <c r="U340">
        <v>10000</v>
      </c>
      <c r="V340">
        <v>10000</v>
      </c>
      <c r="W340">
        <v>10000</v>
      </c>
      <c r="X340">
        <v>10000</v>
      </c>
      <c r="Y340">
        <v>10000</v>
      </c>
      <c r="Z340">
        <v>10000</v>
      </c>
      <c r="AA340">
        <v>10000</v>
      </c>
      <c r="AB340">
        <v>10000</v>
      </c>
      <c r="AC340">
        <v>10000</v>
      </c>
      <c r="AD340">
        <v>10000</v>
      </c>
      <c r="AE340">
        <v>10000</v>
      </c>
      <c r="AF340">
        <v>10000</v>
      </c>
      <c r="AG340">
        <v>10000</v>
      </c>
      <c r="AH340">
        <v>10000</v>
      </c>
      <c r="AI340">
        <v>10000</v>
      </c>
      <c r="AJ340">
        <v>10000</v>
      </c>
      <c r="AK340">
        <v>10000</v>
      </c>
      <c r="AL340">
        <v>10000</v>
      </c>
      <c r="AM340">
        <v>10000</v>
      </c>
      <c r="AN340">
        <v>10000</v>
      </c>
      <c r="AO340">
        <v>10000</v>
      </c>
      <c r="AP340">
        <v>10000</v>
      </c>
      <c r="AQ340">
        <v>10000</v>
      </c>
      <c r="AR340">
        <v>10000</v>
      </c>
      <c r="AS340">
        <v>10000</v>
      </c>
      <c r="AT340">
        <v>10000</v>
      </c>
      <c r="AU340">
        <v>10000</v>
      </c>
      <c r="AV340">
        <v>10000</v>
      </c>
      <c r="AW340">
        <v>10000</v>
      </c>
      <c r="AX340">
        <v>10000</v>
      </c>
      <c r="AY340">
        <v>10000</v>
      </c>
      <c r="AZ340">
        <v>10000</v>
      </c>
      <c r="BA340">
        <v>10000</v>
      </c>
      <c r="BB340">
        <v>10000</v>
      </c>
      <c r="BC340">
        <v>10000</v>
      </c>
      <c r="BD340">
        <v>10000</v>
      </c>
      <c r="BE340">
        <v>10000</v>
      </c>
      <c r="BF340">
        <v>10000</v>
      </c>
      <c r="BG340">
        <v>10000</v>
      </c>
      <c r="BH340">
        <v>10000</v>
      </c>
      <c r="BI340">
        <v>10000</v>
      </c>
      <c r="BJ340">
        <v>10000</v>
      </c>
      <c r="BK340">
        <v>10000</v>
      </c>
      <c r="BL340">
        <v>10000</v>
      </c>
      <c r="BM340">
        <v>10000</v>
      </c>
      <c r="BN340">
        <v>10000</v>
      </c>
      <c r="BO340">
        <v>10000</v>
      </c>
      <c r="BP340">
        <v>10000</v>
      </c>
      <c r="BQ340">
        <v>10000</v>
      </c>
      <c r="BR340">
        <v>10000</v>
      </c>
      <c r="BS340">
        <v>10000</v>
      </c>
      <c r="BT340">
        <v>10000</v>
      </c>
      <c r="BU340">
        <v>10000</v>
      </c>
      <c r="BV340">
        <v>10000</v>
      </c>
      <c r="BW340">
        <v>10000</v>
      </c>
      <c r="BX340">
        <v>10000</v>
      </c>
      <c r="BY340">
        <v>10000</v>
      </c>
      <c r="BZ340">
        <v>10000</v>
      </c>
      <c r="CA340">
        <v>10000</v>
      </c>
      <c r="CB340">
        <v>10000</v>
      </c>
      <c r="CC340">
        <v>10000</v>
      </c>
      <c r="CD340">
        <v>10000</v>
      </c>
      <c r="CE340">
        <v>10000</v>
      </c>
      <c r="CF340">
        <v>10000</v>
      </c>
      <c r="CG340">
        <v>10000</v>
      </c>
      <c r="CH340">
        <v>10000</v>
      </c>
      <c r="CI340">
        <v>10000</v>
      </c>
      <c r="CJ340">
        <v>10000</v>
      </c>
      <c r="CK340">
        <v>10000</v>
      </c>
      <c r="CL340">
        <v>10000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row>
    <row r="341" spans="13:128" hidden="1">
      <c r="M341" s="343" t="s">
        <v>633</v>
      </c>
      <c r="N341" t="s">
        <v>1010</v>
      </c>
      <c r="O341">
        <v>1</v>
      </c>
      <c r="P341">
        <v>13</v>
      </c>
      <c r="Q341" s="184" t="str">
        <f t="shared" si="14"/>
        <v>SDJ200113</v>
      </c>
      <c r="R341">
        <v>10000</v>
      </c>
      <c r="S341">
        <v>10000</v>
      </c>
      <c r="T341">
        <v>10000</v>
      </c>
      <c r="U341">
        <v>10000</v>
      </c>
      <c r="V341">
        <v>10000</v>
      </c>
      <c r="W341">
        <v>10000</v>
      </c>
      <c r="X341">
        <v>10000</v>
      </c>
      <c r="Y341">
        <v>10000</v>
      </c>
      <c r="Z341">
        <v>10000</v>
      </c>
      <c r="AA341">
        <v>10000</v>
      </c>
      <c r="AB341">
        <v>10000</v>
      </c>
      <c r="AC341">
        <v>10000</v>
      </c>
      <c r="AD341">
        <v>10000</v>
      </c>
      <c r="AE341">
        <v>10000</v>
      </c>
      <c r="AF341">
        <v>10000</v>
      </c>
      <c r="AG341">
        <v>10000</v>
      </c>
      <c r="AH341">
        <v>10000</v>
      </c>
      <c r="AI341">
        <v>10000</v>
      </c>
      <c r="AJ341">
        <v>10000</v>
      </c>
      <c r="AK341">
        <v>10000</v>
      </c>
      <c r="AL341">
        <v>10000</v>
      </c>
      <c r="AM341">
        <v>10000</v>
      </c>
      <c r="AN341">
        <v>10000</v>
      </c>
      <c r="AO341">
        <v>10000</v>
      </c>
      <c r="AP341">
        <v>10000</v>
      </c>
      <c r="AQ341">
        <v>10000</v>
      </c>
      <c r="AR341">
        <v>10000</v>
      </c>
      <c r="AS341">
        <v>10000</v>
      </c>
      <c r="AT341">
        <v>10000</v>
      </c>
      <c r="AU341">
        <v>10000</v>
      </c>
      <c r="AV341">
        <v>10000</v>
      </c>
      <c r="AW341">
        <v>10000</v>
      </c>
      <c r="AX341">
        <v>10000</v>
      </c>
      <c r="AY341">
        <v>10000</v>
      </c>
      <c r="AZ341">
        <v>10000</v>
      </c>
      <c r="BA341">
        <v>10000</v>
      </c>
      <c r="BB341">
        <v>10000</v>
      </c>
      <c r="BC341">
        <v>10000</v>
      </c>
      <c r="BD341">
        <v>10000</v>
      </c>
      <c r="BE341">
        <v>10000</v>
      </c>
      <c r="BF341">
        <v>10000</v>
      </c>
      <c r="BG341">
        <v>10000</v>
      </c>
      <c r="BH341">
        <v>10000</v>
      </c>
      <c r="BI341">
        <v>10000</v>
      </c>
      <c r="BJ341">
        <v>10000</v>
      </c>
      <c r="BK341">
        <v>10000</v>
      </c>
      <c r="BL341">
        <v>10000</v>
      </c>
      <c r="BM341">
        <v>10000</v>
      </c>
      <c r="BN341">
        <v>10000</v>
      </c>
      <c r="BO341">
        <v>10000</v>
      </c>
      <c r="BP341">
        <v>10000</v>
      </c>
      <c r="BQ341">
        <v>10000</v>
      </c>
      <c r="BR341">
        <v>10000</v>
      </c>
      <c r="BS341">
        <v>10000</v>
      </c>
      <c r="BT341">
        <v>10000</v>
      </c>
      <c r="BU341">
        <v>10000</v>
      </c>
      <c r="BV341">
        <v>10000</v>
      </c>
      <c r="BW341">
        <v>10000</v>
      </c>
      <c r="BX341">
        <v>10000</v>
      </c>
      <c r="BY341">
        <v>10000</v>
      </c>
      <c r="BZ341">
        <v>10000</v>
      </c>
      <c r="CA341">
        <v>10000</v>
      </c>
      <c r="CB341">
        <v>10000</v>
      </c>
      <c r="CC341">
        <v>10000</v>
      </c>
      <c r="CD341">
        <v>10000</v>
      </c>
      <c r="CE341">
        <v>10000</v>
      </c>
      <c r="CF341">
        <v>10000</v>
      </c>
      <c r="CG341">
        <v>10000</v>
      </c>
      <c r="CH341">
        <v>10000</v>
      </c>
      <c r="CI341">
        <v>10000</v>
      </c>
      <c r="CJ341">
        <v>10000</v>
      </c>
      <c r="CK341">
        <v>10000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row>
    <row r="342" spans="13:128" hidden="1">
      <c r="M342" s="343" t="s">
        <v>633</v>
      </c>
      <c r="N342" t="s">
        <v>1010</v>
      </c>
      <c r="O342">
        <v>1</v>
      </c>
      <c r="P342">
        <v>14</v>
      </c>
      <c r="Q342" s="184" t="str">
        <f t="shared" si="14"/>
        <v>SDJ200114</v>
      </c>
      <c r="R342">
        <v>10000</v>
      </c>
      <c r="S342">
        <v>10000</v>
      </c>
      <c r="T342">
        <v>10000</v>
      </c>
      <c r="U342">
        <v>10000</v>
      </c>
      <c r="V342">
        <v>10000</v>
      </c>
      <c r="W342">
        <v>10000</v>
      </c>
      <c r="X342">
        <v>10000</v>
      </c>
      <c r="Y342">
        <v>10000</v>
      </c>
      <c r="Z342">
        <v>10000</v>
      </c>
      <c r="AA342">
        <v>10000</v>
      </c>
      <c r="AB342">
        <v>10000</v>
      </c>
      <c r="AC342">
        <v>10000</v>
      </c>
      <c r="AD342">
        <v>10000</v>
      </c>
      <c r="AE342">
        <v>10000</v>
      </c>
      <c r="AF342">
        <v>10000</v>
      </c>
      <c r="AG342">
        <v>10000</v>
      </c>
      <c r="AH342">
        <v>10000</v>
      </c>
      <c r="AI342">
        <v>10000</v>
      </c>
      <c r="AJ342">
        <v>10000</v>
      </c>
      <c r="AK342">
        <v>10000</v>
      </c>
      <c r="AL342">
        <v>10000</v>
      </c>
      <c r="AM342">
        <v>10000</v>
      </c>
      <c r="AN342">
        <v>10000</v>
      </c>
      <c r="AO342">
        <v>10000</v>
      </c>
      <c r="AP342">
        <v>10000</v>
      </c>
      <c r="AQ342">
        <v>10000</v>
      </c>
      <c r="AR342">
        <v>10000</v>
      </c>
      <c r="AS342">
        <v>10000</v>
      </c>
      <c r="AT342">
        <v>10000</v>
      </c>
      <c r="AU342">
        <v>10000</v>
      </c>
      <c r="AV342">
        <v>10000</v>
      </c>
      <c r="AW342">
        <v>10000</v>
      </c>
      <c r="AX342">
        <v>10000</v>
      </c>
      <c r="AY342">
        <v>10000</v>
      </c>
      <c r="AZ342">
        <v>10000</v>
      </c>
      <c r="BA342">
        <v>10000</v>
      </c>
      <c r="BB342">
        <v>10000</v>
      </c>
      <c r="BC342">
        <v>10000</v>
      </c>
      <c r="BD342">
        <v>10000</v>
      </c>
      <c r="BE342">
        <v>10000</v>
      </c>
      <c r="BF342">
        <v>10000</v>
      </c>
      <c r="BG342">
        <v>10000</v>
      </c>
      <c r="BH342">
        <v>10000</v>
      </c>
      <c r="BI342">
        <v>10000</v>
      </c>
      <c r="BJ342">
        <v>10000</v>
      </c>
      <c r="BK342">
        <v>10000</v>
      </c>
      <c r="BL342">
        <v>10000</v>
      </c>
      <c r="BM342">
        <v>10000</v>
      </c>
      <c r="BN342">
        <v>10000</v>
      </c>
      <c r="BO342">
        <v>10000</v>
      </c>
      <c r="BP342">
        <v>10000</v>
      </c>
      <c r="BQ342">
        <v>10000</v>
      </c>
      <c r="BR342">
        <v>10000</v>
      </c>
      <c r="BS342">
        <v>10000</v>
      </c>
      <c r="BT342">
        <v>10000</v>
      </c>
      <c r="BU342">
        <v>10000</v>
      </c>
      <c r="BV342">
        <v>10000</v>
      </c>
      <c r="BW342">
        <v>10000</v>
      </c>
      <c r="BX342">
        <v>10000</v>
      </c>
      <c r="BY342">
        <v>10000</v>
      </c>
      <c r="BZ342">
        <v>10000</v>
      </c>
      <c r="CA342">
        <v>10000</v>
      </c>
      <c r="CB342">
        <v>10000</v>
      </c>
      <c r="CC342">
        <v>10000</v>
      </c>
      <c r="CD342">
        <v>10000</v>
      </c>
      <c r="CE342">
        <v>10000</v>
      </c>
      <c r="CF342">
        <v>10000</v>
      </c>
      <c r="CG342">
        <v>10000</v>
      </c>
      <c r="CH342">
        <v>10000</v>
      </c>
      <c r="CI342">
        <v>10000</v>
      </c>
      <c r="CJ342">
        <v>10000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row>
    <row r="343" spans="13:128" hidden="1">
      <c r="M343" s="343" t="s">
        <v>633</v>
      </c>
      <c r="N343" t="s">
        <v>1010</v>
      </c>
      <c r="O343">
        <v>1</v>
      </c>
      <c r="P343">
        <v>15</v>
      </c>
      <c r="Q343" s="184" t="str">
        <f t="shared" si="14"/>
        <v>SDJ200115</v>
      </c>
      <c r="R343">
        <v>10000</v>
      </c>
      <c r="S343">
        <v>10000</v>
      </c>
      <c r="T343">
        <v>10000</v>
      </c>
      <c r="U343">
        <v>10000</v>
      </c>
      <c r="V343">
        <v>10000</v>
      </c>
      <c r="W343">
        <v>10000</v>
      </c>
      <c r="X343">
        <v>10000</v>
      </c>
      <c r="Y343">
        <v>10000</v>
      </c>
      <c r="Z343">
        <v>10000</v>
      </c>
      <c r="AA343">
        <v>10000</v>
      </c>
      <c r="AB343">
        <v>10000</v>
      </c>
      <c r="AC343">
        <v>10000</v>
      </c>
      <c r="AD343">
        <v>10000</v>
      </c>
      <c r="AE343">
        <v>10000</v>
      </c>
      <c r="AF343">
        <v>10000</v>
      </c>
      <c r="AG343">
        <v>10000</v>
      </c>
      <c r="AH343">
        <v>10000</v>
      </c>
      <c r="AI343">
        <v>10000</v>
      </c>
      <c r="AJ343">
        <v>10000</v>
      </c>
      <c r="AK343">
        <v>10000</v>
      </c>
      <c r="AL343">
        <v>10000</v>
      </c>
      <c r="AM343">
        <v>10000</v>
      </c>
      <c r="AN343">
        <v>10000</v>
      </c>
      <c r="AO343">
        <v>10000</v>
      </c>
      <c r="AP343">
        <v>10000</v>
      </c>
      <c r="AQ343">
        <v>10000</v>
      </c>
      <c r="AR343">
        <v>10000</v>
      </c>
      <c r="AS343">
        <v>10000</v>
      </c>
      <c r="AT343">
        <v>10000</v>
      </c>
      <c r="AU343">
        <v>10000</v>
      </c>
      <c r="AV343">
        <v>10000</v>
      </c>
      <c r="AW343">
        <v>10000</v>
      </c>
      <c r="AX343">
        <v>10000</v>
      </c>
      <c r="AY343">
        <v>10000</v>
      </c>
      <c r="AZ343">
        <v>10000</v>
      </c>
      <c r="BA343">
        <v>10000</v>
      </c>
      <c r="BB343">
        <v>10000</v>
      </c>
      <c r="BC343">
        <v>10000</v>
      </c>
      <c r="BD343">
        <v>10000</v>
      </c>
      <c r="BE343">
        <v>10000</v>
      </c>
      <c r="BF343">
        <v>10000</v>
      </c>
      <c r="BG343">
        <v>10000</v>
      </c>
      <c r="BH343">
        <v>10000</v>
      </c>
      <c r="BI343">
        <v>10000</v>
      </c>
      <c r="BJ343">
        <v>10000</v>
      </c>
      <c r="BK343">
        <v>10000</v>
      </c>
      <c r="BL343">
        <v>10000</v>
      </c>
      <c r="BM343">
        <v>10000</v>
      </c>
      <c r="BN343">
        <v>10000</v>
      </c>
      <c r="BO343">
        <v>10000</v>
      </c>
      <c r="BP343">
        <v>10000</v>
      </c>
      <c r="BQ343">
        <v>10000</v>
      </c>
      <c r="BR343">
        <v>10000</v>
      </c>
      <c r="BS343">
        <v>10000</v>
      </c>
      <c r="BT343">
        <v>10000</v>
      </c>
      <c r="BU343">
        <v>10000</v>
      </c>
      <c r="BV343">
        <v>10000</v>
      </c>
      <c r="BW343">
        <v>10000</v>
      </c>
      <c r="BX343">
        <v>10000</v>
      </c>
      <c r="BY343">
        <v>10000</v>
      </c>
      <c r="BZ343">
        <v>10000</v>
      </c>
      <c r="CA343">
        <v>10000</v>
      </c>
      <c r="CB343">
        <v>10000</v>
      </c>
      <c r="CC343">
        <v>10000</v>
      </c>
      <c r="CD343">
        <v>10000</v>
      </c>
      <c r="CE343">
        <v>10000</v>
      </c>
      <c r="CF343">
        <v>10000</v>
      </c>
      <c r="CG343">
        <v>10000</v>
      </c>
      <c r="CH343">
        <v>10000</v>
      </c>
      <c r="CI343">
        <v>10000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row>
    <row r="344" spans="13:128" hidden="1">
      <c r="M344" s="343" t="s">
        <v>633</v>
      </c>
      <c r="N344" t="s">
        <v>1010</v>
      </c>
      <c r="O344">
        <v>1</v>
      </c>
      <c r="P344">
        <v>16</v>
      </c>
      <c r="Q344" s="184" t="str">
        <f t="shared" si="14"/>
        <v>SDJ200116</v>
      </c>
      <c r="R344">
        <v>10000</v>
      </c>
      <c r="S344">
        <v>10000</v>
      </c>
      <c r="T344">
        <v>10000</v>
      </c>
      <c r="U344">
        <v>10000</v>
      </c>
      <c r="V344">
        <v>10000</v>
      </c>
      <c r="W344">
        <v>10000</v>
      </c>
      <c r="X344">
        <v>10000</v>
      </c>
      <c r="Y344">
        <v>10000</v>
      </c>
      <c r="Z344">
        <v>10000</v>
      </c>
      <c r="AA344">
        <v>10000</v>
      </c>
      <c r="AB344">
        <v>10000</v>
      </c>
      <c r="AC344">
        <v>10000</v>
      </c>
      <c r="AD344">
        <v>10000</v>
      </c>
      <c r="AE344">
        <v>10000</v>
      </c>
      <c r="AF344">
        <v>10000</v>
      </c>
      <c r="AG344">
        <v>10000</v>
      </c>
      <c r="AH344">
        <v>10000</v>
      </c>
      <c r="AI344">
        <v>10000</v>
      </c>
      <c r="AJ344">
        <v>10000</v>
      </c>
      <c r="AK344">
        <v>10000</v>
      </c>
      <c r="AL344">
        <v>10000</v>
      </c>
      <c r="AM344">
        <v>10000</v>
      </c>
      <c r="AN344">
        <v>10000</v>
      </c>
      <c r="AO344">
        <v>10000</v>
      </c>
      <c r="AP344">
        <v>10000</v>
      </c>
      <c r="AQ344">
        <v>10000</v>
      </c>
      <c r="AR344">
        <v>10000</v>
      </c>
      <c r="AS344">
        <v>10000</v>
      </c>
      <c r="AT344">
        <v>10000</v>
      </c>
      <c r="AU344">
        <v>10000</v>
      </c>
      <c r="AV344">
        <v>10000</v>
      </c>
      <c r="AW344">
        <v>10000</v>
      </c>
      <c r="AX344">
        <v>10000</v>
      </c>
      <c r="AY344">
        <v>10000</v>
      </c>
      <c r="AZ344">
        <v>10000</v>
      </c>
      <c r="BA344">
        <v>10000</v>
      </c>
      <c r="BB344">
        <v>10000</v>
      </c>
      <c r="BC344">
        <v>10000</v>
      </c>
      <c r="BD344">
        <v>10000</v>
      </c>
      <c r="BE344">
        <v>10000</v>
      </c>
      <c r="BF344">
        <v>10000</v>
      </c>
      <c r="BG344">
        <v>10000</v>
      </c>
      <c r="BH344">
        <v>10000</v>
      </c>
      <c r="BI344">
        <v>10000</v>
      </c>
      <c r="BJ344">
        <v>10000</v>
      </c>
      <c r="BK344">
        <v>10000</v>
      </c>
      <c r="BL344">
        <v>10000</v>
      </c>
      <c r="BM344">
        <v>10000</v>
      </c>
      <c r="BN344">
        <v>10000</v>
      </c>
      <c r="BO344">
        <v>10000</v>
      </c>
      <c r="BP344">
        <v>10000</v>
      </c>
      <c r="BQ344">
        <v>10000</v>
      </c>
      <c r="BR344">
        <v>10000</v>
      </c>
      <c r="BS344">
        <v>10000</v>
      </c>
      <c r="BT344">
        <v>10000</v>
      </c>
      <c r="BU344">
        <v>10000</v>
      </c>
      <c r="BV344">
        <v>10000</v>
      </c>
      <c r="BW344">
        <v>10000</v>
      </c>
      <c r="BX344">
        <v>10000</v>
      </c>
      <c r="BY344">
        <v>10000</v>
      </c>
      <c r="BZ344">
        <v>10000</v>
      </c>
      <c r="CA344">
        <v>10000</v>
      </c>
      <c r="CB344">
        <v>10000</v>
      </c>
      <c r="CC344">
        <v>10000</v>
      </c>
      <c r="CD344">
        <v>10000</v>
      </c>
      <c r="CE344">
        <v>10000</v>
      </c>
      <c r="CF344">
        <v>10000</v>
      </c>
      <c r="CG344">
        <v>10000</v>
      </c>
      <c r="CH344">
        <v>10000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row>
    <row r="345" spans="13:128" hidden="1">
      <c r="M345" s="343" t="s">
        <v>633</v>
      </c>
      <c r="N345" t="s">
        <v>1010</v>
      </c>
      <c r="O345">
        <v>1</v>
      </c>
      <c r="P345">
        <v>17</v>
      </c>
      <c r="Q345" s="184" t="str">
        <f t="shared" si="14"/>
        <v>SDJ200117</v>
      </c>
      <c r="R345">
        <v>10000</v>
      </c>
      <c r="S345">
        <v>10000</v>
      </c>
      <c r="T345">
        <v>10000</v>
      </c>
      <c r="U345">
        <v>10000</v>
      </c>
      <c r="V345">
        <v>10000</v>
      </c>
      <c r="W345">
        <v>10000</v>
      </c>
      <c r="X345">
        <v>10000</v>
      </c>
      <c r="Y345">
        <v>10000</v>
      </c>
      <c r="Z345">
        <v>10000</v>
      </c>
      <c r="AA345">
        <v>10000</v>
      </c>
      <c r="AB345">
        <v>10000</v>
      </c>
      <c r="AC345">
        <v>10000</v>
      </c>
      <c r="AD345">
        <v>10000</v>
      </c>
      <c r="AE345">
        <v>10000</v>
      </c>
      <c r="AF345">
        <v>10000</v>
      </c>
      <c r="AG345">
        <v>10000</v>
      </c>
      <c r="AH345">
        <v>10000</v>
      </c>
      <c r="AI345">
        <v>10000</v>
      </c>
      <c r="AJ345">
        <v>10000</v>
      </c>
      <c r="AK345">
        <v>10000</v>
      </c>
      <c r="AL345">
        <v>10000</v>
      </c>
      <c r="AM345">
        <v>10000</v>
      </c>
      <c r="AN345">
        <v>10000</v>
      </c>
      <c r="AO345">
        <v>10000</v>
      </c>
      <c r="AP345">
        <v>10000</v>
      </c>
      <c r="AQ345">
        <v>10000</v>
      </c>
      <c r="AR345">
        <v>10000</v>
      </c>
      <c r="AS345">
        <v>10000</v>
      </c>
      <c r="AT345">
        <v>10000</v>
      </c>
      <c r="AU345">
        <v>10000</v>
      </c>
      <c r="AV345">
        <v>10000</v>
      </c>
      <c r="AW345">
        <v>10000</v>
      </c>
      <c r="AX345">
        <v>10000</v>
      </c>
      <c r="AY345">
        <v>10000</v>
      </c>
      <c r="AZ345">
        <v>10000</v>
      </c>
      <c r="BA345">
        <v>10000</v>
      </c>
      <c r="BB345">
        <v>10000</v>
      </c>
      <c r="BC345">
        <v>10000</v>
      </c>
      <c r="BD345">
        <v>10000</v>
      </c>
      <c r="BE345">
        <v>10000</v>
      </c>
      <c r="BF345">
        <v>10000</v>
      </c>
      <c r="BG345">
        <v>10000</v>
      </c>
      <c r="BH345">
        <v>10000</v>
      </c>
      <c r="BI345">
        <v>10000</v>
      </c>
      <c r="BJ345">
        <v>10000</v>
      </c>
      <c r="BK345">
        <v>10000</v>
      </c>
      <c r="BL345">
        <v>10000</v>
      </c>
      <c r="BM345">
        <v>10000</v>
      </c>
      <c r="BN345">
        <v>10000</v>
      </c>
      <c r="BO345">
        <v>10000</v>
      </c>
      <c r="BP345">
        <v>10000</v>
      </c>
      <c r="BQ345">
        <v>10000</v>
      </c>
      <c r="BR345">
        <v>10000</v>
      </c>
      <c r="BS345">
        <v>10000</v>
      </c>
      <c r="BT345">
        <v>10000</v>
      </c>
      <c r="BU345">
        <v>10000</v>
      </c>
      <c r="BV345">
        <v>10000</v>
      </c>
      <c r="BW345">
        <v>10000</v>
      </c>
      <c r="BX345">
        <v>10000</v>
      </c>
      <c r="BY345">
        <v>10000</v>
      </c>
      <c r="BZ345">
        <v>10000</v>
      </c>
      <c r="CA345">
        <v>10000</v>
      </c>
      <c r="CB345">
        <v>10000</v>
      </c>
      <c r="CC345">
        <v>10000</v>
      </c>
      <c r="CD345">
        <v>10000</v>
      </c>
      <c r="CE345">
        <v>10000</v>
      </c>
      <c r="CF345">
        <v>10000</v>
      </c>
      <c r="CG345">
        <v>10000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row>
    <row r="346" spans="13:128" hidden="1">
      <c r="M346" s="343" t="s">
        <v>633</v>
      </c>
      <c r="N346" t="s">
        <v>1010</v>
      </c>
      <c r="O346">
        <v>1</v>
      </c>
      <c r="P346">
        <v>18</v>
      </c>
      <c r="Q346" s="184" t="str">
        <f t="shared" si="14"/>
        <v>SDJ200118</v>
      </c>
      <c r="R346">
        <v>10000</v>
      </c>
      <c r="S346">
        <v>10000</v>
      </c>
      <c r="T346">
        <v>10000</v>
      </c>
      <c r="U346">
        <v>10000</v>
      </c>
      <c r="V346">
        <v>10000</v>
      </c>
      <c r="W346">
        <v>10000</v>
      </c>
      <c r="X346">
        <v>10000</v>
      </c>
      <c r="Y346">
        <v>10000</v>
      </c>
      <c r="Z346">
        <v>10000</v>
      </c>
      <c r="AA346">
        <v>10000</v>
      </c>
      <c r="AB346">
        <v>10000</v>
      </c>
      <c r="AC346">
        <v>10000</v>
      </c>
      <c r="AD346">
        <v>10000</v>
      </c>
      <c r="AE346">
        <v>10000</v>
      </c>
      <c r="AF346">
        <v>10000</v>
      </c>
      <c r="AG346">
        <v>10000</v>
      </c>
      <c r="AH346">
        <v>10000</v>
      </c>
      <c r="AI346">
        <v>10000</v>
      </c>
      <c r="AJ346">
        <v>10000</v>
      </c>
      <c r="AK346">
        <v>10000</v>
      </c>
      <c r="AL346">
        <v>10000</v>
      </c>
      <c r="AM346">
        <v>10000</v>
      </c>
      <c r="AN346">
        <v>10000</v>
      </c>
      <c r="AO346">
        <v>10000</v>
      </c>
      <c r="AP346">
        <v>10000</v>
      </c>
      <c r="AQ346">
        <v>10000</v>
      </c>
      <c r="AR346">
        <v>10000</v>
      </c>
      <c r="AS346">
        <v>10000</v>
      </c>
      <c r="AT346">
        <v>10000</v>
      </c>
      <c r="AU346">
        <v>10000</v>
      </c>
      <c r="AV346">
        <v>10000</v>
      </c>
      <c r="AW346">
        <v>10000</v>
      </c>
      <c r="AX346">
        <v>10000</v>
      </c>
      <c r="AY346">
        <v>10000</v>
      </c>
      <c r="AZ346">
        <v>10000</v>
      </c>
      <c r="BA346">
        <v>10000</v>
      </c>
      <c r="BB346">
        <v>10000</v>
      </c>
      <c r="BC346">
        <v>10000</v>
      </c>
      <c r="BD346">
        <v>10000</v>
      </c>
      <c r="BE346">
        <v>10000</v>
      </c>
      <c r="BF346">
        <v>10000</v>
      </c>
      <c r="BG346">
        <v>10000</v>
      </c>
      <c r="BH346">
        <v>10000</v>
      </c>
      <c r="BI346">
        <v>10000</v>
      </c>
      <c r="BJ346">
        <v>10000</v>
      </c>
      <c r="BK346">
        <v>10000</v>
      </c>
      <c r="BL346">
        <v>10000</v>
      </c>
      <c r="BM346">
        <v>10000</v>
      </c>
      <c r="BN346">
        <v>10000</v>
      </c>
      <c r="BO346">
        <v>10000</v>
      </c>
      <c r="BP346">
        <v>10000</v>
      </c>
      <c r="BQ346">
        <v>10000</v>
      </c>
      <c r="BR346">
        <v>10000</v>
      </c>
      <c r="BS346">
        <v>10000</v>
      </c>
      <c r="BT346">
        <v>10000</v>
      </c>
      <c r="BU346">
        <v>10000</v>
      </c>
      <c r="BV346">
        <v>10000</v>
      </c>
      <c r="BW346">
        <v>10000</v>
      </c>
      <c r="BX346">
        <v>10000</v>
      </c>
      <c r="BY346">
        <v>10000</v>
      </c>
      <c r="BZ346">
        <v>10000</v>
      </c>
      <c r="CA346">
        <v>10000</v>
      </c>
      <c r="CB346">
        <v>10000</v>
      </c>
      <c r="CC346">
        <v>10000</v>
      </c>
      <c r="CD346">
        <v>10000</v>
      </c>
      <c r="CE346">
        <v>10000</v>
      </c>
      <c r="CF346">
        <v>10000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row>
    <row r="347" spans="13:128" hidden="1">
      <c r="M347" s="343" t="s">
        <v>633</v>
      </c>
      <c r="N347" t="s">
        <v>1010</v>
      </c>
      <c r="O347">
        <v>1</v>
      </c>
      <c r="P347">
        <v>19</v>
      </c>
      <c r="Q347" s="184" t="str">
        <f t="shared" si="14"/>
        <v>SDJ200119</v>
      </c>
      <c r="R347">
        <v>10000</v>
      </c>
      <c r="S347">
        <v>10000</v>
      </c>
      <c r="T347">
        <v>10000</v>
      </c>
      <c r="U347">
        <v>10000</v>
      </c>
      <c r="V347">
        <v>10000</v>
      </c>
      <c r="W347">
        <v>10000</v>
      </c>
      <c r="X347">
        <v>10000</v>
      </c>
      <c r="Y347">
        <v>10000</v>
      </c>
      <c r="Z347">
        <v>10000</v>
      </c>
      <c r="AA347">
        <v>10000</v>
      </c>
      <c r="AB347">
        <v>10000</v>
      </c>
      <c r="AC347">
        <v>10000</v>
      </c>
      <c r="AD347">
        <v>10000</v>
      </c>
      <c r="AE347">
        <v>10000</v>
      </c>
      <c r="AF347">
        <v>10000</v>
      </c>
      <c r="AG347">
        <v>10000</v>
      </c>
      <c r="AH347">
        <v>10000</v>
      </c>
      <c r="AI347">
        <v>10000</v>
      </c>
      <c r="AJ347">
        <v>10000</v>
      </c>
      <c r="AK347">
        <v>10000</v>
      </c>
      <c r="AL347">
        <v>10000</v>
      </c>
      <c r="AM347">
        <v>10000</v>
      </c>
      <c r="AN347">
        <v>10000</v>
      </c>
      <c r="AO347">
        <v>10000</v>
      </c>
      <c r="AP347">
        <v>10000</v>
      </c>
      <c r="AQ347">
        <v>10000</v>
      </c>
      <c r="AR347">
        <v>10000</v>
      </c>
      <c r="AS347">
        <v>10000</v>
      </c>
      <c r="AT347">
        <v>10000</v>
      </c>
      <c r="AU347">
        <v>10000</v>
      </c>
      <c r="AV347">
        <v>10000</v>
      </c>
      <c r="AW347">
        <v>10000</v>
      </c>
      <c r="AX347">
        <v>10000</v>
      </c>
      <c r="AY347">
        <v>10000</v>
      </c>
      <c r="AZ347">
        <v>10000</v>
      </c>
      <c r="BA347">
        <v>10000</v>
      </c>
      <c r="BB347">
        <v>10000</v>
      </c>
      <c r="BC347">
        <v>10000</v>
      </c>
      <c r="BD347">
        <v>10000</v>
      </c>
      <c r="BE347">
        <v>10000</v>
      </c>
      <c r="BF347">
        <v>10000</v>
      </c>
      <c r="BG347">
        <v>10000</v>
      </c>
      <c r="BH347">
        <v>10000</v>
      </c>
      <c r="BI347">
        <v>10000</v>
      </c>
      <c r="BJ347">
        <v>10000</v>
      </c>
      <c r="BK347">
        <v>10000</v>
      </c>
      <c r="BL347">
        <v>10000</v>
      </c>
      <c r="BM347">
        <v>10000</v>
      </c>
      <c r="BN347">
        <v>10000</v>
      </c>
      <c r="BO347">
        <v>10000</v>
      </c>
      <c r="BP347">
        <v>10000</v>
      </c>
      <c r="BQ347">
        <v>10000</v>
      </c>
      <c r="BR347">
        <v>10000</v>
      </c>
      <c r="BS347">
        <v>10000</v>
      </c>
      <c r="BT347">
        <v>10000</v>
      </c>
      <c r="BU347">
        <v>10000</v>
      </c>
      <c r="BV347">
        <v>10000</v>
      </c>
      <c r="BW347">
        <v>10000</v>
      </c>
      <c r="BX347">
        <v>10000</v>
      </c>
      <c r="BY347">
        <v>10000</v>
      </c>
      <c r="BZ347">
        <v>10000</v>
      </c>
      <c r="CA347">
        <v>10000</v>
      </c>
      <c r="CB347">
        <v>10000</v>
      </c>
      <c r="CC347">
        <v>10000</v>
      </c>
      <c r="CD347">
        <v>10000</v>
      </c>
      <c r="CE347">
        <v>10000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row>
    <row r="348" spans="13:128" hidden="1">
      <c r="M348" s="343" t="s">
        <v>633</v>
      </c>
      <c r="N348" t="s">
        <v>1010</v>
      </c>
      <c r="O348">
        <v>1</v>
      </c>
      <c r="P348">
        <v>20</v>
      </c>
      <c r="Q348" s="184" t="str">
        <f t="shared" si="14"/>
        <v>SDJ200120</v>
      </c>
      <c r="R348">
        <v>10000</v>
      </c>
      <c r="S348">
        <v>10000</v>
      </c>
      <c r="T348">
        <v>10000</v>
      </c>
      <c r="U348">
        <v>10000</v>
      </c>
      <c r="V348">
        <v>10000</v>
      </c>
      <c r="W348">
        <v>10000</v>
      </c>
      <c r="X348">
        <v>10000</v>
      </c>
      <c r="Y348">
        <v>10000</v>
      </c>
      <c r="Z348">
        <v>10000</v>
      </c>
      <c r="AA348">
        <v>10000</v>
      </c>
      <c r="AB348">
        <v>10000</v>
      </c>
      <c r="AC348">
        <v>10000</v>
      </c>
      <c r="AD348">
        <v>10000</v>
      </c>
      <c r="AE348">
        <v>10000</v>
      </c>
      <c r="AF348">
        <v>10000</v>
      </c>
      <c r="AG348">
        <v>10000</v>
      </c>
      <c r="AH348">
        <v>10000</v>
      </c>
      <c r="AI348">
        <v>10000</v>
      </c>
      <c r="AJ348">
        <v>10000</v>
      </c>
      <c r="AK348">
        <v>10000</v>
      </c>
      <c r="AL348">
        <v>10000</v>
      </c>
      <c r="AM348">
        <v>10000</v>
      </c>
      <c r="AN348">
        <v>10000</v>
      </c>
      <c r="AO348">
        <v>10000</v>
      </c>
      <c r="AP348">
        <v>10000</v>
      </c>
      <c r="AQ348">
        <v>10000</v>
      </c>
      <c r="AR348">
        <v>10000</v>
      </c>
      <c r="AS348">
        <v>10000</v>
      </c>
      <c r="AT348">
        <v>10000</v>
      </c>
      <c r="AU348">
        <v>10000</v>
      </c>
      <c r="AV348">
        <v>10000</v>
      </c>
      <c r="AW348">
        <v>10000</v>
      </c>
      <c r="AX348">
        <v>10000</v>
      </c>
      <c r="AY348">
        <v>10000</v>
      </c>
      <c r="AZ348">
        <v>10000</v>
      </c>
      <c r="BA348">
        <v>10000</v>
      </c>
      <c r="BB348">
        <v>10000</v>
      </c>
      <c r="BC348">
        <v>10000</v>
      </c>
      <c r="BD348">
        <v>10000</v>
      </c>
      <c r="BE348">
        <v>10000</v>
      </c>
      <c r="BF348">
        <v>10000</v>
      </c>
      <c r="BG348">
        <v>10000</v>
      </c>
      <c r="BH348">
        <v>10000</v>
      </c>
      <c r="BI348">
        <v>10000</v>
      </c>
      <c r="BJ348">
        <v>10000</v>
      </c>
      <c r="BK348">
        <v>10000</v>
      </c>
      <c r="BL348">
        <v>10000</v>
      </c>
      <c r="BM348">
        <v>10000</v>
      </c>
      <c r="BN348">
        <v>10000</v>
      </c>
      <c r="BO348">
        <v>10000</v>
      </c>
      <c r="BP348">
        <v>10000</v>
      </c>
      <c r="BQ348">
        <v>10000</v>
      </c>
      <c r="BR348">
        <v>10000</v>
      </c>
      <c r="BS348">
        <v>10000</v>
      </c>
      <c r="BT348">
        <v>10000</v>
      </c>
      <c r="BU348">
        <v>10000</v>
      </c>
      <c r="BV348">
        <v>10000</v>
      </c>
      <c r="BW348">
        <v>10000</v>
      </c>
      <c r="BX348">
        <v>10000</v>
      </c>
      <c r="BY348">
        <v>10000</v>
      </c>
      <c r="BZ348">
        <v>10000</v>
      </c>
      <c r="CA348">
        <v>10000</v>
      </c>
      <c r="CB348">
        <v>10000</v>
      </c>
      <c r="CC348">
        <v>10000</v>
      </c>
      <c r="CD348">
        <v>10000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row>
    <row r="349" spans="13:128" hidden="1">
      <c r="M349" s="343" t="s">
        <v>633</v>
      </c>
      <c r="N349" t="s">
        <v>1010</v>
      </c>
      <c r="O349">
        <v>1</v>
      </c>
      <c r="P349">
        <v>21</v>
      </c>
      <c r="Q349" s="184" t="str">
        <f t="shared" si="14"/>
        <v>SDJ200121</v>
      </c>
      <c r="R349">
        <v>10000</v>
      </c>
      <c r="S349">
        <v>10000</v>
      </c>
      <c r="T349">
        <v>10000</v>
      </c>
      <c r="U349">
        <v>10000</v>
      </c>
      <c r="V349">
        <v>10000</v>
      </c>
      <c r="W349">
        <v>10000</v>
      </c>
      <c r="X349">
        <v>10000</v>
      </c>
      <c r="Y349">
        <v>10000</v>
      </c>
      <c r="Z349">
        <v>10000</v>
      </c>
      <c r="AA349">
        <v>10000</v>
      </c>
      <c r="AB349">
        <v>10000</v>
      </c>
      <c r="AC349">
        <v>10000</v>
      </c>
      <c r="AD349">
        <v>10000</v>
      </c>
      <c r="AE349">
        <v>10000</v>
      </c>
      <c r="AF349">
        <v>10000</v>
      </c>
      <c r="AG349">
        <v>10000</v>
      </c>
      <c r="AH349">
        <v>10000</v>
      </c>
      <c r="AI349">
        <v>10000</v>
      </c>
      <c r="AJ349">
        <v>10000</v>
      </c>
      <c r="AK349">
        <v>10000</v>
      </c>
      <c r="AL349">
        <v>10000</v>
      </c>
      <c r="AM349">
        <v>10000</v>
      </c>
      <c r="AN349">
        <v>10000</v>
      </c>
      <c r="AO349">
        <v>10000</v>
      </c>
      <c r="AP349">
        <v>10000</v>
      </c>
      <c r="AQ349">
        <v>10000</v>
      </c>
      <c r="AR349">
        <v>10000</v>
      </c>
      <c r="AS349">
        <v>10000</v>
      </c>
      <c r="AT349">
        <v>10000</v>
      </c>
      <c r="AU349">
        <v>10000</v>
      </c>
      <c r="AV349">
        <v>10000</v>
      </c>
      <c r="AW349">
        <v>10000</v>
      </c>
      <c r="AX349">
        <v>10000</v>
      </c>
      <c r="AY349">
        <v>10000</v>
      </c>
      <c r="AZ349">
        <v>10000</v>
      </c>
      <c r="BA349">
        <v>10000</v>
      </c>
      <c r="BB349">
        <v>10000</v>
      </c>
      <c r="BC349">
        <v>10000</v>
      </c>
      <c r="BD349">
        <v>10000</v>
      </c>
      <c r="BE349">
        <v>10000</v>
      </c>
      <c r="BF349">
        <v>10000</v>
      </c>
      <c r="BG349">
        <v>10000</v>
      </c>
      <c r="BH349">
        <v>10000</v>
      </c>
      <c r="BI349">
        <v>10000</v>
      </c>
      <c r="BJ349">
        <v>10000</v>
      </c>
      <c r="BK349">
        <v>10000</v>
      </c>
      <c r="BL349">
        <v>10000</v>
      </c>
      <c r="BM349">
        <v>10000</v>
      </c>
      <c r="BN349">
        <v>10000</v>
      </c>
      <c r="BO349">
        <v>10000</v>
      </c>
      <c r="BP349">
        <v>10000</v>
      </c>
      <c r="BQ349">
        <v>10000</v>
      </c>
      <c r="BR349">
        <v>10000</v>
      </c>
      <c r="BS349">
        <v>10000</v>
      </c>
      <c r="BT349">
        <v>10000</v>
      </c>
      <c r="BU349">
        <v>10000</v>
      </c>
      <c r="BV349">
        <v>10000</v>
      </c>
      <c r="BW349">
        <v>10000</v>
      </c>
      <c r="BX349">
        <v>10000</v>
      </c>
      <c r="BY349">
        <v>10000</v>
      </c>
      <c r="BZ349">
        <v>10000</v>
      </c>
      <c r="CA349">
        <v>10000</v>
      </c>
      <c r="CB349">
        <v>10000</v>
      </c>
      <c r="CC349">
        <v>10000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row>
    <row r="350" spans="13:128" hidden="1">
      <c r="M350" s="343" t="s">
        <v>633</v>
      </c>
      <c r="N350" t="s">
        <v>1010</v>
      </c>
      <c r="O350">
        <v>1</v>
      </c>
      <c r="P350">
        <v>22</v>
      </c>
      <c r="Q350" s="184" t="str">
        <f t="shared" si="14"/>
        <v>SDJ200122</v>
      </c>
      <c r="R350">
        <v>10000</v>
      </c>
      <c r="S350">
        <v>10000</v>
      </c>
      <c r="T350">
        <v>10000</v>
      </c>
      <c r="U350">
        <v>10000</v>
      </c>
      <c r="V350">
        <v>10000</v>
      </c>
      <c r="W350">
        <v>10000</v>
      </c>
      <c r="X350">
        <v>10000</v>
      </c>
      <c r="Y350">
        <v>10000</v>
      </c>
      <c r="Z350">
        <v>10000</v>
      </c>
      <c r="AA350">
        <v>10000</v>
      </c>
      <c r="AB350">
        <v>10000</v>
      </c>
      <c r="AC350">
        <v>10000</v>
      </c>
      <c r="AD350">
        <v>10000</v>
      </c>
      <c r="AE350">
        <v>10000</v>
      </c>
      <c r="AF350">
        <v>10000</v>
      </c>
      <c r="AG350">
        <v>10000</v>
      </c>
      <c r="AH350">
        <v>10000</v>
      </c>
      <c r="AI350">
        <v>10000</v>
      </c>
      <c r="AJ350">
        <v>10000</v>
      </c>
      <c r="AK350">
        <v>10000</v>
      </c>
      <c r="AL350">
        <v>10000</v>
      </c>
      <c r="AM350">
        <v>10000</v>
      </c>
      <c r="AN350">
        <v>10000</v>
      </c>
      <c r="AO350">
        <v>10000</v>
      </c>
      <c r="AP350">
        <v>10000</v>
      </c>
      <c r="AQ350">
        <v>10000</v>
      </c>
      <c r="AR350">
        <v>10000</v>
      </c>
      <c r="AS350">
        <v>10000</v>
      </c>
      <c r="AT350">
        <v>10000</v>
      </c>
      <c r="AU350">
        <v>10000</v>
      </c>
      <c r="AV350">
        <v>10000</v>
      </c>
      <c r="AW350">
        <v>10000</v>
      </c>
      <c r="AX350">
        <v>10000</v>
      </c>
      <c r="AY350">
        <v>10000</v>
      </c>
      <c r="AZ350">
        <v>10000</v>
      </c>
      <c r="BA350">
        <v>10000</v>
      </c>
      <c r="BB350">
        <v>10000</v>
      </c>
      <c r="BC350">
        <v>10000</v>
      </c>
      <c r="BD350">
        <v>10000</v>
      </c>
      <c r="BE350">
        <v>10000</v>
      </c>
      <c r="BF350">
        <v>10000</v>
      </c>
      <c r="BG350">
        <v>10000</v>
      </c>
      <c r="BH350">
        <v>10000</v>
      </c>
      <c r="BI350">
        <v>10000</v>
      </c>
      <c r="BJ350">
        <v>10000</v>
      </c>
      <c r="BK350">
        <v>10000</v>
      </c>
      <c r="BL350">
        <v>10000</v>
      </c>
      <c r="BM350">
        <v>10000</v>
      </c>
      <c r="BN350">
        <v>10000</v>
      </c>
      <c r="BO350">
        <v>10000</v>
      </c>
      <c r="BP350">
        <v>10000</v>
      </c>
      <c r="BQ350">
        <v>10000</v>
      </c>
      <c r="BR350">
        <v>10000</v>
      </c>
      <c r="BS350">
        <v>10000</v>
      </c>
      <c r="BT350">
        <v>10000</v>
      </c>
      <c r="BU350">
        <v>10000</v>
      </c>
      <c r="BV350">
        <v>10000</v>
      </c>
      <c r="BW350">
        <v>10000</v>
      </c>
      <c r="BX350">
        <v>10000</v>
      </c>
      <c r="BY350">
        <v>10000</v>
      </c>
      <c r="BZ350">
        <v>10000</v>
      </c>
      <c r="CA350">
        <v>10000</v>
      </c>
      <c r="CB350">
        <v>10000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row>
    <row r="351" spans="13:128" hidden="1">
      <c r="M351" s="343" t="s">
        <v>633</v>
      </c>
      <c r="N351" t="s">
        <v>1010</v>
      </c>
      <c r="O351">
        <v>1</v>
      </c>
      <c r="P351">
        <v>23</v>
      </c>
      <c r="Q351" s="184" t="str">
        <f t="shared" si="14"/>
        <v>SDJ200123</v>
      </c>
      <c r="R351">
        <v>10000</v>
      </c>
      <c r="S351">
        <v>10000</v>
      </c>
      <c r="T351">
        <v>10000</v>
      </c>
      <c r="U351">
        <v>10000</v>
      </c>
      <c r="V351">
        <v>10000</v>
      </c>
      <c r="W351">
        <v>10000</v>
      </c>
      <c r="X351">
        <v>10000</v>
      </c>
      <c r="Y351">
        <v>10000</v>
      </c>
      <c r="Z351">
        <v>10000</v>
      </c>
      <c r="AA351">
        <v>10000</v>
      </c>
      <c r="AB351">
        <v>10000</v>
      </c>
      <c r="AC351">
        <v>10000</v>
      </c>
      <c r="AD351">
        <v>10000</v>
      </c>
      <c r="AE351">
        <v>10000</v>
      </c>
      <c r="AF351">
        <v>10000</v>
      </c>
      <c r="AG351">
        <v>10000</v>
      </c>
      <c r="AH351">
        <v>10000</v>
      </c>
      <c r="AI351">
        <v>10000</v>
      </c>
      <c r="AJ351">
        <v>10000</v>
      </c>
      <c r="AK351">
        <v>10000</v>
      </c>
      <c r="AL351">
        <v>10000</v>
      </c>
      <c r="AM351">
        <v>10000</v>
      </c>
      <c r="AN351">
        <v>10000</v>
      </c>
      <c r="AO351">
        <v>10000</v>
      </c>
      <c r="AP351">
        <v>10000</v>
      </c>
      <c r="AQ351">
        <v>10000</v>
      </c>
      <c r="AR351">
        <v>10000</v>
      </c>
      <c r="AS351">
        <v>10000</v>
      </c>
      <c r="AT351">
        <v>10000</v>
      </c>
      <c r="AU351">
        <v>10000</v>
      </c>
      <c r="AV351">
        <v>10000</v>
      </c>
      <c r="AW351">
        <v>10000</v>
      </c>
      <c r="AX351">
        <v>10000</v>
      </c>
      <c r="AY351">
        <v>10000</v>
      </c>
      <c r="AZ351">
        <v>10000</v>
      </c>
      <c r="BA351">
        <v>10000</v>
      </c>
      <c r="BB351">
        <v>10000</v>
      </c>
      <c r="BC351">
        <v>10000</v>
      </c>
      <c r="BD351">
        <v>10000</v>
      </c>
      <c r="BE351">
        <v>10000</v>
      </c>
      <c r="BF351">
        <v>10000</v>
      </c>
      <c r="BG351">
        <v>10000</v>
      </c>
      <c r="BH351">
        <v>10000</v>
      </c>
      <c r="BI351">
        <v>10000</v>
      </c>
      <c r="BJ351">
        <v>10000</v>
      </c>
      <c r="BK351">
        <v>10000</v>
      </c>
      <c r="BL351">
        <v>10000</v>
      </c>
      <c r="BM351">
        <v>10000</v>
      </c>
      <c r="BN351">
        <v>10000</v>
      </c>
      <c r="BO351">
        <v>10000</v>
      </c>
      <c r="BP351">
        <v>10000</v>
      </c>
      <c r="BQ351">
        <v>10000</v>
      </c>
      <c r="BR351">
        <v>10000</v>
      </c>
      <c r="BS351">
        <v>10000</v>
      </c>
      <c r="BT351">
        <v>10000</v>
      </c>
      <c r="BU351">
        <v>10000</v>
      </c>
      <c r="BV351">
        <v>10000</v>
      </c>
      <c r="BW351">
        <v>10000</v>
      </c>
      <c r="BX351">
        <v>10000</v>
      </c>
      <c r="BY351">
        <v>10000</v>
      </c>
      <c r="BZ351">
        <v>10000</v>
      </c>
      <c r="CA351">
        <v>10000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row>
    <row r="352" spans="13:128" hidden="1">
      <c r="M352" s="343" t="s">
        <v>633</v>
      </c>
      <c r="N352" t="s">
        <v>1010</v>
      </c>
      <c r="O352">
        <v>1</v>
      </c>
      <c r="P352">
        <v>24</v>
      </c>
      <c r="Q352" s="184" t="str">
        <f t="shared" si="14"/>
        <v>SDJ200124</v>
      </c>
      <c r="R352">
        <v>10000</v>
      </c>
      <c r="S352">
        <v>10000</v>
      </c>
      <c r="T352">
        <v>10000</v>
      </c>
      <c r="U352">
        <v>10000</v>
      </c>
      <c r="V352">
        <v>10000</v>
      </c>
      <c r="W352">
        <v>10000</v>
      </c>
      <c r="X352">
        <v>10000</v>
      </c>
      <c r="Y352">
        <v>10000</v>
      </c>
      <c r="Z352">
        <v>10000</v>
      </c>
      <c r="AA352">
        <v>10000</v>
      </c>
      <c r="AB352">
        <v>10000</v>
      </c>
      <c r="AC352">
        <v>10000</v>
      </c>
      <c r="AD352">
        <v>10000</v>
      </c>
      <c r="AE352">
        <v>10000</v>
      </c>
      <c r="AF352">
        <v>10000</v>
      </c>
      <c r="AG352">
        <v>10000</v>
      </c>
      <c r="AH352">
        <v>10000</v>
      </c>
      <c r="AI352">
        <v>10000</v>
      </c>
      <c r="AJ352">
        <v>10000</v>
      </c>
      <c r="AK352">
        <v>10000</v>
      </c>
      <c r="AL352">
        <v>10000</v>
      </c>
      <c r="AM352">
        <v>10000</v>
      </c>
      <c r="AN352">
        <v>10000</v>
      </c>
      <c r="AO352">
        <v>10000</v>
      </c>
      <c r="AP352">
        <v>10000</v>
      </c>
      <c r="AQ352">
        <v>10000</v>
      </c>
      <c r="AR352">
        <v>10000</v>
      </c>
      <c r="AS352">
        <v>10000</v>
      </c>
      <c r="AT352">
        <v>10000</v>
      </c>
      <c r="AU352">
        <v>10000</v>
      </c>
      <c r="AV352">
        <v>10000</v>
      </c>
      <c r="AW352">
        <v>10000</v>
      </c>
      <c r="AX352">
        <v>10000</v>
      </c>
      <c r="AY352">
        <v>10000</v>
      </c>
      <c r="AZ352">
        <v>10000</v>
      </c>
      <c r="BA352">
        <v>10000</v>
      </c>
      <c r="BB352">
        <v>10000</v>
      </c>
      <c r="BC352">
        <v>10000</v>
      </c>
      <c r="BD352">
        <v>10000</v>
      </c>
      <c r="BE352">
        <v>10000</v>
      </c>
      <c r="BF352">
        <v>10000</v>
      </c>
      <c r="BG352">
        <v>10000</v>
      </c>
      <c r="BH352">
        <v>10000</v>
      </c>
      <c r="BI352">
        <v>10000</v>
      </c>
      <c r="BJ352">
        <v>10000</v>
      </c>
      <c r="BK352">
        <v>10000</v>
      </c>
      <c r="BL352">
        <v>10000</v>
      </c>
      <c r="BM352">
        <v>10000</v>
      </c>
      <c r="BN352">
        <v>10000</v>
      </c>
      <c r="BO352">
        <v>10000</v>
      </c>
      <c r="BP352">
        <v>10000</v>
      </c>
      <c r="BQ352">
        <v>10000</v>
      </c>
      <c r="BR352">
        <v>10000</v>
      </c>
      <c r="BS352">
        <v>10000</v>
      </c>
      <c r="BT352">
        <v>10000</v>
      </c>
      <c r="BU352">
        <v>10000</v>
      </c>
      <c r="BV352">
        <v>10000</v>
      </c>
      <c r="BW352">
        <v>10000</v>
      </c>
      <c r="BX352">
        <v>10000</v>
      </c>
      <c r="BY352">
        <v>10000</v>
      </c>
      <c r="BZ352">
        <v>10000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row>
    <row r="353" spans="13:128" hidden="1">
      <c r="M353" s="343" t="s">
        <v>633</v>
      </c>
      <c r="N353" t="s">
        <v>1010</v>
      </c>
      <c r="O353">
        <v>1</v>
      </c>
      <c r="P353">
        <v>25</v>
      </c>
      <c r="Q353" s="184" t="str">
        <f t="shared" si="14"/>
        <v>SDJ200125</v>
      </c>
      <c r="R353">
        <v>10000</v>
      </c>
      <c r="S353">
        <v>10000</v>
      </c>
      <c r="T353">
        <v>10000</v>
      </c>
      <c r="U353">
        <v>10000</v>
      </c>
      <c r="V353">
        <v>10000</v>
      </c>
      <c r="W353">
        <v>10000</v>
      </c>
      <c r="X353">
        <v>10000</v>
      </c>
      <c r="Y353">
        <v>10000</v>
      </c>
      <c r="Z353">
        <v>10000</v>
      </c>
      <c r="AA353">
        <v>10000</v>
      </c>
      <c r="AB353">
        <v>10000</v>
      </c>
      <c r="AC353">
        <v>10000</v>
      </c>
      <c r="AD353">
        <v>10000</v>
      </c>
      <c r="AE353">
        <v>10000</v>
      </c>
      <c r="AF353">
        <v>10000</v>
      </c>
      <c r="AG353">
        <v>10000</v>
      </c>
      <c r="AH353">
        <v>10000</v>
      </c>
      <c r="AI353">
        <v>10000</v>
      </c>
      <c r="AJ353">
        <v>10000</v>
      </c>
      <c r="AK353">
        <v>10000</v>
      </c>
      <c r="AL353">
        <v>10000</v>
      </c>
      <c r="AM353">
        <v>10000</v>
      </c>
      <c r="AN353">
        <v>10000</v>
      </c>
      <c r="AO353">
        <v>10000</v>
      </c>
      <c r="AP353">
        <v>10000</v>
      </c>
      <c r="AQ353">
        <v>10000</v>
      </c>
      <c r="AR353">
        <v>10000</v>
      </c>
      <c r="AS353">
        <v>10000</v>
      </c>
      <c r="AT353">
        <v>10000</v>
      </c>
      <c r="AU353">
        <v>10000</v>
      </c>
      <c r="AV353">
        <v>10000</v>
      </c>
      <c r="AW353">
        <v>10000</v>
      </c>
      <c r="AX353">
        <v>10000</v>
      </c>
      <c r="AY353">
        <v>10000</v>
      </c>
      <c r="AZ353">
        <v>10000</v>
      </c>
      <c r="BA353">
        <v>10000</v>
      </c>
      <c r="BB353">
        <v>10000</v>
      </c>
      <c r="BC353">
        <v>10000</v>
      </c>
      <c r="BD353">
        <v>10000</v>
      </c>
      <c r="BE353">
        <v>10000</v>
      </c>
      <c r="BF353">
        <v>10000</v>
      </c>
      <c r="BG353">
        <v>10000</v>
      </c>
      <c r="BH353">
        <v>10000</v>
      </c>
      <c r="BI353">
        <v>10000</v>
      </c>
      <c r="BJ353">
        <v>10000</v>
      </c>
      <c r="BK353">
        <v>10000</v>
      </c>
      <c r="BL353">
        <v>10000</v>
      </c>
      <c r="BM353">
        <v>10000</v>
      </c>
      <c r="BN353">
        <v>10000</v>
      </c>
      <c r="BO353">
        <v>10000</v>
      </c>
      <c r="BP353">
        <v>10000</v>
      </c>
      <c r="BQ353">
        <v>10000</v>
      </c>
      <c r="BR353">
        <v>10000</v>
      </c>
      <c r="BS353">
        <v>10000</v>
      </c>
      <c r="BT353">
        <v>10000</v>
      </c>
      <c r="BU353">
        <v>10000</v>
      </c>
      <c r="BV353">
        <v>10000</v>
      </c>
      <c r="BW353">
        <v>10000</v>
      </c>
      <c r="BX353">
        <v>10000</v>
      </c>
      <c r="BY353">
        <v>10000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row>
    <row r="354" spans="13:128" hidden="1">
      <c r="M354" s="343" t="s">
        <v>633</v>
      </c>
      <c r="N354" t="s">
        <v>1010</v>
      </c>
      <c r="O354">
        <v>1</v>
      </c>
      <c r="P354">
        <v>26</v>
      </c>
      <c r="Q354" s="184" t="str">
        <f t="shared" si="14"/>
        <v>SDJ200126</v>
      </c>
      <c r="R354">
        <v>10000</v>
      </c>
      <c r="S354">
        <v>10000</v>
      </c>
      <c r="T354">
        <v>10000</v>
      </c>
      <c r="U354">
        <v>10000</v>
      </c>
      <c r="V354">
        <v>10000</v>
      </c>
      <c r="W354">
        <v>10000</v>
      </c>
      <c r="X354">
        <v>10000</v>
      </c>
      <c r="Y354">
        <v>10000</v>
      </c>
      <c r="Z354">
        <v>10000</v>
      </c>
      <c r="AA354">
        <v>10000</v>
      </c>
      <c r="AB354">
        <v>10000</v>
      </c>
      <c r="AC354">
        <v>10000</v>
      </c>
      <c r="AD354">
        <v>10000</v>
      </c>
      <c r="AE354">
        <v>10000</v>
      </c>
      <c r="AF354">
        <v>10000</v>
      </c>
      <c r="AG354">
        <v>10000</v>
      </c>
      <c r="AH354">
        <v>10000</v>
      </c>
      <c r="AI354">
        <v>10000</v>
      </c>
      <c r="AJ354">
        <v>10000</v>
      </c>
      <c r="AK354">
        <v>10000</v>
      </c>
      <c r="AL354">
        <v>10000</v>
      </c>
      <c r="AM354">
        <v>10000</v>
      </c>
      <c r="AN354">
        <v>10000</v>
      </c>
      <c r="AO354">
        <v>10000</v>
      </c>
      <c r="AP354">
        <v>10000</v>
      </c>
      <c r="AQ354">
        <v>10000</v>
      </c>
      <c r="AR354">
        <v>10000</v>
      </c>
      <c r="AS354">
        <v>10000</v>
      </c>
      <c r="AT354">
        <v>10000</v>
      </c>
      <c r="AU354">
        <v>10000</v>
      </c>
      <c r="AV354">
        <v>10000</v>
      </c>
      <c r="AW354">
        <v>10000</v>
      </c>
      <c r="AX354">
        <v>10000</v>
      </c>
      <c r="AY354">
        <v>10000</v>
      </c>
      <c r="AZ354">
        <v>10000</v>
      </c>
      <c r="BA354">
        <v>10000</v>
      </c>
      <c r="BB354">
        <v>10000</v>
      </c>
      <c r="BC354">
        <v>10000</v>
      </c>
      <c r="BD354">
        <v>10000</v>
      </c>
      <c r="BE354">
        <v>10000</v>
      </c>
      <c r="BF354">
        <v>10000</v>
      </c>
      <c r="BG354">
        <v>10000</v>
      </c>
      <c r="BH354">
        <v>10000</v>
      </c>
      <c r="BI354">
        <v>10000</v>
      </c>
      <c r="BJ354">
        <v>10000</v>
      </c>
      <c r="BK354">
        <v>10000</v>
      </c>
      <c r="BL354">
        <v>10000</v>
      </c>
      <c r="BM354">
        <v>10000</v>
      </c>
      <c r="BN354">
        <v>10000</v>
      </c>
      <c r="BO354">
        <v>10000</v>
      </c>
      <c r="BP354">
        <v>10000</v>
      </c>
      <c r="BQ354">
        <v>10000</v>
      </c>
      <c r="BR354">
        <v>10000</v>
      </c>
      <c r="BS354">
        <v>10000</v>
      </c>
      <c r="BT354">
        <v>10000</v>
      </c>
      <c r="BU354">
        <v>10000</v>
      </c>
      <c r="BV354">
        <v>10000</v>
      </c>
      <c r="BW354">
        <v>10000</v>
      </c>
      <c r="BX354">
        <v>10000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row>
    <row r="355" spans="13:128" hidden="1">
      <c r="M355" s="343" t="s">
        <v>633</v>
      </c>
      <c r="N355" t="s">
        <v>1010</v>
      </c>
      <c r="O355">
        <v>1</v>
      </c>
      <c r="P355">
        <v>27</v>
      </c>
      <c r="Q355" s="184" t="str">
        <f t="shared" si="14"/>
        <v>SDJ200127</v>
      </c>
      <c r="R355">
        <v>10000</v>
      </c>
      <c r="S355">
        <v>10000</v>
      </c>
      <c r="T355">
        <v>10000</v>
      </c>
      <c r="U355">
        <v>10000</v>
      </c>
      <c r="V355">
        <v>10000</v>
      </c>
      <c r="W355">
        <v>10000</v>
      </c>
      <c r="X355">
        <v>10000</v>
      </c>
      <c r="Y355">
        <v>10000</v>
      </c>
      <c r="Z355">
        <v>10000</v>
      </c>
      <c r="AA355">
        <v>10000</v>
      </c>
      <c r="AB355">
        <v>10000</v>
      </c>
      <c r="AC355">
        <v>10000</v>
      </c>
      <c r="AD355">
        <v>10000</v>
      </c>
      <c r="AE355">
        <v>10000</v>
      </c>
      <c r="AF355">
        <v>10000</v>
      </c>
      <c r="AG355">
        <v>10000</v>
      </c>
      <c r="AH355">
        <v>10000</v>
      </c>
      <c r="AI355">
        <v>10000</v>
      </c>
      <c r="AJ355">
        <v>10000</v>
      </c>
      <c r="AK355">
        <v>10000</v>
      </c>
      <c r="AL355">
        <v>10000</v>
      </c>
      <c r="AM355">
        <v>10000</v>
      </c>
      <c r="AN355">
        <v>10000</v>
      </c>
      <c r="AO355">
        <v>10000</v>
      </c>
      <c r="AP355">
        <v>10000</v>
      </c>
      <c r="AQ355">
        <v>10000</v>
      </c>
      <c r="AR355">
        <v>10000</v>
      </c>
      <c r="AS355">
        <v>10000</v>
      </c>
      <c r="AT355">
        <v>10000</v>
      </c>
      <c r="AU355">
        <v>10000</v>
      </c>
      <c r="AV355">
        <v>10000</v>
      </c>
      <c r="AW355">
        <v>10000</v>
      </c>
      <c r="AX355">
        <v>10000</v>
      </c>
      <c r="AY355">
        <v>10000</v>
      </c>
      <c r="AZ355">
        <v>10000</v>
      </c>
      <c r="BA355">
        <v>10000</v>
      </c>
      <c r="BB355">
        <v>10000</v>
      </c>
      <c r="BC355">
        <v>10000</v>
      </c>
      <c r="BD355">
        <v>10000</v>
      </c>
      <c r="BE355">
        <v>10000</v>
      </c>
      <c r="BF355">
        <v>10000</v>
      </c>
      <c r="BG355">
        <v>10000</v>
      </c>
      <c r="BH355">
        <v>10000</v>
      </c>
      <c r="BI355">
        <v>10000</v>
      </c>
      <c r="BJ355">
        <v>10000</v>
      </c>
      <c r="BK355">
        <v>10000</v>
      </c>
      <c r="BL355">
        <v>10000</v>
      </c>
      <c r="BM355">
        <v>10000</v>
      </c>
      <c r="BN355">
        <v>10000</v>
      </c>
      <c r="BO355">
        <v>10000</v>
      </c>
      <c r="BP355">
        <v>10000</v>
      </c>
      <c r="BQ355">
        <v>10000</v>
      </c>
      <c r="BR355">
        <v>10000</v>
      </c>
      <c r="BS355">
        <v>10000</v>
      </c>
      <c r="BT355">
        <v>10000</v>
      </c>
      <c r="BU355">
        <v>10000</v>
      </c>
      <c r="BV355">
        <v>10000</v>
      </c>
      <c r="BW355">
        <v>10000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row>
    <row r="356" spans="13:128" hidden="1">
      <c r="M356" s="343" t="s">
        <v>633</v>
      </c>
      <c r="N356" t="s">
        <v>1010</v>
      </c>
      <c r="O356">
        <v>1</v>
      </c>
      <c r="P356">
        <v>28</v>
      </c>
      <c r="Q356" s="184" t="str">
        <f t="shared" si="14"/>
        <v>SDJ200128</v>
      </c>
      <c r="R356">
        <v>10000</v>
      </c>
      <c r="S356">
        <v>10000</v>
      </c>
      <c r="T356">
        <v>10000</v>
      </c>
      <c r="U356">
        <v>10000</v>
      </c>
      <c r="V356">
        <v>10000</v>
      </c>
      <c r="W356">
        <v>10000</v>
      </c>
      <c r="X356">
        <v>10000</v>
      </c>
      <c r="Y356">
        <v>10000</v>
      </c>
      <c r="Z356">
        <v>10000</v>
      </c>
      <c r="AA356">
        <v>10000</v>
      </c>
      <c r="AB356">
        <v>10000</v>
      </c>
      <c r="AC356">
        <v>10000</v>
      </c>
      <c r="AD356">
        <v>10000</v>
      </c>
      <c r="AE356">
        <v>10000</v>
      </c>
      <c r="AF356">
        <v>10000</v>
      </c>
      <c r="AG356">
        <v>10000</v>
      </c>
      <c r="AH356">
        <v>10000</v>
      </c>
      <c r="AI356">
        <v>10000</v>
      </c>
      <c r="AJ356">
        <v>10000</v>
      </c>
      <c r="AK356">
        <v>10000</v>
      </c>
      <c r="AL356">
        <v>10000</v>
      </c>
      <c r="AM356">
        <v>10000</v>
      </c>
      <c r="AN356">
        <v>10000</v>
      </c>
      <c r="AO356">
        <v>10000</v>
      </c>
      <c r="AP356">
        <v>10000</v>
      </c>
      <c r="AQ356">
        <v>10000</v>
      </c>
      <c r="AR356">
        <v>10000</v>
      </c>
      <c r="AS356">
        <v>10000</v>
      </c>
      <c r="AT356">
        <v>10000</v>
      </c>
      <c r="AU356">
        <v>10000</v>
      </c>
      <c r="AV356">
        <v>10000</v>
      </c>
      <c r="AW356">
        <v>10000</v>
      </c>
      <c r="AX356">
        <v>10000</v>
      </c>
      <c r="AY356">
        <v>10000</v>
      </c>
      <c r="AZ356">
        <v>10000</v>
      </c>
      <c r="BA356">
        <v>10000</v>
      </c>
      <c r="BB356">
        <v>10000</v>
      </c>
      <c r="BC356">
        <v>10000</v>
      </c>
      <c r="BD356">
        <v>10000</v>
      </c>
      <c r="BE356">
        <v>10000</v>
      </c>
      <c r="BF356">
        <v>10000</v>
      </c>
      <c r="BG356">
        <v>10000</v>
      </c>
      <c r="BH356">
        <v>10000</v>
      </c>
      <c r="BI356">
        <v>10000</v>
      </c>
      <c r="BJ356">
        <v>10000</v>
      </c>
      <c r="BK356">
        <v>10000</v>
      </c>
      <c r="BL356">
        <v>10000</v>
      </c>
      <c r="BM356">
        <v>10000</v>
      </c>
      <c r="BN356">
        <v>10000</v>
      </c>
      <c r="BO356">
        <v>10000</v>
      </c>
      <c r="BP356">
        <v>10000</v>
      </c>
      <c r="BQ356">
        <v>10000</v>
      </c>
      <c r="BR356">
        <v>10000</v>
      </c>
      <c r="BS356">
        <v>10000</v>
      </c>
      <c r="BT356">
        <v>10000</v>
      </c>
      <c r="BU356">
        <v>10000</v>
      </c>
      <c r="BV356">
        <v>10000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row>
    <row r="357" spans="13:128" hidden="1">
      <c r="M357" s="343" t="s">
        <v>633</v>
      </c>
      <c r="N357" t="s">
        <v>1010</v>
      </c>
      <c r="O357">
        <v>1</v>
      </c>
      <c r="P357">
        <v>29</v>
      </c>
      <c r="Q357" s="184" t="str">
        <f t="shared" si="14"/>
        <v>SDJ200129</v>
      </c>
      <c r="R357">
        <v>10000</v>
      </c>
      <c r="S357">
        <v>10000</v>
      </c>
      <c r="T357">
        <v>10000</v>
      </c>
      <c r="U357">
        <v>10000</v>
      </c>
      <c r="V357">
        <v>10000</v>
      </c>
      <c r="W357">
        <v>10000</v>
      </c>
      <c r="X357">
        <v>10000</v>
      </c>
      <c r="Y357">
        <v>10000</v>
      </c>
      <c r="Z357">
        <v>10000</v>
      </c>
      <c r="AA357">
        <v>10000</v>
      </c>
      <c r="AB357">
        <v>10000</v>
      </c>
      <c r="AC357">
        <v>10000</v>
      </c>
      <c r="AD357">
        <v>10000</v>
      </c>
      <c r="AE357">
        <v>10000</v>
      </c>
      <c r="AF357">
        <v>10000</v>
      </c>
      <c r="AG357">
        <v>10000</v>
      </c>
      <c r="AH357">
        <v>10000</v>
      </c>
      <c r="AI357">
        <v>10000</v>
      </c>
      <c r="AJ357">
        <v>10000</v>
      </c>
      <c r="AK357">
        <v>10000</v>
      </c>
      <c r="AL357">
        <v>10000</v>
      </c>
      <c r="AM357">
        <v>10000</v>
      </c>
      <c r="AN357">
        <v>10000</v>
      </c>
      <c r="AO357">
        <v>10000</v>
      </c>
      <c r="AP357">
        <v>10000</v>
      </c>
      <c r="AQ357">
        <v>10000</v>
      </c>
      <c r="AR357">
        <v>10000</v>
      </c>
      <c r="AS357">
        <v>10000</v>
      </c>
      <c r="AT357">
        <v>10000</v>
      </c>
      <c r="AU357">
        <v>10000</v>
      </c>
      <c r="AV357">
        <v>10000</v>
      </c>
      <c r="AW357">
        <v>10000</v>
      </c>
      <c r="AX357">
        <v>10000</v>
      </c>
      <c r="AY357">
        <v>10000</v>
      </c>
      <c r="AZ357">
        <v>10000</v>
      </c>
      <c r="BA357">
        <v>10000</v>
      </c>
      <c r="BB357">
        <v>10000</v>
      </c>
      <c r="BC357">
        <v>10000</v>
      </c>
      <c r="BD357">
        <v>10000</v>
      </c>
      <c r="BE357">
        <v>10000</v>
      </c>
      <c r="BF357">
        <v>10000</v>
      </c>
      <c r="BG357">
        <v>10000</v>
      </c>
      <c r="BH357">
        <v>10000</v>
      </c>
      <c r="BI357">
        <v>10000</v>
      </c>
      <c r="BJ357">
        <v>10000</v>
      </c>
      <c r="BK357">
        <v>10000</v>
      </c>
      <c r="BL357">
        <v>10000</v>
      </c>
      <c r="BM357">
        <v>10000</v>
      </c>
      <c r="BN357">
        <v>10000</v>
      </c>
      <c r="BO357">
        <v>10000</v>
      </c>
      <c r="BP357">
        <v>10000</v>
      </c>
      <c r="BQ357">
        <v>10000</v>
      </c>
      <c r="BR357">
        <v>10000</v>
      </c>
      <c r="BS357">
        <v>10000</v>
      </c>
      <c r="BT357">
        <v>10000</v>
      </c>
      <c r="BU357">
        <v>10000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row>
    <row r="358" spans="13:128" hidden="1">
      <c r="M358" s="343" t="s">
        <v>633</v>
      </c>
      <c r="N358" t="s">
        <v>1010</v>
      </c>
      <c r="O358">
        <v>1</v>
      </c>
      <c r="P358">
        <v>30</v>
      </c>
      <c r="Q358" s="184" t="str">
        <f t="shared" si="14"/>
        <v>SDJ200130</v>
      </c>
      <c r="R358">
        <v>10000</v>
      </c>
      <c r="S358">
        <v>10000</v>
      </c>
      <c r="T358">
        <v>10000</v>
      </c>
      <c r="U358">
        <v>10000</v>
      </c>
      <c r="V358">
        <v>10000</v>
      </c>
      <c r="W358">
        <v>10000</v>
      </c>
      <c r="X358">
        <v>10000</v>
      </c>
      <c r="Y358">
        <v>10000</v>
      </c>
      <c r="Z358">
        <v>10000</v>
      </c>
      <c r="AA358">
        <v>10000</v>
      </c>
      <c r="AB358">
        <v>10000</v>
      </c>
      <c r="AC358">
        <v>10000</v>
      </c>
      <c r="AD358">
        <v>10000</v>
      </c>
      <c r="AE358">
        <v>10000</v>
      </c>
      <c r="AF358">
        <v>10000</v>
      </c>
      <c r="AG358">
        <v>10000</v>
      </c>
      <c r="AH358">
        <v>10000</v>
      </c>
      <c r="AI358">
        <v>10000</v>
      </c>
      <c r="AJ358">
        <v>10000</v>
      </c>
      <c r="AK358">
        <v>10000</v>
      </c>
      <c r="AL358">
        <v>10000</v>
      </c>
      <c r="AM358">
        <v>10000</v>
      </c>
      <c r="AN358">
        <v>10000</v>
      </c>
      <c r="AO358">
        <v>10000</v>
      </c>
      <c r="AP358">
        <v>10000</v>
      </c>
      <c r="AQ358">
        <v>10000</v>
      </c>
      <c r="AR358">
        <v>10000</v>
      </c>
      <c r="AS358">
        <v>10000</v>
      </c>
      <c r="AT358">
        <v>10000</v>
      </c>
      <c r="AU358">
        <v>10000</v>
      </c>
      <c r="AV358">
        <v>10000</v>
      </c>
      <c r="AW358">
        <v>10000</v>
      </c>
      <c r="AX358">
        <v>10000</v>
      </c>
      <c r="AY358">
        <v>10000</v>
      </c>
      <c r="AZ358">
        <v>10000</v>
      </c>
      <c r="BA358">
        <v>10000</v>
      </c>
      <c r="BB358">
        <v>10000</v>
      </c>
      <c r="BC358">
        <v>10000</v>
      </c>
      <c r="BD358">
        <v>10000</v>
      </c>
      <c r="BE358">
        <v>10000</v>
      </c>
      <c r="BF358">
        <v>10000</v>
      </c>
      <c r="BG358">
        <v>10000</v>
      </c>
      <c r="BH358">
        <v>10000</v>
      </c>
      <c r="BI358">
        <v>10000</v>
      </c>
      <c r="BJ358">
        <v>10000</v>
      </c>
      <c r="BK358">
        <v>10000</v>
      </c>
      <c r="BL358">
        <v>10000</v>
      </c>
      <c r="BM358">
        <v>10000</v>
      </c>
      <c r="BN358">
        <v>10000</v>
      </c>
      <c r="BO358">
        <v>10000</v>
      </c>
      <c r="BP358">
        <v>10000</v>
      </c>
      <c r="BQ358">
        <v>10000</v>
      </c>
      <c r="BR358">
        <v>10000</v>
      </c>
      <c r="BS358">
        <v>10000</v>
      </c>
      <c r="BT358">
        <v>10000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row>
    <row r="359" spans="13:128" hidden="1">
      <c r="M359" s="343" t="s">
        <v>633</v>
      </c>
      <c r="N359" t="s">
        <v>1010</v>
      </c>
      <c r="O359">
        <v>1</v>
      </c>
      <c r="P359">
        <v>31</v>
      </c>
      <c r="Q359" s="184" t="str">
        <f t="shared" si="14"/>
        <v>SDJ200131</v>
      </c>
      <c r="R359">
        <v>10000</v>
      </c>
      <c r="S359">
        <v>10000</v>
      </c>
      <c r="T359">
        <v>10000</v>
      </c>
      <c r="U359">
        <v>10000</v>
      </c>
      <c r="V359">
        <v>10000</v>
      </c>
      <c r="W359">
        <v>10000</v>
      </c>
      <c r="X359">
        <v>10000</v>
      </c>
      <c r="Y359">
        <v>10000</v>
      </c>
      <c r="Z359">
        <v>10000</v>
      </c>
      <c r="AA359">
        <v>10000</v>
      </c>
      <c r="AB359">
        <v>10000</v>
      </c>
      <c r="AC359">
        <v>10000</v>
      </c>
      <c r="AD359">
        <v>10000</v>
      </c>
      <c r="AE359">
        <v>10000</v>
      </c>
      <c r="AF359">
        <v>10000</v>
      </c>
      <c r="AG359">
        <v>10000</v>
      </c>
      <c r="AH359">
        <v>10000</v>
      </c>
      <c r="AI359">
        <v>10000</v>
      </c>
      <c r="AJ359">
        <v>10000</v>
      </c>
      <c r="AK359">
        <v>10000</v>
      </c>
      <c r="AL359">
        <v>10000</v>
      </c>
      <c r="AM359">
        <v>10000</v>
      </c>
      <c r="AN359">
        <v>10000</v>
      </c>
      <c r="AO359">
        <v>10000</v>
      </c>
      <c r="AP359">
        <v>10000</v>
      </c>
      <c r="AQ359">
        <v>10000</v>
      </c>
      <c r="AR359">
        <v>10000</v>
      </c>
      <c r="AS359">
        <v>10000</v>
      </c>
      <c r="AT359">
        <v>10000</v>
      </c>
      <c r="AU359">
        <v>10000</v>
      </c>
      <c r="AV359">
        <v>10000</v>
      </c>
      <c r="AW359">
        <v>10000</v>
      </c>
      <c r="AX359">
        <v>10000</v>
      </c>
      <c r="AY359">
        <v>10000</v>
      </c>
      <c r="AZ359">
        <v>10000</v>
      </c>
      <c r="BA359">
        <v>10000</v>
      </c>
      <c r="BB359">
        <v>10000</v>
      </c>
      <c r="BC359">
        <v>10000</v>
      </c>
      <c r="BD359">
        <v>10000</v>
      </c>
      <c r="BE359">
        <v>10000</v>
      </c>
      <c r="BF359">
        <v>10000</v>
      </c>
      <c r="BG359">
        <v>10000</v>
      </c>
      <c r="BH359">
        <v>10000</v>
      </c>
      <c r="BI359">
        <v>10000</v>
      </c>
      <c r="BJ359">
        <v>10000</v>
      </c>
      <c r="BK359">
        <v>10000</v>
      </c>
      <c r="BL359">
        <v>10000</v>
      </c>
      <c r="BM359">
        <v>10000</v>
      </c>
      <c r="BN359">
        <v>10000</v>
      </c>
      <c r="BO359">
        <v>10000</v>
      </c>
      <c r="BP359">
        <v>10000</v>
      </c>
      <c r="BQ359">
        <v>10000</v>
      </c>
      <c r="BR359">
        <v>10000</v>
      </c>
      <c r="BS359">
        <v>10000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row>
    <row r="360" spans="13:128" hidden="1">
      <c r="M360" s="343" t="s">
        <v>633</v>
      </c>
      <c r="N360" t="s">
        <v>1010</v>
      </c>
      <c r="O360">
        <v>1</v>
      </c>
      <c r="P360">
        <v>32</v>
      </c>
      <c r="Q360" s="184" t="str">
        <f t="shared" si="14"/>
        <v>SDJ200132</v>
      </c>
      <c r="R360">
        <v>10000</v>
      </c>
      <c r="S360">
        <v>10000</v>
      </c>
      <c r="T360">
        <v>10000</v>
      </c>
      <c r="U360">
        <v>10000</v>
      </c>
      <c r="V360">
        <v>10000</v>
      </c>
      <c r="W360">
        <v>10000</v>
      </c>
      <c r="X360">
        <v>10000</v>
      </c>
      <c r="Y360">
        <v>10000</v>
      </c>
      <c r="Z360">
        <v>10000</v>
      </c>
      <c r="AA360">
        <v>10000</v>
      </c>
      <c r="AB360">
        <v>10000</v>
      </c>
      <c r="AC360">
        <v>10000</v>
      </c>
      <c r="AD360">
        <v>10000</v>
      </c>
      <c r="AE360">
        <v>10000</v>
      </c>
      <c r="AF360">
        <v>10000</v>
      </c>
      <c r="AG360">
        <v>10000</v>
      </c>
      <c r="AH360">
        <v>10000</v>
      </c>
      <c r="AI360">
        <v>10000</v>
      </c>
      <c r="AJ360">
        <v>10000</v>
      </c>
      <c r="AK360">
        <v>10000</v>
      </c>
      <c r="AL360">
        <v>10000</v>
      </c>
      <c r="AM360">
        <v>10000</v>
      </c>
      <c r="AN360">
        <v>10000</v>
      </c>
      <c r="AO360">
        <v>10000</v>
      </c>
      <c r="AP360">
        <v>10000</v>
      </c>
      <c r="AQ360">
        <v>10000</v>
      </c>
      <c r="AR360">
        <v>10000</v>
      </c>
      <c r="AS360">
        <v>10000</v>
      </c>
      <c r="AT360">
        <v>10000</v>
      </c>
      <c r="AU360">
        <v>10000</v>
      </c>
      <c r="AV360">
        <v>10000</v>
      </c>
      <c r="AW360">
        <v>10000</v>
      </c>
      <c r="AX360">
        <v>10000</v>
      </c>
      <c r="AY360">
        <v>10000</v>
      </c>
      <c r="AZ360">
        <v>10000</v>
      </c>
      <c r="BA360">
        <v>10000</v>
      </c>
      <c r="BB360">
        <v>10000</v>
      </c>
      <c r="BC360">
        <v>10000</v>
      </c>
      <c r="BD360">
        <v>10000</v>
      </c>
      <c r="BE360">
        <v>10000</v>
      </c>
      <c r="BF360">
        <v>10000</v>
      </c>
      <c r="BG360">
        <v>10000</v>
      </c>
      <c r="BH360">
        <v>10000</v>
      </c>
      <c r="BI360">
        <v>10000</v>
      </c>
      <c r="BJ360">
        <v>10000</v>
      </c>
      <c r="BK360">
        <v>10000</v>
      </c>
      <c r="BL360">
        <v>10000</v>
      </c>
      <c r="BM360">
        <v>10000</v>
      </c>
      <c r="BN360">
        <v>10000</v>
      </c>
      <c r="BO360">
        <v>10000</v>
      </c>
      <c r="BP360">
        <v>10000</v>
      </c>
      <c r="BQ360">
        <v>10000</v>
      </c>
      <c r="BR360">
        <v>10000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row>
    <row r="361" spans="13:128" hidden="1">
      <c r="M361" s="343" t="s">
        <v>633</v>
      </c>
      <c r="N361" t="s">
        <v>1010</v>
      </c>
      <c r="O361">
        <v>1</v>
      </c>
      <c r="P361">
        <v>33</v>
      </c>
      <c r="Q361" s="184" t="str">
        <f t="shared" si="14"/>
        <v>SDJ200133</v>
      </c>
      <c r="R361">
        <v>10000</v>
      </c>
      <c r="S361">
        <v>10000</v>
      </c>
      <c r="T361">
        <v>10000</v>
      </c>
      <c r="U361">
        <v>10000</v>
      </c>
      <c r="V361">
        <v>10000</v>
      </c>
      <c r="W361">
        <v>10000</v>
      </c>
      <c r="X361">
        <v>10000</v>
      </c>
      <c r="Y361">
        <v>10000</v>
      </c>
      <c r="Z361">
        <v>10000</v>
      </c>
      <c r="AA361">
        <v>10000</v>
      </c>
      <c r="AB361">
        <v>10000</v>
      </c>
      <c r="AC361">
        <v>10000</v>
      </c>
      <c r="AD361">
        <v>10000</v>
      </c>
      <c r="AE361">
        <v>10000</v>
      </c>
      <c r="AF361">
        <v>10000</v>
      </c>
      <c r="AG361">
        <v>10000</v>
      </c>
      <c r="AH361">
        <v>10000</v>
      </c>
      <c r="AI361">
        <v>10000</v>
      </c>
      <c r="AJ361">
        <v>10000</v>
      </c>
      <c r="AK361">
        <v>10000</v>
      </c>
      <c r="AL361">
        <v>10000</v>
      </c>
      <c r="AM361">
        <v>10000</v>
      </c>
      <c r="AN361">
        <v>10000</v>
      </c>
      <c r="AO361">
        <v>10000</v>
      </c>
      <c r="AP361">
        <v>10000</v>
      </c>
      <c r="AQ361">
        <v>10000</v>
      </c>
      <c r="AR361">
        <v>10000</v>
      </c>
      <c r="AS361">
        <v>10000</v>
      </c>
      <c r="AT361">
        <v>10000</v>
      </c>
      <c r="AU361">
        <v>10000</v>
      </c>
      <c r="AV361">
        <v>10000</v>
      </c>
      <c r="AW361">
        <v>10000</v>
      </c>
      <c r="AX361">
        <v>10000</v>
      </c>
      <c r="AY361">
        <v>10000</v>
      </c>
      <c r="AZ361">
        <v>10000</v>
      </c>
      <c r="BA361">
        <v>10000</v>
      </c>
      <c r="BB361">
        <v>10000</v>
      </c>
      <c r="BC361">
        <v>10000</v>
      </c>
      <c r="BD361">
        <v>10000</v>
      </c>
      <c r="BE361">
        <v>10000</v>
      </c>
      <c r="BF361">
        <v>10000</v>
      </c>
      <c r="BG361">
        <v>10000</v>
      </c>
      <c r="BH361">
        <v>10000</v>
      </c>
      <c r="BI361">
        <v>10000</v>
      </c>
      <c r="BJ361">
        <v>10000</v>
      </c>
      <c r="BK361">
        <v>10000</v>
      </c>
      <c r="BL361">
        <v>10000</v>
      </c>
      <c r="BM361">
        <v>10000</v>
      </c>
      <c r="BN361">
        <v>10000</v>
      </c>
      <c r="BO361">
        <v>10000</v>
      </c>
      <c r="BP361">
        <v>10000</v>
      </c>
      <c r="BQ361">
        <v>10000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row>
    <row r="362" spans="13:128" hidden="1">
      <c r="M362" s="343" t="s">
        <v>633</v>
      </c>
      <c r="N362" t="s">
        <v>1010</v>
      </c>
      <c r="O362">
        <v>1</v>
      </c>
      <c r="P362">
        <v>34</v>
      </c>
      <c r="Q362" s="184" t="str">
        <f t="shared" si="14"/>
        <v>SDJ200134</v>
      </c>
      <c r="R362">
        <v>10000</v>
      </c>
      <c r="S362">
        <v>10000</v>
      </c>
      <c r="T362">
        <v>10000</v>
      </c>
      <c r="U362">
        <v>10000</v>
      </c>
      <c r="V362">
        <v>10000</v>
      </c>
      <c r="W362">
        <v>10000</v>
      </c>
      <c r="X362">
        <v>10000</v>
      </c>
      <c r="Y362">
        <v>10000</v>
      </c>
      <c r="Z362">
        <v>10000</v>
      </c>
      <c r="AA362">
        <v>10000</v>
      </c>
      <c r="AB362">
        <v>10000</v>
      </c>
      <c r="AC362">
        <v>10000</v>
      </c>
      <c r="AD362">
        <v>10000</v>
      </c>
      <c r="AE362">
        <v>10000</v>
      </c>
      <c r="AF362">
        <v>10000</v>
      </c>
      <c r="AG362">
        <v>10000</v>
      </c>
      <c r="AH362">
        <v>10000</v>
      </c>
      <c r="AI362">
        <v>10000</v>
      </c>
      <c r="AJ362">
        <v>10000</v>
      </c>
      <c r="AK362">
        <v>10000</v>
      </c>
      <c r="AL362">
        <v>10000</v>
      </c>
      <c r="AM362">
        <v>10000</v>
      </c>
      <c r="AN362">
        <v>10000</v>
      </c>
      <c r="AO362">
        <v>10000</v>
      </c>
      <c r="AP362">
        <v>10000</v>
      </c>
      <c r="AQ362">
        <v>10000</v>
      </c>
      <c r="AR362">
        <v>10000</v>
      </c>
      <c r="AS362">
        <v>10000</v>
      </c>
      <c r="AT362">
        <v>10000</v>
      </c>
      <c r="AU362">
        <v>10000</v>
      </c>
      <c r="AV362">
        <v>10000</v>
      </c>
      <c r="AW362">
        <v>10000</v>
      </c>
      <c r="AX362">
        <v>10000</v>
      </c>
      <c r="AY362">
        <v>10000</v>
      </c>
      <c r="AZ362">
        <v>10000</v>
      </c>
      <c r="BA362">
        <v>10000</v>
      </c>
      <c r="BB362">
        <v>10000</v>
      </c>
      <c r="BC362">
        <v>10000</v>
      </c>
      <c r="BD362">
        <v>10000</v>
      </c>
      <c r="BE362">
        <v>10000</v>
      </c>
      <c r="BF362">
        <v>10000</v>
      </c>
      <c r="BG362">
        <v>10000</v>
      </c>
      <c r="BH362">
        <v>10000</v>
      </c>
      <c r="BI362">
        <v>10000</v>
      </c>
      <c r="BJ362">
        <v>10000</v>
      </c>
      <c r="BK362">
        <v>10000</v>
      </c>
      <c r="BL362">
        <v>10000</v>
      </c>
      <c r="BM362">
        <v>10000</v>
      </c>
      <c r="BN362">
        <v>10000</v>
      </c>
      <c r="BO362">
        <v>10000</v>
      </c>
      <c r="BP362">
        <v>10000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row>
    <row r="363" spans="13:128" hidden="1">
      <c r="M363" s="343" t="s">
        <v>633</v>
      </c>
      <c r="N363" t="s">
        <v>1010</v>
      </c>
      <c r="O363">
        <v>1</v>
      </c>
      <c r="P363">
        <v>35</v>
      </c>
      <c r="Q363" s="184" t="str">
        <f t="shared" si="14"/>
        <v>SDJ200135</v>
      </c>
      <c r="R363">
        <v>10000</v>
      </c>
      <c r="S363">
        <v>10000</v>
      </c>
      <c r="T363">
        <v>10000</v>
      </c>
      <c r="U363">
        <v>10000</v>
      </c>
      <c r="V363">
        <v>10000</v>
      </c>
      <c r="W363">
        <v>10000</v>
      </c>
      <c r="X363">
        <v>10000</v>
      </c>
      <c r="Y363">
        <v>10000</v>
      </c>
      <c r="Z363">
        <v>10000</v>
      </c>
      <c r="AA363">
        <v>10000</v>
      </c>
      <c r="AB363">
        <v>10000</v>
      </c>
      <c r="AC363">
        <v>10000</v>
      </c>
      <c r="AD363">
        <v>10000</v>
      </c>
      <c r="AE363">
        <v>10000</v>
      </c>
      <c r="AF363">
        <v>10000</v>
      </c>
      <c r="AG363">
        <v>10000</v>
      </c>
      <c r="AH363">
        <v>10000</v>
      </c>
      <c r="AI363">
        <v>10000</v>
      </c>
      <c r="AJ363">
        <v>10000</v>
      </c>
      <c r="AK363">
        <v>10000</v>
      </c>
      <c r="AL363">
        <v>10000</v>
      </c>
      <c r="AM363">
        <v>10000</v>
      </c>
      <c r="AN363">
        <v>10000</v>
      </c>
      <c r="AO363">
        <v>10000</v>
      </c>
      <c r="AP363">
        <v>10000</v>
      </c>
      <c r="AQ363">
        <v>10000</v>
      </c>
      <c r="AR363">
        <v>10000</v>
      </c>
      <c r="AS363">
        <v>10000</v>
      </c>
      <c r="AT363">
        <v>10000</v>
      </c>
      <c r="AU363">
        <v>10000</v>
      </c>
      <c r="AV363">
        <v>10000</v>
      </c>
      <c r="AW363">
        <v>10000</v>
      </c>
      <c r="AX363">
        <v>10000</v>
      </c>
      <c r="AY363">
        <v>10000</v>
      </c>
      <c r="AZ363">
        <v>10000</v>
      </c>
      <c r="BA363">
        <v>10000</v>
      </c>
      <c r="BB363">
        <v>10000</v>
      </c>
      <c r="BC363">
        <v>10000</v>
      </c>
      <c r="BD363">
        <v>10000</v>
      </c>
      <c r="BE363">
        <v>10000</v>
      </c>
      <c r="BF363">
        <v>10000</v>
      </c>
      <c r="BG363">
        <v>10000</v>
      </c>
      <c r="BH363">
        <v>10000</v>
      </c>
      <c r="BI363">
        <v>10000</v>
      </c>
      <c r="BJ363">
        <v>10000</v>
      </c>
      <c r="BK363">
        <v>10000</v>
      </c>
      <c r="BL363">
        <v>10000</v>
      </c>
      <c r="BM363">
        <v>10000</v>
      </c>
      <c r="BN363">
        <v>10000</v>
      </c>
      <c r="BO363">
        <v>10000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row>
    <row r="364" spans="13:128" hidden="1">
      <c r="M364" s="343" t="s">
        <v>633</v>
      </c>
      <c r="N364" t="s">
        <v>1010</v>
      </c>
      <c r="O364">
        <v>1</v>
      </c>
      <c r="P364">
        <v>36</v>
      </c>
      <c r="Q364" s="184" t="str">
        <f t="shared" si="14"/>
        <v>SDJ200136</v>
      </c>
      <c r="R364">
        <v>10000</v>
      </c>
      <c r="S364">
        <v>10000</v>
      </c>
      <c r="T364">
        <v>10000</v>
      </c>
      <c r="U364">
        <v>10000</v>
      </c>
      <c r="V364">
        <v>10000</v>
      </c>
      <c r="W364">
        <v>10000</v>
      </c>
      <c r="X364">
        <v>10000</v>
      </c>
      <c r="Y364">
        <v>10000</v>
      </c>
      <c r="Z364">
        <v>10000</v>
      </c>
      <c r="AA364">
        <v>10000</v>
      </c>
      <c r="AB364">
        <v>10000</v>
      </c>
      <c r="AC364">
        <v>10000</v>
      </c>
      <c r="AD364">
        <v>10000</v>
      </c>
      <c r="AE364">
        <v>10000</v>
      </c>
      <c r="AF364">
        <v>10000</v>
      </c>
      <c r="AG364">
        <v>10000</v>
      </c>
      <c r="AH364">
        <v>10000</v>
      </c>
      <c r="AI364">
        <v>10000</v>
      </c>
      <c r="AJ364">
        <v>10000</v>
      </c>
      <c r="AK364">
        <v>10000</v>
      </c>
      <c r="AL364">
        <v>10000</v>
      </c>
      <c r="AM364">
        <v>10000</v>
      </c>
      <c r="AN364">
        <v>10000</v>
      </c>
      <c r="AO364">
        <v>10000</v>
      </c>
      <c r="AP364">
        <v>10000</v>
      </c>
      <c r="AQ364">
        <v>10000</v>
      </c>
      <c r="AR364">
        <v>10000</v>
      </c>
      <c r="AS364">
        <v>10000</v>
      </c>
      <c r="AT364">
        <v>10000</v>
      </c>
      <c r="AU364">
        <v>10000</v>
      </c>
      <c r="AV364">
        <v>10000</v>
      </c>
      <c r="AW364">
        <v>10000</v>
      </c>
      <c r="AX364">
        <v>10000</v>
      </c>
      <c r="AY364">
        <v>10000</v>
      </c>
      <c r="AZ364">
        <v>10000</v>
      </c>
      <c r="BA364">
        <v>10000</v>
      </c>
      <c r="BB364">
        <v>10000</v>
      </c>
      <c r="BC364">
        <v>10000</v>
      </c>
      <c r="BD364">
        <v>10000</v>
      </c>
      <c r="BE364">
        <v>10000</v>
      </c>
      <c r="BF364">
        <v>10000</v>
      </c>
      <c r="BG364">
        <v>10000</v>
      </c>
      <c r="BH364">
        <v>10000</v>
      </c>
      <c r="BI364">
        <v>10000</v>
      </c>
      <c r="BJ364">
        <v>10000</v>
      </c>
      <c r="BK364">
        <v>10000</v>
      </c>
      <c r="BL364">
        <v>10000</v>
      </c>
      <c r="BM364">
        <v>10000</v>
      </c>
      <c r="BN364">
        <v>10000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row>
    <row r="365" spans="13:128" hidden="1">
      <c r="M365" s="343" t="s">
        <v>633</v>
      </c>
      <c r="N365" t="s">
        <v>1010</v>
      </c>
      <c r="O365">
        <v>1</v>
      </c>
      <c r="P365">
        <v>37</v>
      </c>
      <c r="Q365" s="184" t="str">
        <f t="shared" si="14"/>
        <v>SDJ200137</v>
      </c>
      <c r="R365">
        <v>10000</v>
      </c>
      <c r="S365">
        <v>10000</v>
      </c>
      <c r="T365">
        <v>10000</v>
      </c>
      <c r="U365">
        <v>10000</v>
      </c>
      <c r="V365">
        <v>10000</v>
      </c>
      <c r="W365">
        <v>10000</v>
      </c>
      <c r="X365">
        <v>10000</v>
      </c>
      <c r="Y365">
        <v>10000</v>
      </c>
      <c r="Z365">
        <v>10000</v>
      </c>
      <c r="AA365">
        <v>10000</v>
      </c>
      <c r="AB365">
        <v>10000</v>
      </c>
      <c r="AC365">
        <v>10000</v>
      </c>
      <c r="AD365">
        <v>10000</v>
      </c>
      <c r="AE365">
        <v>10000</v>
      </c>
      <c r="AF365">
        <v>10000</v>
      </c>
      <c r="AG365">
        <v>10000</v>
      </c>
      <c r="AH365">
        <v>10000</v>
      </c>
      <c r="AI365">
        <v>10000</v>
      </c>
      <c r="AJ365">
        <v>10000</v>
      </c>
      <c r="AK365">
        <v>10000</v>
      </c>
      <c r="AL365">
        <v>10000</v>
      </c>
      <c r="AM365">
        <v>10000</v>
      </c>
      <c r="AN365">
        <v>10000</v>
      </c>
      <c r="AO365">
        <v>10000</v>
      </c>
      <c r="AP365">
        <v>10000</v>
      </c>
      <c r="AQ365">
        <v>10000</v>
      </c>
      <c r="AR365">
        <v>10000</v>
      </c>
      <c r="AS365">
        <v>10000</v>
      </c>
      <c r="AT365">
        <v>10000</v>
      </c>
      <c r="AU365">
        <v>10000</v>
      </c>
      <c r="AV365">
        <v>10000</v>
      </c>
      <c r="AW365">
        <v>10000</v>
      </c>
      <c r="AX365">
        <v>10000</v>
      </c>
      <c r="AY365">
        <v>10000</v>
      </c>
      <c r="AZ365">
        <v>10000</v>
      </c>
      <c r="BA365">
        <v>10000</v>
      </c>
      <c r="BB365">
        <v>10000</v>
      </c>
      <c r="BC365">
        <v>10000</v>
      </c>
      <c r="BD365">
        <v>10000</v>
      </c>
      <c r="BE365">
        <v>10000</v>
      </c>
      <c r="BF365">
        <v>10000</v>
      </c>
      <c r="BG365">
        <v>10000</v>
      </c>
      <c r="BH365">
        <v>10000</v>
      </c>
      <c r="BI365">
        <v>10000</v>
      </c>
      <c r="BJ365">
        <v>10000</v>
      </c>
      <c r="BK365">
        <v>10000</v>
      </c>
      <c r="BL365">
        <v>10000</v>
      </c>
      <c r="BM365">
        <v>10000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row>
    <row r="366" spans="13:128" hidden="1">
      <c r="M366" s="343" t="s">
        <v>633</v>
      </c>
      <c r="N366" t="s">
        <v>1010</v>
      </c>
      <c r="O366">
        <v>1</v>
      </c>
      <c r="P366">
        <v>38</v>
      </c>
      <c r="Q366" s="184" t="str">
        <f t="shared" si="14"/>
        <v>SDJ200138</v>
      </c>
      <c r="R366">
        <v>10000</v>
      </c>
      <c r="S366">
        <v>10000</v>
      </c>
      <c r="T366">
        <v>10000</v>
      </c>
      <c r="U366">
        <v>10000</v>
      </c>
      <c r="V366">
        <v>10000</v>
      </c>
      <c r="W366">
        <v>10000</v>
      </c>
      <c r="X366">
        <v>10000</v>
      </c>
      <c r="Y366">
        <v>10000</v>
      </c>
      <c r="Z366">
        <v>10000</v>
      </c>
      <c r="AA366">
        <v>10000</v>
      </c>
      <c r="AB366">
        <v>10000</v>
      </c>
      <c r="AC366">
        <v>10000</v>
      </c>
      <c r="AD366">
        <v>10000</v>
      </c>
      <c r="AE366">
        <v>10000</v>
      </c>
      <c r="AF366">
        <v>10000</v>
      </c>
      <c r="AG366">
        <v>10000</v>
      </c>
      <c r="AH366">
        <v>10000</v>
      </c>
      <c r="AI366">
        <v>10000</v>
      </c>
      <c r="AJ366">
        <v>10000</v>
      </c>
      <c r="AK366">
        <v>10000</v>
      </c>
      <c r="AL366">
        <v>10000</v>
      </c>
      <c r="AM366">
        <v>10000</v>
      </c>
      <c r="AN366">
        <v>10000</v>
      </c>
      <c r="AO366">
        <v>10000</v>
      </c>
      <c r="AP366">
        <v>10000</v>
      </c>
      <c r="AQ366">
        <v>10000</v>
      </c>
      <c r="AR366">
        <v>10000</v>
      </c>
      <c r="AS366">
        <v>10000</v>
      </c>
      <c r="AT366">
        <v>10000</v>
      </c>
      <c r="AU366">
        <v>10000</v>
      </c>
      <c r="AV366">
        <v>10000</v>
      </c>
      <c r="AW366">
        <v>10000</v>
      </c>
      <c r="AX366">
        <v>10000</v>
      </c>
      <c r="AY366">
        <v>10000</v>
      </c>
      <c r="AZ366">
        <v>10000</v>
      </c>
      <c r="BA366">
        <v>10000</v>
      </c>
      <c r="BB366">
        <v>10000</v>
      </c>
      <c r="BC366">
        <v>10000</v>
      </c>
      <c r="BD366">
        <v>10000</v>
      </c>
      <c r="BE366">
        <v>10000</v>
      </c>
      <c r="BF366">
        <v>10000</v>
      </c>
      <c r="BG366">
        <v>10000</v>
      </c>
      <c r="BH366">
        <v>10000</v>
      </c>
      <c r="BI366">
        <v>10000</v>
      </c>
      <c r="BJ366">
        <v>10000</v>
      </c>
      <c r="BK366">
        <v>10000</v>
      </c>
      <c r="BL366">
        <v>10000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row>
    <row r="367" spans="13:128" hidden="1">
      <c r="M367" s="343" t="s">
        <v>633</v>
      </c>
      <c r="N367" t="s">
        <v>1010</v>
      </c>
      <c r="O367">
        <v>1</v>
      </c>
      <c r="P367">
        <v>39</v>
      </c>
      <c r="Q367" s="184" t="str">
        <f t="shared" si="14"/>
        <v>SDJ200139</v>
      </c>
      <c r="R367">
        <v>10000</v>
      </c>
      <c r="S367">
        <v>10000</v>
      </c>
      <c r="T367">
        <v>10000</v>
      </c>
      <c r="U367">
        <v>10000</v>
      </c>
      <c r="V367">
        <v>10000</v>
      </c>
      <c r="W367">
        <v>10000</v>
      </c>
      <c r="X367">
        <v>10000</v>
      </c>
      <c r="Y367">
        <v>10000</v>
      </c>
      <c r="Z367">
        <v>10000</v>
      </c>
      <c r="AA367">
        <v>10000</v>
      </c>
      <c r="AB367">
        <v>10000</v>
      </c>
      <c r="AC367">
        <v>10000</v>
      </c>
      <c r="AD367">
        <v>10000</v>
      </c>
      <c r="AE367">
        <v>10000</v>
      </c>
      <c r="AF367">
        <v>10000</v>
      </c>
      <c r="AG367">
        <v>10000</v>
      </c>
      <c r="AH367">
        <v>10000</v>
      </c>
      <c r="AI367">
        <v>10000</v>
      </c>
      <c r="AJ367">
        <v>10000</v>
      </c>
      <c r="AK367">
        <v>10000</v>
      </c>
      <c r="AL367">
        <v>10000</v>
      </c>
      <c r="AM367">
        <v>10000</v>
      </c>
      <c r="AN367">
        <v>10000</v>
      </c>
      <c r="AO367">
        <v>10000</v>
      </c>
      <c r="AP367">
        <v>10000</v>
      </c>
      <c r="AQ367">
        <v>10000</v>
      </c>
      <c r="AR367">
        <v>10000</v>
      </c>
      <c r="AS367">
        <v>10000</v>
      </c>
      <c r="AT367">
        <v>10000</v>
      </c>
      <c r="AU367">
        <v>10000</v>
      </c>
      <c r="AV367">
        <v>10000</v>
      </c>
      <c r="AW367">
        <v>10000</v>
      </c>
      <c r="AX367">
        <v>10000</v>
      </c>
      <c r="AY367">
        <v>10000</v>
      </c>
      <c r="AZ367">
        <v>10000</v>
      </c>
      <c r="BA367">
        <v>10000</v>
      </c>
      <c r="BB367">
        <v>10000</v>
      </c>
      <c r="BC367">
        <v>10000</v>
      </c>
      <c r="BD367">
        <v>10000</v>
      </c>
      <c r="BE367">
        <v>10000</v>
      </c>
      <c r="BF367">
        <v>10000</v>
      </c>
      <c r="BG367">
        <v>10000</v>
      </c>
      <c r="BH367">
        <v>10000</v>
      </c>
      <c r="BI367">
        <v>10000</v>
      </c>
      <c r="BJ367">
        <v>10000</v>
      </c>
      <c r="BK367">
        <v>10000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row>
    <row r="368" spans="13:128" hidden="1">
      <c r="M368" s="343" t="s">
        <v>633</v>
      </c>
      <c r="N368" t="s">
        <v>1010</v>
      </c>
      <c r="O368">
        <v>1</v>
      </c>
      <c r="P368">
        <v>40</v>
      </c>
      <c r="Q368" s="184" t="str">
        <f t="shared" si="14"/>
        <v>SDJ200140</v>
      </c>
      <c r="R368">
        <v>10000</v>
      </c>
      <c r="S368">
        <v>10000</v>
      </c>
      <c r="T368">
        <v>10000</v>
      </c>
      <c r="U368">
        <v>10000</v>
      </c>
      <c r="V368">
        <v>10000</v>
      </c>
      <c r="W368">
        <v>10000</v>
      </c>
      <c r="X368">
        <v>10000</v>
      </c>
      <c r="Y368">
        <v>10000</v>
      </c>
      <c r="Z368">
        <v>10000</v>
      </c>
      <c r="AA368">
        <v>10000</v>
      </c>
      <c r="AB368">
        <v>10000</v>
      </c>
      <c r="AC368">
        <v>10000</v>
      </c>
      <c r="AD368">
        <v>10000</v>
      </c>
      <c r="AE368">
        <v>10000</v>
      </c>
      <c r="AF368">
        <v>10000</v>
      </c>
      <c r="AG368">
        <v>10000</v>
      </c>
      <c r="AH368">
        <v>10000</v>
      </c>
      <c r="AI368">
        <v>10000</v>
      </c>
      <c r="AJ368">
        <v>10000</v>
      </c>
      <c r="AK368">
        <v>10176</v>
      </c>
      <c r="AL368">
        <v>10176</v>
      </c>
      <c r="AM368">
        <v>10176</v>
      </c>
      <c r="AN368">
        <v>10176</v>
      </c>
      <c r="AO368">
        <v>10176</v>
      </c>
      <c r="AP368">
        <v>10176</v>
      </c>
      <c r="AQ368">
        <v>10176</v>
      </c>
      <c r="AR368">
        <v>10176</v>
      </c>
      <c r="AS368">
        <v>10176</v>
      </c>
      <c r="AT368">
        <v>10176</v>
      </c>
      <c r="AU368">
        <v>10176</v>
      </c>
      <c r="AV368">
        <v>10176</v>
      </c>
      <c r="AW368">
        <v>10176</v>
      </c>
      <c r="AX368">
        <v>10176</v>
      </c>
      <c r="AY368">
        <v>10176</v>
      </c>
      <c r="AZ368">
        <v>10176</v>
      </c>
      <c r="BA368">
        <v>10176</v>
      </c>
      <c r="BB368">
        <v>10176</v>
      </c>
      <c r="BC368">
        <v>10176</v>
      </c>
      <c r="BD368">
        <v>10176</v>
      </c>
      <c r="BE368">
        <v>10176</v>
      </c>
      <c r="BF368">
        <v>10176</v>
      </c>
      <c r="BG368">
        <v>10176</v>
      </c>
      <c r="BH368">
        <v>10176</v>
      </c>
      <c r="BI368">
        <v>10176</v>
      </c>
      <c r="BJ368">
        <v>10176</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row>
    <row r="369" spans="13:128" hidden="1">
      <c r="M369" s="343" t="s">
        <v>633</v>
      </c>
      <c r="N369" t="s">
        <v>1010</v>
      </c>
      <c r="O369">
        <v>1</v>
      </c>
      <c r="P369">
        <v>41</v>
      </c>
      <c r="Q369" s="184" t="str">
        <f t="shared" si="14"/>
        <v>SDJ200141</v>
      </c>
      <c r="R369">
        <v>10000</v>
      </c>
      <c r="S369">
        <v>10000</v>
      </c>
      <c r="T369">
        <v>10000</v>
      </c>
      <c r="U369">
        <v>10000</v>
      </c>
      <c r="V369">
        <v>10000</v>
      </c>
      <c r="W369">
        <v>10000</v>
      </c>
      <c r="X369">
        <v>10000</v>
      </c>
      <c r="Y369">
        <v>10000</v>
      </c>
      <c r="Z369">
        <v>10000</v>
      </c>
      <c r="AA369">
        <v>10000</v>
      </c>
      <c r="AB369">
        <v>10000</v>
      </c>
      <c r="AC369">
        <v>10000</v>
      </c>
      <c r="AD369">
        <v>10000</v>
      </c>
      <c r="AE369">
        <v>10000</v>
      </c>
      <c r="AF369">
        <v>10000</v>
      </c>
      <c r="AG369">
        <v>10000</v>
      </c>
      <c r="AH369">
        <v>10000</v>
      </c>
      <c r="AI369">
        <v>10000</v>
      </c>
      <c r="AJ369">
        <v>10190.799999999999</v>
      </c>
      <c r="AK369">
        <v>10727.2</v>
      </c>
      <c r="AL369">
        <v>10727.2</v>
      </c>
      <c r="AM369">
        <v>10727.2</v>
      </c>
      <c r="AN369">
        <v>10727.2</v>
      </c>
      <c r="AO369">
        <v>10727.2</v>
      </c>
      <c r="AP369">
        <v>10727.2</v>
      </c>
      <c r="AQ369">
        <v>10727.2</v>
      </c>
      <c r="AR369">
        <v>10727.2</v>
      </c>
      <c r="AS369">
        <v>10727.2</v>
      </c>
      <c r="AT369">
        <v>10727.2</v>
      </c>
      <c r="AU369">
        <v>10727.2</v>
      </c>
      <c r="AV369">
        <v>10727.2</v>
      </c>
      <c r="AW369">
        <v>10727.2</v>
      </c>
      <c r="AX369">
        <v>10727.2</v>
      </c>
      <c r="AY369">
        <v>10727.2</v>
      </c>
      <c r="AZ369">
        <v>10727.2</v>
      </c>
      <c r="BA369">
        <v>10727.2</v>
      </c>
      <c r="BB369">
        <v>10727.2</v>
      </c>
      <c r="BC369">
        <v>10727.2</v>
      </c>
      <c r="BD369">
        <v>10727.2</v>
      </c>
      <c r="BE369">
        <v>10727.2</v>
      </c>
      <c r="BF369">
        <v>10727.2</v>
      </c>
      <c r="BG369">
        <v>10727.2</v>
      </c>
      <c r="BH369">
        <v>10727.2</v>
      </c>
      <c r="BI369">
        <v>10727.2</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row>
    <row r="370" spans="13:128" hidden="1">
      <c r="M370" s="343" t="s">
        <v>633</v>
      </c>
      <c r="N370" t="s">
        <v>1010</v>
      </c>
      <c r="O370">
        <v>1</v>
      </c>
      <c r="P370">
        <v>42</v>
      </c>
      <c r="Q370" s="184" t="str">
        <f t="shared" si="14"/>
        <v>SDJ200142</v>
      </c>
      <c r="R370">
        <v>10000</v>
      </c>
      <c r="S370">
        <v>10000</v>
      </c>
      <c r="T370">
        <v>10000</v>
      </c>
      <c r="U370">
        <v>10000</v>
      </c>
      <c r="V370">
        <v>10000</v>
      </c>
      <c r="W370">
        <v>10000</v>
      </c>
      <c r="X370">
        <v>10000</v>
      </c>
      <c r="Y370">
        <v>10000</v>
      </c>
      <c r="Z370">
        <v>10000</v>
      </c>
      <c r="AA370">
        <v>10000</v>
      </c>
      <c r="AB370">
        <v>10000</v>
      </c>
      <c r="AC370">
        <v>10000</v>
      </c>
      <c r="AD370">
        <v>10000</v>
      </c>
      <c r="AE370">
        <v>10000</v>
      </c>
      <c r="AF370">
        <v>10000</v>
      </c>
      <c r="AG370">
        <v>10000</v>
      </c>
      <c r="AH370">
        <v>10000</v>
      </c>
      <c r="AI370">
        <v>10150.6</v>
      </c>
      <c r="AJ370">
        <v>10714.5</v>
      </c>
      <c r="AK370">
        <v>11278.4</v>
      </c>
      <c r="AL370">
        <v>11278.4</v>
      </c>
      <c r="AM370">
        <v>11278.4</v>
      </c>
      <c r="AN370">
        <v>11278.4</v>
      </c>
      <c r="AO370">
        <v>11278.4</v>
      </c>
      <c r="AP370">
        <v>11278.4</v>
      </c>
      <c r="AQ370">
        <v>11278.4</v>
      </c>
      <c r="AR370">
        <v>11278.4</v>
      </c>
      <c r="AS370">
        <v>11278.4</v>
      </c>
      <c r="AT370">
        <v>11278.4</v>
      </c>
      <c r="AU370">
        <v>11278.4</v>
      </c>
      <c r="AV370">
        <v>11278.4</v>
      </c>
      <c r="AW370">
        <v>11278.4</v>
      </c>
      <c r="AX370">
        <v>11278.4</v>
      </c>
      <c r="AY370">
        <v>11278.4</v>
      </c>
      <c r="AZ370">
        <v>11278.4</v>
      </c>
      <c r="BA370">
        <v>11278.4</v>
      </c>
      <c r="BB370">
        <v>11278.4</v>
      </c>
      <c r="BC370">
        <v>11278.4</v>
      </c>
      <c r="BD370">
        <v>11278.4</v>
      </c>
      <c r="BE370">
        <v>11278.4</v>
      </c>
      <c r="BF370">
        <v>11278.4</v>
      </c>
      <c r="BG370">
        <v>11278.4</v>
      </c>
      <c r="BH370">
        <v>11278.4</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row>
    <row r="371" spans="13:128" hidden="1">
      <c r="M371" s="343" t="s">
        <v>633</v>
      </c>
      <c r="N371" t="s">
        <v>1010</v>
      </c>
      <c r="O371">
        <v>1</v>
      </c>
      <c r="P371">
        <v>43</v>
      </c>
      <c r="Q371" s="184" t="str">
        <f t="shared" si="14"/>
        <v>SDJ200143</v>
      </c>
      <c r="R371">
        <v>10000</v>
      </c>
      <c r="S371">
        <v>10000</v>
      </c>
      <c r="T371">
        <v>10000</v>
      </c>
      <c r="U371">
        <v>10000</v>
      </c>
      <c r="V371">
        <v>10000</v>
      </c>
      <c r="W371">
        <v>10000</v>
      </c>
      <c r="X371">
        <v>10000</v>
      </c>
      <c r="Y371">
        <v>10000</v>
      </c>
      <c r="Z371">
        <v>10000</v>
      </c>
      <c r="AA371">
        <v>10000</v>
      </c>
      <c r="AB371">
        <v>10000</v>
      </c>
      <c r="AC371">
        <v>10000</v>
      </c>
      <c r="AD371">
        <v>10000</v>
      </c>
      <c r="AE371">
        <v>10000</v>
      </c>
      <c r="AF371">
        <v>10000</v>
      </c>
      <c r="AG371">
        <v>10000</v>
      </c>
      <c r="AH371">
        <v>10235.4</v>
      </c>
      <c r="AI371">
        <v>10837.4</v>
      </c>
      <c r="AJ371">
        <v>11439.5</v>
      </c>
      <c r="AK371">
        <v>12041.6</v>
      </c>
      <c r="AL371">
        <v>12041.6</v>
      </c>
      <c r="AM371">
        <v>12041.6</v>
      </c>
      <c r="AN371">
        <v>12041.6</v>
      </c>
      <c r="AO371">
        <v>12041.6</v>
      </c>
      <c r="AP371">
        <v>12041.6</v>
      </c>
      <c r="AQ371">
        <v>12041.6</v>
      </c>
      <c r="AR371">
        <v>12041.6</v>
      </c>
      <c r="AS371">
        <v>12041.6</v>
      </c>
      <c r="AT371">
        <v>12041.6</v>
      </c>
      <c r="AU371">
        <v>12041.6</v>
      </c>
      <c r="AV371">
        <v>12041.6</v>
      </c>
      <c r="AW371">
        <v>12041.6</v>
      </c>
      <c r="AX371">
        <v>12041.6</v>
      </c>
      <c r="AY371">
        <v>12041.6</v>
      </c>
      <c r="AZ371">
        <v>12041.6</v>
      </c>
      <c r="BA371">
        <v>12041.6</v>
      </c>
      <c r="BB371">
        <v>12041.6</v>
      </c>
      <c r="BC371">
        <v>12041.6</v>
      </c>
      <c r="BD371">
        <v>12041.6</v>
      </c>
      <c r="BE371">
        <v>12041.6</v>
      </c>
      <c r="BF371">
        <v>12041.6</v>
      </c>
      <c r="BG371">
        <v>12041.6</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row>
    <row r="372" spans="13:128" hidden="1">
      <c r="M372" s="343" t="s">
        <v>633</v>
      </c>
      <c r="N372" t="s">
        <v>1010</v>
      </c>
      <c r="O372">
        <v>1</v>
      </c>
      <c r="P372">
        <v>44</v>
      </c>
      <c r="Q372" s="184" t="str">
        <f t="shared" si="14"/>
        <v>SDJ200144</v>
      </c>
      <c r="R372">
        <v>10000</v>
      </c>
      <c r="S372">
        <v>10000</v>
      </c>
      <c r="T372">
        <v>10000</v>
      </c>
      <c r="U372">
        <v>10000</v>
      </c>
      <c r="V372">
        <v>10000</v>
      </c>
      <c r="W372">
        <v>10000</v>
      </c>
      <c r="X372">
        <v>10000</v>
      </c>
      <c r="Y372">
        <v>10000</v>
      </c>
      <c r="Z372">
        <v>10000</v>
      </c>
      <c r="AA372">
        <v>10000</v>
      </c>
      <c r="AB372">
        <v>10000</v>
      </c>
      <c r="AC372">
        <v>10000</v>
      </c>
      <c r="AD372">
        <v>10000</v>
      </c>
      <c r="AE372">
        <v>10000</v>
      </c>
      <c r="AF372">
        <v>10000</v>
      </c>
      <c r="AG372">
        <v>10243.799999999999</v>
      </c>
      <c r="AH372">
        <v>10884.1</v>
      </c>
      <c r="AI372">
        <v>11524.3</v>
      </c>
      <c r="AJ372">
        <v>12164.6</v>
      </c>
      <c r="AK372">
        <v>12804.8</v>
      </c>
      <c r="AL372">
        <v>12804.8</v>
      </c>
      <c r="AM372">
        <v>12804.8</v>
      </c>
      <c r="AN372">
        <v>12804.8</v>
      </c>
      <c r="AO372">
        <v>12804.8</v>
      </c>
      <c r="AP372">
        <v>12804.8</v>
      </c>
      <c r="AQ372">
        <v>12804.8</v>
      </c>
      <c r="AR372">
        <v>12804.8</v>
      </c>
      <c r="AS372">
        <v>12804.8</v>
      </c>
      <c r="AT372">
        <v>12804.8</v>
      </c>
      <c r="AU372">
        <v>12804.8</v>
      </c>
      <c r="AV372">
        <v>12804.8</v>
      </c>
      <c r="AW372">
        <v>12804.8</v>
      </c>
      <c r="AX372">
        <v>12804.8</v>
      </c>
      <c r="AY372">
        <v>12804.8</v>
      </c>
      <c r="AZ372">
        <v>12804.8</v>
      </c>
      <c r="BA372">
        <v>12804.8</v>
      </c>
      <c r="BB372">
        <v>12804.8</v>
      </c>
      <c r="BC372">
        <v>12804.8</v>
      </c>
      <c r="BD372">
        <v>12804.8</v>
      </c>
      <c r="BE372">
        <v>12804.8</v>
      </c>
      <c r="BF372">
        <v>12804.8</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row>
    <row r="373" spans="13:128" hidden="1">
      <c r="M373" s="343" t="s">
        <v>633</v>
      </c>
      <c r="N373" t="s">
        <v>1010</v>
      </c>
      <c r="O373">
        <v>1</v>
      </c>
      <c r="P373">
        <v>45</v>
      </c>
      <c r="Q373" s="184" t="str">
        <f t="shared" si="14"/>
        <v>SDJ200145</v>
      </c>
      <c r="R373">
        <v>10000</v>
      </c>
      <c r="S373">
        <v>10000</v>
      </c>
      <c r="T373">
        <v>10000</v>
      </c>
      <c r="U373">
        <v>10000</v>
      </c>
      <c r="V373">
        <v>10000</v>
      </c>
      <c r="W373">
        <v>10000</v>
      </c>
      <c r="X373">
        <v>10000</v>
      </c>
      <c r="Y373">
        <v>10000</v>
      </c>
      <c r="Z373">
        <v>10000</v>
      </c>
      <c r="AA373">
        <v>10000</v>
      </c>
      <c r="AB373">
        <v>10000</v>
      </c>
      <c r="AC373">
        <v>10000</v>
      </c>
      <c r="AD373">
        <v>10000</v>
      </c>
      <c r="AE373">
        <v>10000</v>
      </c>
      <c r="AF373">
        <v>10176</v>
      </c>
      <c r="AG373">
        <v>10854.4</v>
      </c>
      <c r="AH373">
        <v>11532.8</v>
      </c>
      <c r="AI373">
        <v>12211.2</v>
      </c>
      <c r="AJ373">
        <v>12889.6</v>
      </c>
      <c r="AK373">
        <v>13568</v>
      </c>
      <c r="AL373">
        <v>13568</v>
      </c>
      <c r="AM373">
        <v>13568</v>
      </c>
      <c r="AN373">
        <v>13568</v>
      </c>
      <c r="AO373">
        <v>13568</v>
      </c>
      <c r="AP373">
        <v>13568</v>
      </c>
      <c r="AQ373">
        <v>13568</v>
      </c>
      <c r="AR373">
        <v>13568</v>
      </c>
      <c r="AS373">
        <v>13568</v>
      </c>
      <c r="AT373">
        <v>13568</v>
      </c>
      <c r="AU373">
        <v>13568</v>
      </c>
      <c r="AV373">
        <v>13568</v>
      </c>
      <c r="AW373">
        <v>13568</v>
      </c>
      <c r="AX373">
        <v>13568</v>
      </c>
      <c r="AY373">
        <v>13568</v>
      </c>
      <c r="AZ373">
        <v>13568</v>
      </c>
      <c r="BA373">
        <v>13568</v>
      </c>
      <c r="BB373">
        <v>13568</v>
      </c>
      <c r="BC373">
        <v>13568</v>
      </c>
      <c r="BD373">
        <v>13568</v>
      </c>
      <c r="BE373">
        <v>13568</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v>0</v>
      </c>
      <c r="DW373">
        <v>0</v>
      </c>
      <c r="DX373">
        <v>0</v>
      </c>
    </row>
    <row r="374" spans="13:128" hidden="1">
      <c r="M374" s="343" t="s">
        <v>633</v>
      </c>
      <c r="N374" t="s">
        <v>1010</v>
      </c>
      <c r="O374">
        <v>1</v>
      </c>
      <c r="P374">
        <v>46</v>
      </c>
      <c r="Q374" s="184" t="str">
        <f t="shared" si="14"/>
        <v>SDJ200146</v>
      </c>
      <c r="R374">
        <v>10000</v>
      </c>
      <c r="S374">
        <v>10000</v>
      </c>
      <c r="T374">
        <v>10000</v>
      </c>
      <c r="U374">
        <v>10000</v>
      </c>
      <c r="V374">
        <v>10000</v>
      </c>
      <c r="W374">
        <v>10000</v>
      </c>
      <c r="X374">
        <v>10000</v>
      </c>
      <c r="Y374">
        <v>10000</v>
      </c>
      <c r="Z374">
        <v>10000</v>
      </c>
      <c r="AA374">
        <v>10000</v>
      </c>
      <c r="AB374">
        <v>10000</v>
      </c>
      <c r="AC374">
        <v>10000</v>
      </c>
      <c r="AD374">
        <v>10000</v>
      </c>
      <c r="AE374">
        <v>10031.799999999999</v>
      </c>
      <c r="AF374">
        <v>10748.4</v>
      </c>
      <c r="AG374">
        <v>11465</v>
      </c>
      <c r="AH374">
        <v>12181.5</v>
      </c>
      <c r="AI374">
        <v>12898.1</v>
      </c>
      <c r="AJ374">
        <v>13614.6</v>
      </c>
      <c r="AK374">
        <v>14331.2</v>
      </c>
      <c r="AL374">
        <v>14331.2</v>
      </c>
      <c r="AM374">
        <v>14331.2</v>
      </c>
      <c r="AN374">
        <v>14331.2</v>
      </c>
      <c r="AO374">
        <v>14331.2</v>
      </c>
      <c r="AP374">
        <v>14331.2</v>
      </c>
      <c r="AQ374">
        <v>14331.2</v>
      </c>
      <c r="AR374">
        <v>14331.2</v>
      </c>
      <c r="AS374">
        <v>14331.2</v>
      </c>
      <c r="AT374">
        <v>14331.2</v>
      </c>
      <c r="AU374">
        <v>14331.2</v>
      </c>
      <c r="AV374">
        <v>14331.2</v>
      </c>
      <c r="AW374">
        <v>14331.2</v>
      </c>
      <c r="AX374">
        <v>14331.2</v>
      </c>
      <c r="AY374">
        <v>14331.2</v>
      </c>
      <c r="AZ374">
        <v>14331.2</v>
      </c>
      <c r="BA374">
        <v>14331.2</v>
      </c>
      <c r="BB374">
        <v>14331.2</v>
      </c>
      <c r="BC374">
        <v>14331.2</v>
      </c>
      <c r="BD374">
        <v>14331.2</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row>
    <row r="375" spans="13:128" hidden="1">
      <c r="M375" s="343" t="s">
        <v>633</v>
      </c>
      <c r="N375" t="s">
        <v>1010</v>
      </c>
      <c r="O375">
        <v>1</v>
      </c>
      <c r="P375">
        <v>47</v>
      </c>
      <c r="Q375" s="184" t="str">
        <f t="shared" si="14"/>
        <v>SDJ200147</v>
      </c>
      <c r="R375">
        <v>10000</v>
      </c>
      <c r="S375">
        <v>10000</v>
      </c>
      <c r="T375">
        <v>10000</v>
      </c>
      <c r="U375">
        <v>10000</v>
      </c>
      <c r="V375">
        <v>10000</v>
      </c>
      <c r="W375">
        <v>10000</v>
      </c>
      <c r="X375">
        <v>10000</v>
      </c>
      <c r="Y375">
        <v>10000</v>
      </c>
      <c r="Z375">
        <v>10000</v>
      </c>
      <c r="AA375">
        <v>10000</v>
      </c>
      <c r="AB375">
        <v>10000</v>
      </c>
      <c r="AC375">
        <v>10000</v>
      </c>
      <c r="AD375">
        <v>10018.1</v>
      </c>
      <c r="AE375">
        <v>10788.7</v>
      </c>
      <c r="AF375">
        <v>11559.3</v>
      </c>
      <c r="AG375">
        <v>12329.9</v>
      </c>
      <c r="AH375">
        <v>13100.5</v>
      </c>
      <c r="AI375">
        <v>13871.2</v>
      </c>
      <c r="AJ375">
        <v>14641.8</v>
      </c>
      <c r="AK375">
        <v>15412.4</v>
      </c>
      <c r="AL375">
        <v>15412.4</v>
      </c>
      <c r="AM375">
        <v>15412.4</v>
      </c>
      <c r="AN375">
        <v>15412.4</v>
      </c>
      <c r="AO375">
        <v>15412.4</v>
      </c>
      <c r="AP375">
        <v>15412.4</v>
      </c>
      <c r="AQ375">
        <v>15412.4</v>
      </c>
      <c r="AR375">
        <v>15412.4</v>
      </c>
      <c r="AS375">
        <v>15412.4</v>
      </c>
      <c r="AT375">
        <v>15412.4</v>
      </c>
      <c r="AU375">
        <v>15412.4</v>
      </c>
      <c r="AV375">
        <v>15412.4</v>
      </c>
      <c r="AW375">
        <v>15412.4</v>
      </c>
      <c r="AX375">
        <v>15412.4</v>
      </c>
      <c r="AY375">
        <v>15412.4</v>
      </c>
      <c r="AZ375">
        <v>15412.4</v>
      </c>
      <c r="BA375">
        <v>15412.4</v>
      </c>
      <c r="BB375">
        <v>15412.4</v>
      </c>
      <c r="BC375">
        <v>15412.4</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row>
    <row r="376" spans="13:128" hidden="1">
      <c r="M376" s="343" t="s">
        <v>633</v>
      </c>
      <c r="N376" t="s">
        <v>1010</v>
      </c>
      <c r="O376">
        <v>1</v>
      </c>
      <c r="P376">
        <v>48</v>
      </c>
      <c r="Q376" s="184" t="str">
        <f t="shared" si="14"/>
        <v>SDJ200148</v>
      </c>
      <c r="R376">
        <v>10000</v>
      </c>
      <c r="S376">
        <v>10000</v>
      </c>
      <c r="T376">
        <v>10000</v>
      </c>
      <c r="U376">
        <v>10000</v>
      </c>
      <c r="V376">
        <v>10000</v>
      </c>
      <c r="W376">
        <v>10000</v>
      </c>
      <c r="X376">
        <v>10000</v>
      </c>
      <c r="Y376">
        <v>10000</v>
      </c>
      <c r="Z376">
        <v>10000</v>
      </c>
      <c r="AA376">
        <v>10000</v>
      </c>
      <c r="AB376">
        <v>10000</v>
      </c>
      <c r="AC376">
        <v>10000</v>
      </c>
      <c r="AD376">
        <v>10583</v>
      </c>
      <c r="AE376">
        <v>11397.1</v>
      </c>
      <c r="AF376">
        <v>12211.2</v>
      </c>
      <c r="AG376">
        <v>13025.3</v>
      </c>
      <c r="AH376">
        <v>13839.4</v>
      </c>
      <c r="AI376">
        <v>14653.4</v>
      </c>
      <c r="AJ376">
        <v>15467.5</v>
      </c>
      <c r="AK376">
        <v>16281.6</v>
      </c>
      <c r="AL376">
        <v>16281.6</v>
      </c>
      <c r="AM376">
        <v>16281.6</v>
      </c>
      <c r="AN376">
        <v>16281.6</v>
      </c>
      <c r="AO376">
        <v>16281.6</v>
      </c>
      <c r="AP376">
        <v>16281.6</v>
      </c>
      <c r="AQ376">
        <v>16281.6</v>
      </c>
      <c r="AR376">
        <v>16281.6</v>
      </c>
      <c r="AS376">
        <v>16281.6</v>
      </c>
      <c r="AT376">
        <v>16281.6</v>
      </c>
      <c r="AU376">
        <v>16281.6</v>
      </c>
      <c r="AV376">
        <v>16281.6</v>
      </c>
      <c r="AW376">
        <v>16281.6</v>
      </c>
      <c r="AX376">
        <v>16281.6</v>
      </c>
      <c r="AY376">
        <v>16281.6</v>
      </c>
      <c r="AZ376">
        <v>16281.6</v>
      </c>
      <c r="BA376">
        <v>16281.6</v>
      </c>
      <c r="BB376">
        <v>16281.6</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row>
    <row r="377" spans="13:128" hidden="1">
      <c r="M377" s="343" t="s">
        <v>633</v>
      </c>
      <c r="N377" t="s">
        <v>1010</v>
      </c>
      <c r="O377">
        <v>1</v>
      </c>
      <c r="P377">
        <v>49</v>
      </c>
      <c r="Q377" s="184" t="str">
        <f t="shared" si="14"/>
        <v>SDJ200149</v>
      </c>
      <c r="R377">
        <v>10000</v>
      </c>
      <c r="S377">
        <v>10000</v>
      </c>
      <c r="T377">
        <v>10000</v>
      </c>
      <c r="U377">
        <v>10000</v>
      </c>
      <c r="V377">
        <v>10000</v>
      </c>
      <c r="W377">
        <v>10000</v>
      </c>
      <c r="X377">
        <v>10000</v>
      </c>
      <c r="Y377">
        <v>10000</v>
      </c>
      <c r="Z377">
        <v>10000</v>
      </c>
      <c r="AA377">
        <v>10000</v>
      </c>
      <c r="AB377">
        <v>10000</v>
      </c>
      <c r="AC377">
        <v>10417.700000000001</v>
      </c>
      <c r="AD377">
        <v>11285.8</v>
      </c>
      <c r="AE377">
        <v>12154</v>
      </c>
      <c r="AF377">
        <v>13022.1</v>
      </c>
      <c r="AG377">
        <v>13890.2</v>
      </c>
      <c r="AH377">
        <v>14758.4</v>
      </c>
      <c r="AI377">
        <v>15626.5</v>
      </c>
      <c r="AJ377">
        <v>16494.7</v>
      </c>
      <c r="AK377">
        <v>17362.8</v>
      </c>
      <c r="AL377">
        <v>17362.8</v>
      </c>
      <c r="AM377">
        <v>17362.8</v>
      </c>
      <c r="AN377">
        <v>17362.8</v>
      </c>
      <c r="AO377">
        <v>17362.8</v>
      </c>
      <c r="AP377">
        <v>17362.8</v>
      </c>
      <c r="AQ377">
        <v>17362.8</v>
      </c>
      <c r="AR377">
        <v>17362.8</v>
      </c>
      <c r="AS377">
        <v>17362.8</v>
      </c>
      <c r="AT377">
        <v>17362.8</v>
      </c>
      <c r="AU377">
        <v>17362.8</v>
      </c>
      <c r="AV377">
        <v>17362.8</v>
      </c>
      <c r="AW377">
        <v>17362.8</v>
      </c>
      <c r="AX377">
        <v>17362.8</v>
      </c>
      <c r="AY377">
        <v>17362.8</v>
      </c>
      <c r="AZ377">
        <v>17362.8</v>
      </c>
      <c r="BA377">
        <v>17362.8</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row>
    <row r="378" spans="13:128" hidden="1">
      <c r="M378" s="343" t="s">
        <v>633</v>
      </c>
      <c r="N378" t="s">
        <v>1010</v>
      </c>
      <c r="O378">
        <v>1</v>
      </c>
      <c r="P378">
        <v>50</v>
      </c>
      <c r="Q378" s="184" t="str">
        <f t="shared" si="14"/>
        <v>SDJ200150</v>
      </c>
      <c r="R378">
        <v>10000</v>
      </c>
      <c r="S378">
        <v>10000</v>
      </c>
      <c r="T378">
        <v>10000</v>
      </c>
      <c r="U378">
        <v>10000</v>
      </c>
      <c r="V378">
        <v>10000</v>
      </c>
      <c r="W378">
        <v>10000</v>
      </c>
      <c r="X378">
        <v>10000</v>
      </c>
      <c r="Y378">
        <v>10000</v>
      </c>
      <c r="Z378">
        <v>10000</v>
      </c>
      <c r="AA378">
        <v>10000</v>
      </c>
      <c r="AB378">
        <v>10260.799999999999</v>
      </c>
      <c r="AC378">
        <v>11193.6</v>
      </c>
      <c r="AD378">
        <v>12126.4</v>
      </c>
      <c r="AE378">
        <v>13059.2</v>
      </c>
      <c r="AF378">
        <v>13992</v>
      </c>
      <c r="AG378">
        <v>14924.8</v>
      </c>
      <c r="AH378">
        <v>15857.6</v>
      </c>
      <c r="AI378">
        <v>16790.400000000001</v>
      </c>
      <c r="AJ378">
        <v>17723.2</v>
      </c>
      <c r="AK378">
        <v>18656</v>
      </c>
      <c r="AL378">
        <v>18656</v>
      </c>
      <c r="AM378">
        <v>18656</v>
      </c>
      <c r="AN378">
        <v>18656</v>
      </c>
      <c r="AO378">
        <v>18656</v>
      </c>
      <c r="AP378">
        <v>18656</v>
      </c>
      <c r="AQ378">
        <v>18656</v>
      </c>
      <c r="AR378">
        <v>18656</v>
      </c>
      <c r="AS378">
        <v>18656</v>
      </c>
      <c r="AT378">
        <v>18656</v>
      </c>
      <c r="AU378">
        <v>18656</v>
      </c>
      <c r="AV378">
        <v>18656</v>
      </c>
      <c r="AW378">
        <v>18656</v>
      </c>
      <c r="AX378">
        <v>18656</v>
      </c>
      <c r="AY378">
        <v>18656</v>
      </c>
      <c r="AZ378">
        <v>18656</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row>
    <row r="379" spans="13:128" hidden="1">
      <c r="M379" s="343" t="s">
        <v>633</v>
      </c>
      <c r="N379" t="s">
        <v>1010</v>
      </c>
      <c r="O379">
        <v>2</v>
      </c>
      <c r="P379" s="431">
        <v>0</v>
      </c>
      <c r="Q379" s="184" t="str">
        <f t="shared" si="14"/>
        <v>SDJ200200</v>
      </c>
      <c r="R379">
        <v>10000</v>
      </c>
      <c r="S379">
        <v>10000</v>
      </c>
      <c r="T379">
        <v>10000</v>
      </c>
      <c r="U379">
        <v>10000</v>
      </c>
      <c r="V379">
        <v>10000</v>
      </c>
      <c r="W379">
        <v>10000</v>
      </c>
      <c r="X379">
        <v>10000</v>
      </c>
      <c r="Y379">
        <v>10000</v>
      </c>
      <c r="Z379">
        <v>10000</v>
      </c>
      <c r="AA379">
        <v>10000</v>
      </c>
      <c r="AB379">
        <v>10000</v>
      </c>
      <c r="AC379">
        <v>10000</v>
      </c>
      <c r="AD379">
        <v>10000</v>
      </c>
      <c r="AE379">
        <v>10000</v>
      </c>
      <c r="AF379">
        <v>10000</v>
      </c>
      <c r="AG379">
        <v>10000</v>
      </c>
      <c r="AH379">
        <v>10000</v>
      </c>
      <c r="AI379">
        <v>10000</v>
      </c>
      <c r="AJ379">
        <v>10000</v>
      </c>
      <c r="AK379">
        <v>10000</v>
      </c>
      <c r="AL379">
        <v>10000</v>
      </c>
      <c r="AM379">
        <v>10000</v>
      </c>
      <c r="AN379">
        <v>10000</v>
      </c>
      <c r="AO379">
        <v>10000</v>
      </c>
      <c r="AP379">
        <v>10000</v>
      </c>
      <c r="AQ379">
        <v>10000</v>
      </c>
      <c r="AR379">
        <v>10000</v>
      </c>
      <c r="AS379">
        <v>10000</v>
      </c>
      <c r="AT379">
        <v>10000</v>
      </c>
      <c r="AU379">
        <v>10000</v>
      </c>
      <c r="AV379">
        <v>10000</v>
      </c>
      <c r="AW379">
        <v>10000</v>
      </c>
      <c r="AX379">
        <v>10000</v>
      </c>
      <c r="AY379">
        <v>10000</v>
      </c>
      <c r="AZ379">
        <v>10000</v>
      </c>
      <c r="BA379">
        <v>10000</v>
      </c>
      <c r="BB379">
        <v>10000</v>
      </c>
      <c r="BC379">
        <v>10000</v>
      </c>
      <c r="BD379">
        <v>10000</v>
      </c>
      <c r="BE379">
        <v>10000</v>
      </c>
      <c r="BF379">
        <v>10000</v>
      </c>
      <c r="BG379">
        <v>10000</v>
      </c>
      <c r="BH379">
        <v>10000</v>
      </c>
      <c r="BI379">
        <v>10000</v>
      </c>
      <c r="BJ379">
        <v>10000</v>
      </c>
      <c r="BK379">
        <v>10000</v>
      </c>
      <c r="BL379">
        <v>10000</v>
      </c>
      <c r="BM379">
        <v>10000</v>
      </c>
      <c r="BN379">
        <v>10000</v>
      </c>
      <c r="BO379">
        <v>10000</v>
      </c>
      <c r="BP379">
        <v>10000</v>
      </c>
      <c r="BQ379">
        <v>10000</v>
      </c>
      <c r="BR379">
        <v>10000</v>
      </c>
      <c r="BS379">
        <v>10000</v>
      </c>
      <c r="BT379">
        <v>10000</v>
      </c>
      <c r="BU379">
        <v>10000</v>
      </c>
      <c r="BV379">
        <v>10000</v>
      </c>
      <c r="BW379">
        <v>10000</v>
      </c>
      <c r="BX379">
        <v>10000</v>
      </c>
      <c r="BY379">
        <v>10000</v>
      </c>
      <c r="BZ379">
        <v>10000</v>
      </c>
      <c r="CA379">
        <v>10000</v>
      </c>
      <c r="CB379">
        <v>10000</v>
      </c>
      <c r="CC379">
        <v>10000</v>
      </c>
      <c r="CD379">
        <v>10000</v>
      </c>
      <c r="CE379">
        <v>10000</v>
      </c>
      <c r="CF379">
        <v>10000</v>
      </c>
      <c r="CG379">
        <v>10000</v>
      </c>
      <c r="CH379">
        <v>10000</v>
      </c>
      <c r="CI379">
        <v>10000</v>
      </c>
      <c r="CJ379">
        <v>10000</v>
      </c>
      <c r="CK379">
        <v>10000</v>
      </c>
      <c r="CL379">
        <v>10000</v>
      </c>
      <c r="CM379">
        <v>10000</v>
      </c>
      <c r="CN379">
        <v>10000</v>
      </c>
      <c r="CO379">
        <v>10000</v>
      </c>
      <c r="CP379">
        <v>10000</v>
      </c>
      <c r="CQ379">
        <v>10000</v>
      </c>
      <c r="CR379">
        <v>10000</v>
      </c>
      <c r="CS379">
        <v>10000</v>
      </c>
      <c r="CT379">
        <v>10000</v>
      </c>
      <c r="CU379">
        <v>10000</v>
      </c>
      <c r="CV379">
        <v>10000</v>
      </c>
      <c r="CW379">
        <v>10000</v>
      </c>
      <c r="CX379">
        <v>10000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row>
    <row r="380" spans="13:128" hidden="1">
      <c r="M380" s="343" t="s">
        <v>633</v>
      </c>
      <c r="N380" t="s">
        <v>1010</v>
      </c>
      <c r="O380">
        <v>2</v>
      </c>
      <c r="P380">
        <v>1</v>
      </c>
      <c r="Q380" s="184" t="str">
        <f t="shared" si="14"/>
        <v>SDJ200201</v>
      </c>
      <c r="R380">
        <v>10000</v>
      </c>
      <c r="S380">
        <v>10000</v>
      </c>
      <c r="T380">
        <v>10000</v>
      </c>
      <c r="U380">
        <v>10000</v>
      </c>
      <c r="V380">
        <v>10000</v>
      </c>
      <c r="W380">
        <v>10000</v>
      </c>
      <c r="X380">
        <v>10000</v>
      </c>
      <c r="Y380">
        <v>10000</v>
      </c>
      <c r="Z380">
        <v>10000</v>
      </c>
      <c r="AA380">
        <v>10000</v>
      </c>
      <c r="AB380">
        <v>10000</v>
      </c>
      <c r="AC380">
        <v>10000</v>
      </c>
      <c r="AD380">
        <v>10000</v>
      </c>
      <c r="AE380">
        <v>10000</v>
      </c>
      <c r="AF380">
        <v>10000</v>
      </c>
      <c r="AG380">
        <v>10000</v>
      </c>
      <c r="AH380">
        <v>10000</v>
      </c>
      <c r="AI380">
        <v>10000</v>
      </c>
      <c r="AJ380">
        <v>10000</v>
      </c>
      <c r="AK380">
        <v>10000</v>
      </c>
      <c r="AL380">
        <v>10000</v>
      </c>
      <c r="AM380">
        <v>10000</v>
      </c>
      <c r="AN380">
        <v>10000</v>
      </c>
      <c r="AO380">
        <v>10000</v>
      </c>
      <c r="AP380">
        <v>10000</v>
      </c>
      <c r="AQ380">
        <v>10000</v>
      </c>
      <c r="AR380">
        <v>10000</v>
      </c>
      <c r="AS380">
        <v>10000</v>
      </c>
      <c r="AT380">
        <v>10000</v>
      </c>
      <c r="AU380">
        <v>10000</v>
      </c>
      <c r="AV380">
        <v>10000</v>
      </c>
      <c r="AW380">
        <v>10000</v>
      </c>
      <c r="AX380">
        <v>10000</v>
      </c>
      <c r="AY380">
        <v>10000</v>
      </c>
      <c r="AZ380">
        <v>10000</v>
      </c>
      <c r="BA380">
        <v>10000</v>
      </c>
      <c r="BB380">
        <v>10000</v>
      </c>
      <c r="BC380">
        <v>10000</v>
      </c>
      <c r="BD380">
        <v>10000</v>
      </c>
      <c r="BE380">
        <v>10000</v>
      </c>
      <c r="BF380">
        <v>10000</v>
      </c>
      <c r="BG380">
        <v>10000</v>
      </c>
      <c r="BH380">
        <v>10000</v>
      </c>
      <c r="BI380">
        <v>10000</v>
      </c>
      <c r="BJ380">
        <v>10000</v>
      </c>
      <c r="BK380">
        <v>10000</v>
      </c>
      <c r="BL380">
        <v>10000</v>
      </c>
      <c r="BM380">
        <v>10000</v>
      </c>
      <c r="BN380">
        <v>10000</v>
      </c>
      <c r="BO380">
        <v>10000</v>
      </c>
      <c r="BP380">
        <v>10000</v>
      </c>
      <c r="BQ380">
        <v>10000</v>
      </c>
      <c r="BR380">
        <v>10000</v>
      </c>
      <c r="BS380">
        <v>10000</v>
      </c>
      <c r="BT380">
        <v>10000</v>
      </c>
      <c r="BU380">
        <v>10000</v>
      </c>
      <c r="BV380">
        <v>10000</v>
      </c>
      <c r="BW380">
        <v>10000</v>
      </c>
      <c r="BX380">
        <v>10000</v>
      </c>
      <c r="BY380">
        <v>10000</v>
      </c>
      <c r="BZ380">
        <v>10000</v>
      </c>
      <c r="CA380">
        <v>10000</v>
      </c>
      <c r="CB380">
        <v>10000</v>
      </c>
      <c r="CC380">
        <v>10000</v>
      </c>
      <c r="CD380">
        <v>10000</v>
      </c>
      <c r="CE380">
        <v>10000</v>
      </c>
      <c r="CF380">
        <v>10000</v>
      </c>
      <c r="CG380">
        <v>10000</v>
      </c>
      <c r="CH380">
        <v>10000</v>
      </c>
      <c r="CI380">
        <v>10000</v>
      </c>
      <c r="CJ380">
        <v>10000</v>
      </c>
      <c r="CK380">
        <v>10000</v>
      </c>
      <c r="CL380">
        <v>10000</v>
      </c>
      <c r="CM380">
        <v>10000</v>
      </c>
      <c r="CN380">
        <v>10000</v>
      </c>
      <c r="CO380">
        <v>10000</v>
      </c>
      <c r="CP380">
        <v>10000</v>
      </c>
      <c r="CQ380">
        <v>10000</v>
      </c>
      <c r="CR380">
        <v>10000</v>
      </c>
      <c r="CS380">
        <v>10000</v>
      </c>
      <c r="CT380">
        <v>10000</v>
      </c>
      <c r="CU380">
        <v>10000</v>
      </c>
      <c r="CV380">
        <v>10000</v>
      </c>
      <c r="CW380">
        <v>10000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row>
    <row r="381" spans="13:128" hidden="1">
      <c r="M381" s="343" t="s">
        <v>633</v>
      </c>
      <c r="N381" t="s">
        <v>1010</v>
      </c>
      <c r="O381">
        <v>2</v>
      </c>
      <c r="P381">
        <v>2</v>
      </c>
      <c r="Q381" s="184" t="str">
        <f t="shared" si="14"/>
        <v>SDJ200202</v>
      </c>
      <c r="R381">
        <v>10000</v>
      </c>
      <c r="S381">
        <v>10000</v>
      </c>
      <c r="T381">
        <v>10000</v>
      </c>
      <c r="U381">
        <v>10000</v>
      </c>
      <c r="V381">
        <v>10000</v>
      </c>
      <c r="W381">
        <v>10000</v>
      </c>
      <c r="X381">
        <v>10000</v>
      </c>
      <c r="Y381">
        <v>10000</v>
      </c>
      <c r="Z381">
        <v>10000</v>
      </c>
      <c r="AA381">
        <v>10000</v>
      </c>
      <c r="AB381">
        <v>10000</v>
      </c>
      <c r="AC381">
        <v>10000</v>
      </c>
      <c r="AD381">
        <v>10000</v>
      </c>
      <c r="AE381">
        <v>10000</v>
      </c>
      <c r="AF381">
        <v>10000</v>
      </c>
      <c r="AG381">
        <v>10000</v>
      </c>
      <c r="AH381">
        <v>10000</v>
      </c>
      <c r="AI381">
        <v>10000</v>
      </c>
      <c r="AJ381">
        <v>10000</v>
      </c>
      <c r="AK381">
        <v>10000</v>
      </c>
      <c r="AL381">
        <v>10000</v>
      </c>
      <c r="AM381">
        <v>10000</v>
      </c>
      <c r="AN381">
        <v>10000</v>
      </c>
      <c r="AO381">
        <v>10000</v>
      </c>
      <c r="AP381">
        <v>10000</v>
      </c>
      <c r="AQ381">
        <v>10000</v>
      </c>
      <c r="AR381">
        <v>10000</v>
      </c>
      <c r="AS381">
        <v>10000</v>
      </c>
      <c r="AT381">
        <v>10000</v>
      </c>
      <c r="AU381">
        <v>10000</v>
      </c>
      <c r="AV381">
        <v>10000</v>
      </c>
      <c r="AW381">
        <v>10000</v>
      </c>
      <c r="AX381">
        <v>10000</v>
      </c>
      <c r="AY381">
        <v>10000</v>
      </c>
      <c r="AZ381">
        <v>10000</v>
      </c>
      <c r="BA381">
        <v>10000</v>
      </c>
      <c r="BB381">
        <v>10000</v>
      </c>
      <c r="BC381">
        <v>10000</v>
      </c>
      <c r="BD381">
        <v>10000</v>
      </c>
      <c r="BE381">
        <v>10000</v>
      </c>
      <c r="BF381">
        <v>10000</v>
      </c>
      <c r="BG381">
        <v>10000</v>
      </c>
      <c r="BH381">
        <v>10000</v>
      </c>
      <c r="BI381">
        <v>10000</v>
      </c>
      <c r="BJ381">
        <v>10000</v>
      </c>
      <c r="BK381">
        <v>10000</v>
      </c>
      <c r="BL381">
        <v>10000</v>
      </c>
      <c r="BM381">
        <v>10000</v>
      </c>
      <c r="BN381">
        <v>10000</v>
      </c>
      <c r="BO381">
        <v>10000</v>
      </c>
      <c r="BP381">
        <v>10000</v>
      </c>
      <c r="BQ381">
        <v>10000</v>
      </c>
      <c r="BR381">
        <v>10000</v>
      </c>
      <c r="BS381">
        <v>10000</v>
      </c>
      <c r="BT381">
        <v>10000</v>
      </c>
      <c r="BU381">
        <v>10000</v>
      </c>
      <c r="BV381">
        <v>10000</v>
      </c>
      <c r="BW381">
        <v>10000</v>
      </c>
      <c r="BX381">
        <v>10000</v>
      </c>
      <c r="BY381">
        <v>10000</v>
      </c>
      <c r="BZ381">
        <v>10000</v>
      </c>
      <c r="CA381">
        <v>10000</v>
      </c>
      <c r="CB381">
        <v>10000</v>
      </c>
      <c r="CC381">
        <v>10000</v>
      </c>
      <c r="CD381">
        <v>10000</v>
      </c>
      <c r="CE381">
        <v>10000</v>
      </c>
      <c r="CF381">
        <v>10000</v>
      </c>
      <c r="CG381">
        <v>10000</v>
      </c>
      <c r="CH381">
        <v>10000</v>
      </c>
      <c r="CI381">
        <v>10000</v>
      </c>
      <c r="CJ381">
        <v>10000</v>
      </c>
      <c r="CK381">
        <v>10000</v>
      </c>
      <c r="CL381">
        <v>10000</v>
      </c>
      <c r="CM381">
        <v>10000</v>
      </c>
      <c r="CN381">
        <v>10000</v>
      </c>
      <c r="CO381">
        <v>10000</v>
      </c>
      <c r="CP381">
        <v>10000</v>
      </c>
      <c r="CQ381">
        <v>10000</v>
      </c>
      <c r="CR381">
        <v>10000</v>
      </c>
      <c r="CS381">
        <v>10000</v>
      </c>
      <c r="CT381">
        <v>10000</v>
      </c>
      <c r="CU381">
        <v>10000</v>
      </c>
      <c r="CV381">
        <v>10000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row>
    <row r="382" spans="13:128" hidden="1">
      <c r="M382" s="343" t="s">
        <v>633</v>
      </c>
      <c r="N382" t="s">
        <v>1010</v>
      </c>
      <c r="O382">
        <v>2</v>
      </c>
      <c r="P382">
        <v>3</v>
      </c>
      <c r="Q382" s="184" t="str">
        <f t="shared" si="14"/>
        <v>SDJ200203</v>
      </c>
      <c r="R382">
        <v>10000</v>
      </c>
      <c r="S382">
        <v>10000</v>
      </c>
      <c r="T382">
        <v>10000</v>
      </c>
      <c r="U382">
        <v>10000</v>
      </c>
      <c r="V382">
        <v>10000</v>
      </c>
      <c r="W382">
        <v>10000</v>
      </c>
      <c r="X382">
        <v>10000</v>
      </c>
      <c r="Y382">
        <v>10000</v>
      </c>
      <c r="Z382">
        <v>10000</v>
      </c>
      <c r="AA382">
        <v>10000</v>
      </c>
      <c r="AB382">
        <v>10000</v>
      </c>
      <c r="AC382">
        <v>10000</v>
      </c>
      <c r="AD382">
        <v>10000</v>
      </c>
      <c r="AE382">
        <v>10000</v>
      </c>
      <c r="AF382">
        <v>10000</v>
      </c>
      <c r="AG382">
        <v>10000</v>
      </c>
      <c r="AH382">
        <v>10000</v>
      </c>
      <c r="AI382">
        <v>10000</v>
      </c>
      <c r="AJ382">
        <v>10000</v>
      </c>
      <c r="AK382">
        <v>10000</v>
      </c>
      <c r="AL382">
        <v>10000</v>
      </c>
      <c r="AM382">
        <v>10000</v>
      </c>
      <c r="AN382">
        <v>10000</v>
      </c>
      <c r="AO382">
        <v>10000</v>
      </c>
      <c r="AP382">
        <v>10000</v>
      </c>
      <c r="AQ382">
        <v>10000</v>
      </c>
      <c r="AR382">
        <v>10000</v>
      </c>
      <c r="AS382">
        <v>10000</v>
      </c>
      <c r="AT382">
        <v>10000</v>
      </c>
      <c r="AU382">
        <v>10000</v>
      </c>
      <c r="AV382">
        <v>10000</v>
      </c>
      <c r="AW382">
        <v>10000</v>
      </c>
      <c r="AX382">
        <v>10000</v>
      </c>
      <c r="AY382">
        <v>10000</v>
      </c>
      <c r="AZ382">
        <v>10000</v>
      </c>
      <c r="BA382">
        <v>10000</v>
      </c>
      <c r="BB382">
        <v>10000</v>
      </c>
      <c r="BC382">
        <v>10000</v>
      </c>
      <c r="BD382">
        <v>10000</v>
      </c>
      <c r="BE382">
        <v>10000</v>
      </c>
      <c r="BF382">
        <v>10000</v>
      </c>
      <c r="BG382">
        <v>10000</v>
      </c>
      <c r="BH382">
        <v>10000</v>
      </c>
      <c r="BI382">
        <v>10000</v>
      </c>
      <c r="BJ382">
        <v>10000</v>
      </c>
      <c r="BK382">
        <v>10000</v>
      </c>
      <c r="BL382">
        <v>10000</v>
      </c>
      <c r="BM382">
        <v>10000</v>
      </c>
      <c r="BN382">
        <v>10000</v>
      </c>
      <c r="BO382">
        <v>10000</v>
      </c>
      <c r="BP382">
        <v>10000</v>
      </c>
      <c r="BQ382">
        <v>10000</v>
      </c>
      <c r="BR382">
        <v>10000</v>
      </c>
      <c r="BS382">
        <v>10000</v>
      </c>
      <c r="BT382">
        <v>10000</v>
      </c>
      <c r="BU382">
        <v>10000</v>
      </c>
      <c r="BV382">
        <v>10000</v>
      </c>
      <c r="BW382">
        <v>10000</v>
      </c>
      <c r="BX382">
        <v>10000</v>
      </c>
      <c r="BY382">
        <v>10000</v>
      </c>
      <c r="BZ382">
        <v>10000</v>
      </c>
      <c r="CA382">
        <v>10000</v>
      </c>
      <c r="CB382">
        <v>10000</v>
      </c>
      <c r="CC382">
        <v>10000</v>
      </c>
      <c r="CD382">
        <v>10000</v>
      </c>
      <c r="CE382">
        <v>10000</v>
      </c>
      <c r="CF382">
        <v>10000</v>
      </c>
      <c r="CG382">
        <v>10000</v>
      </c>
      <c r="CH382">
        <v>10000</v>
      </c>
      <c r="CI382">
        <v>10000</v>
      </c>
      <c r="CJ382">
        <v>10000</v>
      </c>
      <c r="CK382">
        <v>10000</v>
      </c>
      <c r="CL382">
        <v>10000</v>
      </c>
      <c r="CM382">
        <v>10000</v>
      </c>
      <c r="CN382">
        <v>10000</v>
      </c>
      <c r="CO382">
        <v>10000</v>
      </c>
      <c r="CP382">
        <v>10000</v>
      </c>
      <c r="CQ382">
        <v>10000</v>
      </c>
      <c r="CR382">
        <v>10000</v>
      </c>
      <c r="CS382">
        <v>10000</v>
      </c>
      <c r="CT382">
        <v>10000</v>
      </c>
      <c r="CU382">
        <v>10000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row>
    <row r="383" spans="13:128" hidden="1">
      <c r="M383" s="343" t="s">
        <v>633</v>
      </c>
      <c r="N383" t="s">
        <v>1010</v>
      </c>
      <c r="O383">
        <v>2</v>
      </c>
      <c r="P383">
        <v>4</v>
      </c>
      <c r="Q383" s="184" t="str">
        <f t="shared" si="14"/>
        <v>SDJ200204</v>
      </c>
      <c r="R383">
        <v>10000</v>
      </c>
      <c r="S383">
        <v>10000</v>
      </c>
      <c r="T383">
        <v>10000</v>
      </c>
      <c r="U383">
        <v>10000</v>
      </c>
      <c r="V383">
        <v>10000</v>
      </c>
      <c r="W383">
        <v>10000</v>
      </c>
      <c r="X383">
        <v>10000</v>
      </c>
      <c r="Y383">
        <v>10000</v>
      </c>
      <c r="Z383">
        <v>10000</v>
      </c>
      <c r="AA383">
        <v>10000</v>
      </c>
      <c r="AB383">
        <v>10000</v>
      </c>
      <c r="AC383">
        <v>10000</v>
      </c>
      <c r="AD383">
        <v>10000</v>
      </c>
      <c r="AE383">
        <v>10000</v>
      </c>
      <c r="AF383">
        <v>10000</v>
      </c>
      <c r="AG383">
        <v>10000</v>
      </c>
      <c r="AH383">
        <v>10000</v>
      </c>
      <c r="AI383">
        <v>10000</v>
      </c>
      <c r="AJ383">
        <v>10000</v>
      </c>
      <c r="AK383">
        <v>10000</v>
      </c>
      <c r="AL383">
        <v>10000</v>
      </c>
      <c r="AM383">
        <v>10000</v>
      </c>
      <c r="AN383">
        <v>10000</v>
      </c>
      <c r="AO383">
        <v>10000</v>
      </c>
      <c r="AP383">
        <v>10000</v>
      </c>
      <c r="AQ383">
        <v>10000</v>
      </c>
      <c r="AR383">
        <v>10000</v>
      </c>
      <c r="AS383">
        <v>10000</v>
      </c>
      <c r="AT383">
        <v>10000</v>
      </c>
      <c r="AU383">
        <v>10000</v>
      </c>
      <c r="AV383">
        <v>10000</v>
      </c>
      <c r="AW383">
        <v>10000</v>
      </c>
      <c r="AX383">
        <v>10000</v>
      </c>
      <c r="AY383">
        <v>10000</v>
      </c>
      <c r="AZ383">
        <v>10000</v>
      </c>
      <c r="BA383">
        <v>10000</v>
      </c>
      <c r="BB383">
        <v>10000</v>
      </c>
      <c r="BC383">
        <v>10000</v>
      </c>
      <c r="BD383">
        <v>10000</v>
      </c>
      <c r="BE383">
        <v>10000</v>
      </c>
      <c r="BF383">
        <v>10000</v>
      </c>
      <c r="BG383">
        <v>10000</v>
      </c>
      <c r="BH383">
        <v>10000</v>
      </c>
      <c r="BI383">
        <v>10000</v>
      </c>
      <c r="BJ383">
        <v>10000</v>
      </c>
      <c r="BK383">
        <v>10000</v>
      </c>
      <c r="BL383">
        <v>10000</v>
      </c>
      <c r="BM383">
        <v>10000</v>
      </c>
      <c r="BN383">
        <v>10000</v>
      </c>
      <c r="BO383">
        <v>10000</v>
      </c>
      <c r="BP383">
        <v>10000</v>
      </c>
      <c r="BQ383">
        <v>10000</v>
      </c>
      <c r="BR383">
        <v>10000</v>
      </c>
      <c r="BS383">
        <v>10000</v>
      </c>
      <c r="BT383">
        <v>10000</v>
      </c>
      <c r="BU383">
        <v>10000</v>
      </c>
      <c r="BV383">
        <v>10000</v>
      </c>
      <c r="BW383">
        <v>10000</v>
      </c>
      <c r="BX383">
        <v>10000</v>
      </c>
      <c r="BY383">
        <v>10000</v>
      </c>
      <c r="BZ383">
        <v>10000</v>
      </c>
      <c r="CA383">
        <v>10000</v>
      </c>
      <c r="CB383">
        <v>10000</v>
      </c>
      <c r="CC383">
        <v>10000</v>
      </c>
      <c r="CD383">
        <v>10000</v>
      </c>
      <c r="CE383">
        <v>10000</v>
      </c>
      <c r="CF383">
        <v>10000</v>
      </c>
      <c r="CG383">
        <v>10000</v>
      </c>
      <c r="CH383">
        <v>10000</v>
      </c>
      <c r="CI383">
        <v>10000</v>
      </c>
      <c r="CJ383">
        <v>10000</v>
      </c>
      <c r="CK383">
        <v>10000</v>
      </c>
      <c r="CL383">
        <v>10000</v>
      </c>
      <c r="CM383">
        <v>10000</v>
      </c>
      <c r="CN383">
        <v>10000</v>
      </c>
      <c r="CO383">
        <v>10000</v>
      </c>
      <c r="CP383">
        <v>10000</v>
      </c>
      <c r="CQ383">
        <v>10000</v>
      </c>
      <c r="CR383">
        <v>10000</v>
      </c>
      <c r="CS383">
        <v>10000</v>
      </c>
      <c r="CT383">
        <v>10000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row>
    <row r="384" spans="13:128" hidden="1">
      <c r="M384" s="343" t="s">
        <v>633</v>
      </c>
      <c r="N384" t="s">
        <v>1010</v>
      </c>
      <c r="O384">
        <v>2</v>
      </c>
      <c r="P384">
        <v>5</v>
      </c>
      <c r="Q384" s="184" t="str">
        <f t="shared" si="14"/>
        <v>SDJ200205</v>
      </c>
      <c r="R384">
        <v>10000</v>
      </c>
      <c r="S384">
        <v>10000</v>
      </c>
      <c r="T384">
        <v>10000</v>
      </c>
      <c r="U384">
        <v>10000</v>
      </c>
      <c r="V384">
        <v>10000</v>
      </c>
      <c r="W384">
        <v>10000</v>
      </c>
      <c r="X384">
        <v>10000</v>
      </c>
      <c r="Y384">
        <v>10000</v>
      </c>
      <c r="Z384">
        <v>10000</v>
      </c>
      <c r="AA384">
        <v>10000</v>
      </c>
      <c r="AB384">
        <v>10000</v>
      </c>
      <c r="AC384">
        <v>10000</v>
      </c>
      <c r="AD384">
        <v>10000</v>
      </c>
      <c r="AE384">
        <v>10000</v>
      </c>
      <c r="AF384">
        <v>10000</v>
      </c>
      <c r="AG384">
        <v>10000</v>
      </c>
      <c r="AH384">
        <v>10000</v>
      </c>
      <c r="AI384">
        <v>10000</v>
      </c>
      <c r="AJ384">
        <v>10000</v>
      </c>
      <c r="AK384">
        <v>10000</v>
      </c>
      <c r="AL384">
        <v>10000</v>
      </c>
      <c r="AM384">
        <v>10000</v>
      </c>
      <c r="AN384">
        <v>10000</v>
      </c>
      <c r="AO384">
        <v>10000</v>
      </c>
      <c r="AP384">
        <v>10000</v>
      </c>
      <c r="AQ384">
        <v>10000</v>
      </c>
      <c r="AR384">
        <v>10000</v>
      </c>
      <c r="AS384">
        <v>10000</v>
      </c>
      <c r="AT384">
        <v>10000</v>
      </c>
      <c r="AU384">
        <v>10000</v>
      </c>
      <c r="AV384">
        <v>10000</v>
      </c>
      <c r="AW384">
        <v>10000</v>
      </c>
      <c r="AX384">
        <v>10000</v>
      </c>
      <c r="AY384">
        <v>10000</v>
      </c>
      <c r="AZ384">
        <v>10000</v>
      </c>
      <c r="BA384">
        <v>10000</v>
      </c>
      <c r="BB384">
        <v>10000</v>
      </c>
      <c r="BC384">
        <v>10000</v>
      </c>
      <c r="BD384">
        <v>10000</v>
      </c>
      <c r="BE384">
        <v>10000</v>
      </c>
      <c r="BF384">
        <v>10000</v>
      </c>
      <c r="BG384">
        <v>10000</v>
      </c>
      <c r="BH384">
        <v>10000</v>
      </c>
      <c r="BI384">
        <v>10000</v>
      </c>
      <c r="BJ384">
        <v>10000</v>
      </c>
      <c r="BK384">
        <v>10000</v>
      </c>
      <c r="BL384">
        <v>10000</v>
      </c>
      <c r="BM384">
        <v>10000</v>
      </c>
      <c r="BN384">
        <v>10000</v>
      </c>
      <c r="BO384">
        <v>10000</v>
      </c>
      <c r="BP384">
        <v>10000</v>
      </c>
      <c r="BQ384">
        <v>10000</v>
      </c>
      <c r="BR384">
        <v>10000</v>
      </c>
      <c r="BS384">
        <v>10000</v>
      </c>
      <c r="BT384">
        <v>10000</v>
      </c>
      <c r="BU384">
        <v>10000</v>
      </c>
      <c r="BV384">
        <v>10000</v>
      </c>
      <c r="BW384">
        <v>10000</v>
      </c>
      <c r="BX384">
        <v>10000</v>
      </c>
      <c r="BY384">
        <v>10000</v>
      </c>
      <c r="BZ384">
        <v>10000</v>
      </c>
      <c r="CA384">
        <v>10000</v>
      </c>
      <c r="CB384">
        <v>10000</v>
      </c>
      <c r="CC384">
        <v>10000</v>
      </c>
      <c r="CD384">
        <v>10000</v>
      </c>
      <c r="CE384">
        <v>10000</v>
      </c>
      <c r="CF384">
        <v>10000</v>
      </c>
      <c r="CG384">
        <v>10000</v>
      </c>
      <c r="CH384">
        <v>10000</v>
      </c>
      <c r="CI384">
        <v>10000</v>
      </c>
      <c r="CJ384">
        <v>10000</v>
      </c>
      <c r="CK384">
        <v>10000</v>
      </c>
      <c r="CL384">
        <v>10000</v>
      </c>
      <c r="CM384">
        <v>10000</v>
      </c>
      <c r="CN384">
        <v>10000</v>
      </c>
      <c r="CO384">
        <v>10000</v>
      </c>
      <c r="CP384">
        <v>10000</v>
      </c>
      <c r="CQ384">
        <v>10000</v>
      </c>
      <c r="CR384">
        <v>10000</v>
      </c>
      <c r="CS384">
        <v>10000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row>
    <row r="385" spans="13:128" hidden="1">
      <c r="M385" s="343" t="s">
        <v>633</v>
      </c>
      <c r="N385" t="s">
        <v>1010</v>
      </c>
      <c r="O385">
        <v>2</v>
      </c>
      <c r="P385">
        <v>6</v>
      </c>
      <c r="Q385" s="184" t="str">
        <f t="shared" si="14"/>
        <v>SDJ200206</v>
      </c>
      <c r="R385">
        <v>10000</v>
      </c>
      <c r="S385">
        <v>10000</v>
      </c>
      <c r="T385">
        <v>10000</v>
      </c>
      <c r="U385">
        <v>10000</v>
      </c>
      <c r="V385">
        <v>10000</v>
      </c>
      <c r="W385">
        <v>10000</v>
      </c>
      <c r="X385">
        <v>10000</v>
      </c>
      <c r="Y385">
        <v>10000</v>
      </c>
      <c r="Z385">
        <v>10000</v>
      </c>
      <c r="AA385">
        <v>10000</v>
      </c>
      <c r="AB385">
        <v>10000</v>
      </c>
      <c r="AC385">
        <v>10000</v>
      </c>
      <c r="AD385">
        <v>10000</v>
      </c>
      <c r="AE385">
        <v>10000</v>
      </c>
      <c r="AF385">
        <v>10000</v>
      </c>
      <c r="AG385">
        <v>10000</v>
      </c>
      <c r="AH385">
        <v>10000</v>
      </c>
      <c r="AI385">
        <v>10000</v>
      </c>
      <c r="AJ385">
        <v>10000</v>
      </c>
      <c r="AK385">
        <v>10000</v>
      </c>
      <c r="AL385">
        <v>10000</v>
      </c>
      <c r="AM385">
        <v>10000</v>
      </c>
      <c r="AN385">
        <v>10000</v>
      </c>
      <c r="AO385">
        <v>10000</v>
      </c>
      <c r="AP385">
        <v>10000</v>
      </c>
      <c r="AQ385">
        <v>10000</v>
      </c>
      <c r="AR385">
        <v>10000</v>
      </c>
      <c r="AS385">
        <v>10000</v>
      </c>
      <c r="AT385">
        <v>10000</v>
      </c>
      <c r="AU385">
        <v>10000</v>
      </c>
      <c r="AV385">
        <v>10000</v>
      </c>
      <c r="AW385">
        <v>10000</v>
      </c>
      <c r="AX385">
        <v>10000</v>
      </c>
      <c r="AY385">
        <v>10000</v>
      </c>
      <c r="AZ385">
        <v>10000</v>
      </c>
      <c r="BA385">
        <v>10000</v>
      </c>
      <c r="BB385">
        <v>10000</v>
      </c>
      <c r="BC385">
        <v>10000</v>
      </c>
      <c r="BD385">
        <v>10000</v>
      </c>
      <c r="BE385">
        <v>10000</v>
      </c>
      <c r="BF385">
        <v>10000</v>
      </c>
      <c r="BG385">
        <v>10000</v>
      </c>
      <c r="BH385">
        <v>10000</v>
      </c>
      <c r="BI385">
        <v>10000</v>
      </c>
      <c r="BJ385">
        <v>10000</v>
      </c>
      <c r="BK385">
        <v>10000</v>
      </c>
      <c r="BL385">
        <v>10000</v>
      </c>
      <c r="BM385">
        <v>10000</v>
      </c>
      <c r="BN385">
        <v>10000</v>
      </c>
      <c r="BO385">
        <v>10000</v>
      </c>
      <c r="BP385">
        <v>10000</v>
      </c>
      <c r="BQ385">
        <v>10000</v>
      </c>
      <c r="BR385">
        <v>10000</v>
      </c>
      <c r="BS385">
        <v>10000</v>
      </c>
      <c r="BT385">
        <v>10000</v>
      </c>
      <c r="BU385">
        <v>10000</v>
      </c>
      <c r="BV385">
        <v>10000</v>
      </c>
      <c r="BW385">
        <v>10000</v>
      </c>
      <c r="BX385">
        <v>10000</v>
      </c>
      <c r="BY385">
        <v>10000</v>
      </c>
      <c r="BZ385">
        <v>10000</v>
      </c>
      <c r="CA385">
        <v>10000</v>
      </c>
      <c r="CB385">
        <v>10000</v>
      </c>
      <c r="CC385">
        <v>10000</v>
      </c>
      <c r="CD385">
        <v>10000</v>
      </c>
      <c r="CE385">
        <v>10000</v>
      </c>
      <c r="CF385">
        <v>10000</v>
      </c>
      <c r="CG385">
        <v>10000</v>
      </c>
      <c r="CH385">
        <v>10000</v>
      </c>
      <c r="CI385">
        <v>10000</v>
      </c>
      <c r="CJ385">
        <v>10000</v>
      </c>
      <c r="CK385">
        <v>10000</v>
      </c>
      <c r="CL385">
        <v>10000</v>
      </c>
      <c r="CM385">
        <v>10000</v>
      </c>
      <c r="CN385">
        <v>10000</v>
      </c>
      <c r="CO385">
        <v>10000</v>
      </c>
      <c r="CP385">
        <v>10000</v>
      </c>
      <c r="CQ385">
        <v>10000</v>
      </c>
      <c r="CR385">
        <v>10000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row>
    <row r="386" spans="13:128" hidden="1">
      <c r="M386" s="343" t="s">
        <v>633</v>
      </c>
      <c r="N386" t="s">
        <v>1010</v>
      </c>
      <c r="O386">
        <v>2</v>
      </c>
      <c r="P386">
        <v>7</v>
      </c>
      <c r="Q386" s="184" t="str">
        <f t="shared" si="14"/>
        <v>SDJ200207</v>
      </c>
      <c r="R386">
        <v>10000</v>
      </c>
      <c r="S386">
        <v>10000</v>
      </c>
      <c r="T386">
        <v>10000</v>
      </c>
      <c r="U386">
        <v>10000</v>
      </c>
      <c r="V386">
        <v>10000</v>
      </c>
      <c r="W386">
        <v>10000</v>
      </c>
      <c r="X386">
        <v>10000</v>
      </c>
      <c r="Y386">
        <v>10000</v>
      </c>
      <c r="Z386">
        <v>10000</v>
      </c>
      <c r="AA386">
        <v>10000</v>
      </c>
      <c r="AB386">
        <v>10000</v>
      </c>
      <c r="AC386">
        <v>10000</v>
      </c>
      <c r="AD386">
        <v>10000</v>
      </c>
      <c r="AE386">
        <v>10000</v>
      </c>
      <c r="AF386">
        <v>10000</v>
      </c>
      <c r="AG386">
        <v>10000</v>
      </c>
      <c r="AH386">
        <v>10000</v>
      </c>
      <c r="AI386">
        <v>10000</v>
      </c>
      <c r="AJ386">
        <v>10000</v>
      </c>
      <c r="AK386">
        <v>10000</v>
      </c>
      <c r="AL386">
        <v>10000</v>
      </c>
      <c r="AM386">
        <v>10000</v>
      </c>
      <c r="AN386">
        <v>10000</v>
      </c>
      <c r="AO386">
        <v>10000</v>
      </c>
      <c r="AP386">
        <v>10000</v>
      </c>
      <c r="AQ386">
        <v>10000</v>
      </c>
      <c r="AR386">
        <v>10000</v>
      </c>
      <c r="AS386">
        <v>10000</v>
      </c>
      <c r="AT386">
        <v>10000</v>
      </c>
      <c r="AU386">
        <v>10000</v>
      </c>
      <c r="AV386">
        <v>10000</v>
      </c>
      <c r="AW386">
        <v>10000</v>
      </c>
      <c r="AX386">
        <v>10000</v>
      </c>
      <c r="AY386">
        <v>10000</v>
      </c>
      <c r="AZ386">
        <v>10000</v>
      </c>
      <c r="BA386">
        <v>10000</v>
      </c>
      <c r="BB386">
        <v>10000</v>
      </c>
      <c r="BC386">
        <v>10000</v>
      </c>
      <c r="BD386">
        <v>10000</v>
      </c>
      <c r="BE386">
        <v>10000</v>
      </c>
      <c r="BF386">
        <v>10000</v>
      </c>
      <c r="BG386">
        <v>10000</v>
      </c>
      <c r="BH386">
        <v>10000</v>
      </c>
      <c r="BI386">
        <v>10000</v>
      </c>
      <c r="BJ386">
        <v>10000</v>
      </c>
      <c r="BK386">
        <v>10000</v>
      </c>
      <c r="BL386">
        <v>10000</v>
      </c>
      <c r="BM386">
        <v>10000</v>
      </c>
      <c r="BN386">
        <v>10000</v>
      </c>
      <c r="BO386">
        <v>10000</v>
      </c>
      <c r="BP386">
        <v>10000</v>
      </c>
      <c r="BQ386">
        <v>10000</v>
      </c>
      <c r="BR386">
        <v>10000</v>
      </c>
      <c r="BS386">
        <v>10000</v>
      </c>
      <c r="BT386">
        <v>10000</v>
      </c>
      <c r="BU386">
        <v>10000</v>
      </c>
      <c r="BV386">
        <v>10000</v>
      </c>
      <c r="BW386">
        <v>10000</v>
      </c>
      <c r="BX386">
        <v>10000</v>
      </c>
      <c r="BY386">
        <v>10000</v>
      </c>
      <c r="BZ386">
        <v>10000</v>
      </c>
      <c r="CA386">
        <v>10000</v>
      </c>
      <c r="CB386">
        <v>10000</v>
      </c>
      <c r="CC386">
        <v>10000</v>
      </c>
      <c r="CD386">
        <v>10000</v>
      </c>
      <c r="CE386">
        <v>10000</v>
      </c>
      <c r="CF386">
        <v>10000</v>
      </c>
      <c r="CG386">
        <v>10000</v>
      </c>
      <c r="CH386">
        <v>10000</v>
      </c>
      <c r="CI386">
        <v>10000</v>
      </c>
      <c r="CJ386">
        <v>10000</v>
      </c>
      <c r="CK386">
        <v>10000</v>
      </c>
      <c r="CL386">
        <v>10000</v>
      </c>
      <c r="CM386">
        <v>10000</v>
      </c>
      <c r="CN386">
        <v>10000</v>
      </c>
      <c r="CO386">
        <v>10000</v>
      </c>
      <c r="CP386">
        <v>10000</v>
      </c>
      <c r="CQ386">
        <v>10000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row>
    <row r="387" spans="13:128" hidden="1">
      <c r="M387" s="343" t="s">
        <v>633</v>
      </c>
      <c r="N387" t="s">
        <v>1010</v>
      </c>
      <c r="O387">
        <v>2</v>
      </c>
      <c r="P387">
        <v>8</v>
      </c>
      <c r="Q387" s="184" t="str">
        <f t="shared" si="14"/>
        <v>SDJ200208</v>
      </c>
      <c r="R387">
        <v>10000</v>
      </c>
      <c r="S387">
        <v>10000</v>
      </c>
      <c r="T387">
        <v>10000</v>
      </c>
      <c r="U387">
        <v>10000</v>
      </c>
      <c r="V387">
        <v>10000</v>
      </c>
      <c r="W387">
        <v>10000</v>
      </c>
      <c r="X387">
        <v>10000</v>
      </c>
      <c r="Y387">
        <v>10000</v>
      </c>
      <c r="Z387">
        <v>10000</v>
      </c>
      <c r="AA387">
        <v>10000</v>
      </c>
      <c r="AB387">
        <v>10000</v>
      </c>
      <c r="AC387">
        <v>10000</v>
      </c>
      <c r="AD387">
        <v>10000</v>
      </c>
      <c r="AE387">
        <v>10000</v>
      </c>
      <c r="AF387">
        <v>10000</v>
      </c>
      <c r="AG387">
        <v>10000</v>
      </c>
      <c r="AH387">
        <v>10000</v>
      </c>
      <c r="AI387">
        <v>10000</v>
      </c>
      <c r="AJ387">
        <v>10000</v>
      </c>
      <c r="AK387">
        <v>10000</v>
      </c>
      <c r="AL387">
        <v>10000</v>
      </c>
      <c r="AM387">
        <v>10000</v>
      </c>
      <c r="AN387">
        <v>10000</v>
      </c>
      <c r="AO387">
        <v>10000</v>
      </c>
      <c r="AP387">
        <v>10000</v>
      </c>
      <c r="AQ387">
        <v>10000</v>
      </c>
      <c r="AR387">
        <v>10000</v>
      </c>
      <c r="AS387">
        <v>10000</v>
      </c>
      <c r="AT387">
        <v>10000</v>
      </c>
      <c r="AU387">
        <v>10000</v>
      </c>
      <c r="AV387">
        <v>10000</v>
      </c>
      <c r="AW387">
        <v>10000</v>
      </c>
      <c r="AX387">
        <v>10000</v>
      </c>
      <c r="AY387">
        <v>10000</v>
      </c>
      <c r="AZ387">
        <v>10000</v>
      </c>
      <c r="BA387">
        <v>10000</v>
      </c>
      <c r="BB387">
        <v>10000</v>
      </c>
      <c r="BC387">
        <v>10000</v>
      </c>
      <c r="BD387">
        <v>10000</v>
      </c>
      <c r="BE387">
        <v>10000</v>
      </c>
      <c r="BF387">
        <v>10000</v>
      </c>
      <c r="BG387">
        <v>10000</v>
      </c>
      <c r="BH387">
        <v>10000</v>
      </c>
      <c r="BI387">
        <v>10000</v>
      </c>
      <c r="BJ387">
        <v>10000</v>
      </c>
      <c r="BK387">
        <v>10000</v>
      </c>
      <c r="BL387">
        <v>10000</v>
      </c>
      <c r="BM387">
        <v>10000</v>
      </c>
      <c r="BN387">
        <v>10000</v>
      </c>
      <c r="BO387">
        <v>10000</v>
      </c>
      <c r="BP387">
        <v>10000</v>
      </c>
      <c r="BQ387">
        <v>10000</v>
      </c>
      <c r="BR387">
        <v>10000</v>
      </c>
      <c r="BS387">
        <v>10000</v>
      </c>
      <c r="BT387">
        <v>10000</v>
      </c>
      <c r="BU387">
        <v>10000</v>
      </c>
      <c r="BV387">
        <v>10000</v>
      </c>
      <c r="BW387">
        <v>10000</v>
      </c>
      <c r="BX387">
        <v>10000</v>
      </c>
      <c r="BY387">
        <v>10000</v>
      </c>
      <c r="BZ387">
        <v>10000</v>
      </c>
      <c r="CA387">
        <v>10000</v>
      </c>
      <c r="CB387">
        <v>10000</v>
      </c>
      <c r="CC387">
        <v>10000</v>
      </c>
      <c r="CD387">
        <v>10000</v>
      </c>
      <c r="CE387">
        <v>10000</v>
      </c>
      <c r="CF387">
        <v>10000</v>
      </c>
      <c r="CG387">
        <v>10000</v>
      </c>
      <c r="CH387">
        <v>10000</v>
      </c>
      <c r="CI387">
        <v>10000</v>
      </c>
      <c r="CJ387">
        <v>10000</v>
      </c>
      <c r="CK387">
        <v>10000</v>
      </c>
      <c r="CL387">
        <v>10000</v>
      </c>
      <c r="CM387">
        <v>10000</v>
      </c>
      <c r="CN387">
        <v>10000</v>
      </c>
      <c r="CO387">
        <v>10000</v>
      </c>
      <c r="CP387">
        <v>10000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row>
    <row r="388" spans="13:128" hidden="1">
      <c r="M388" s="343" t="s">
        <v>633</v>
      </c>
      <c r="N388" t="s">
        <v>1010</v>
      </c>
      <c r="O388">
        <v>2</v>
      </c>
      <c r="P388">
        <v>9</v>
      </c>
      <c r="Q388" s="184" t="str">
        <f t="shared" si="14"/>
        <v>SDJ200209</v>
      </c>
      <c r="R388">
        <v>10000</v>
      </c>
      <c r="S388">
        <v>10000</v>
      </c>
      <c r="T388">
        <v>10000</v>
      </c>
      <c r="U388">
        <v>10000</v>
      </c>
      <c r="V388">
        <v>10000</v>
      </c>
      <c r="W388">
        <v>10000</v>
      </c>
      <c r="X388">
        <v>10000</v>
      </c>
      <c r="Y388">
        <v>10000</v>
      </c>
      <c r="Z388">
        <v>10000</v>
      </c>
      <c r="AA388">
        <v>10000</v>
      </c>
      <c r="AB388">
        <v>10000</v>
      </c>
      <c r="AC388">
        <v>10000</v>
      </c>
      <c r="AD388">
        <v>10000</v>
      </c>
      <c r="AE388">
        <v>10000</v>
      </c>
      <c r="AF388">
        <v>10000</v>
      </c>
      <c r="AG388">
        <v>10000</v>
      </c>
      <c r="AH388">
        <v>10000</v>
      </c>
      <c r="AI388">
        <v>10000</v>
      </c>
      <c r="AJ388">
        <v>10000</v>
      </c>
      <c r="AK388">
        <v>10000</v>
      </c>
      <c r="AL388">
        <v>10000</v>
      </c>
      <c r="AM388">
        <v>10000</v>
      </c>
      <c r="AN388">
        <v>10000</v>
      </c>
      <c r="AO388">
        <v>10000</v>
      </c>
      <c r="AP388">
        <v>10000</v>
      </c>
      <c r="AQ388">
        <v>10000</v>
      </c>
      <c r="AR388">
        <v>10000</v>
      </c>
      <c r="AS388">
        <v>10000</v>
      </c>
      <c r="AT388">
        <v>10000</v>
      </c>
      <c r="AU388">
        <v>10000</v>
      </c>
      <c r="AV388">
        <v>10000</v>
      </c>
      <c r="AW388">
        <v>10000</v>
      </c>
      <c r="AX388">
        <v>10000</v>
      </c>
      <c r="AY388">
        <v>10000</v>
      </c>
      <c r="AZ388">
        <v>10000</v>
      </c>
      <c r="BA388">
        <v>10000</v>
      </c>
      <c r="BB388">
        <v>10000</v>
      </c>
      <c r="BC388">
        <v>10000</v>
      </c>
      <c r="BD388">
        <v>10000</v>
      </c>
      <c r="BE388">
        <v>10000</v>
      </c>
      <c r="BF388">
        <v>10000</v>
      </c>
      <c r="BG388">
        <v>10000</v>
      </c>
      <c r="BH388">
        <v>10000</v>
      </c>
      <c r="BI388">
        <v>10000</v>
      </c>
      <c r="BJ388">
        <v>10000</v>
      </c>
      <c r="BK388">
        <v>10000</v>
      </c>
      <c r="BL388">
        <v>10000</v>
      </c>
      <c r="BM388">
        <v>10000</v>
      </c>
      <c r="BN388">
        <v>10000</v>
      </c>
      <c r="BO388">
        <v>10000</v>
      </c>
      <c r="BP388">
        <v>10000</v>
      </c>
      <c r="BQ388">
        <v>10000</v>
      </c>
      <c r="BR388">
        <v>10000</v>
      </c>
      <c r="BS388">
        <v>10000</v>
      </c>
      <c r="BT388">
        <v>10000</v>
      </c>
      <c r="BU388">
        <v>10000</v>
      </c>
      <c r="BV388">
        <v>10000</v>
      </c>
      <c r="BW388">
        <v>10000</v>
      </c>
      <c r="BX388">
        <v>10000</v>
      </c>
      <c r="BY388">
        <v>10000</v>
      </c>
      <c r="BZ388">
        <v>10000</v>
      </c>
      <c r="CA388">
        <v>10000</v>
      </c>
      <c r="CB388">
        <v>10000</v>
      </c>
      <c r="CC388">
        <v>10000</v>
      </c>
      <c r="CD388">
        <v>10000</v>
      </c>
      <c r="CE388">
        <v>10000</v>
      </c>
      <c r="CF388">
        <v>10000</v>
      </c>
      <c r="CG388">
        <v>10000</v>
      </c>
      <c r="CH388">
        <v>10000</v>
      </c>
      <c r="CI388">
        <v>10000</v>
      </c>
      <c r="CJ388">
        <v>10000</v>
      </c>
      <c r="CK388">
        <v>10000</v>
      </c>
      <c r="CL388">
        <v>10000</v>
      </c>
      <c r="CM388">
        <v>10000</v>
      </c>
      <c r="CN388">
        <v>10000</v>
      </c>
      <c r="CO388">
        <v>10000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row>
    <row r="389" spans="13:128" hidden="1">
      <c r="M389" s="343" t="s">
        <v>633</v>
      </c>
      <c r="N389" t="s">
        <v>1010</v>
      </c>
      <c r="O389">
        <v>2</v>
      </c>
      <c r="P389">
        <v>10</v>
      </c>
      <c r="Q389" s="184" t="str">
        <f t="shared" si="14"/>
        <v>SDJ200210</v>
      </c>
      <c r="R389">
        <v>10000</v>
      </c>
      <c r="S389">
        <v>10000</v>
      </c>
      <c r="T389">
        <v>10000</v>
      </c>
      <c r="U389">
        <v>10000</v>
      </c>
      <c r="V389">
        <v>10000</v>
      </c>
      <c r="W389">
        <v>10000</v>
      </c>
      <c r="X389">
        <v>10000</v>
      </c>
      <c r="Y389">
        <v>10000</v>
      </c>
      <c r="Z389">
        <v>10000</v>
      </c>
      <c r="AA389">
        <v>10000</v>
      </c>
      <c r="AB389">
        <v>10000</v>
      </c>
      <c r="AC389">
        <v>10000</v>
      </c>
      <c r="AD389">
        <v>10000</v>
      </c>
      <c r="AE389">
        <v>10000</v>
      </c>
      <c r="AF389">
        <v>10000</v>
      </c>
      <c r="AG389">
        <v>10000</v>
      </c>
      <c r="AH389">
        <v>10000</v>
      </c>
      <c r="AI389">
        <v>10000</v>
      </c>
      <c r="AJ389">
        <v>10000</v>
      </c>
      <c r="AK389">
        <v>10000</v>
      </c>
      <c r="AL389">
        <v>10000</v>
      </c>
      <c r="AM389">
        <v>10000</v>
      </c>
      <c r="AN389">
        <v>10000</v>
      </c>
      <c r="AO389">
        <v>10000</v>
      </c>
      <c r="AP389">
        <v>10000</v>
      </c>
      <c r="AQ389">
        <v>10000</v>
      </c>
      <c r="AR389">
        <v>10000</v>
      </c>
      <c r="AS389">
        <v>10000</v>
      </c>
      <c r="AT389">
        <v>10000</v>
      </c>
      <c r="AU389">
        <v>10000</v>
      </c>
      <c r="AV389">
        <v>10000</v>
      </c>
      <c r="AW389">
        <v>10000</v>
      </c>
      <c r="AX389">
        <v>10000</v>
      </c>
      <c r="AY389">
        <v>10000</v>
      </c>
      <c r="AZ389">
        <v>10000</v>
      </c>
      <c r="BA389">
        <v>10000</v>
      </c>
      <c r="BB389">
        <v>10000</v>
      </c>
      <c r="BC389">
        <v>10000</v>
      </c>
      <c r="BD389">
        <v>10000</v>
      </c>
      <c r="BE389">
        <v>10000</v>
      </c>
      <c r="BF389">
        <v>10000</v>
      </c>
      <c r="BG389">
        <v>10000</v>
      </c>
      <c r="BH389">
        <v>10000</v>
      </c>
      <c r="BI389">
        <v>10000</v>
      </c>
      <c r="BJ389">
        <v>10000</v>
      </c>
      <c r="BK389">
        <v>10000</v>
      </c>
      <c r="BL389">
        <v>10000</v>
      </c>
      <c r="BM389">
        <v>10000</v>
      </c>
      <c r="BN389">
        <v>10000</v>
      </c>
      <c r="BO389">
        <v>10000</v>
      </c>
      <c r="BP389">
        <v>10000</v>
      </c>
      <c r="BQ389">
        <v>10000</v>
      </c>
      <c r="BR389">
        <v>10000</v>
      </c>
      <c r="BS389">
        <v>10000</v>
      </c>
      <c r="BT389">
        <v>10000</v>
      </c>
      <c r="BU389">
        <v>10000</v>
      </c>
      <c r="BV389">
        <v>10000</v>
      </c>
      <c r="BW389">
        <v>10000</v>
      </c>
      <c r="BX389">
        <v>10000</v>
      </c>
      <c r="BY389">
        <v>10000</v>
      </c>
      <c r="BZ389">
        <v>10000</v>
      </c>
      <c r="CA389">
        <v>10000</v>
      </c>
      <c r="CB389">
        <v>10000</v>
      </c>
      <c r="CC389">
        <v>10000</v>
      </c>
      <c r="CD389">
        <v>10000</v>
      </c>
      <c r="CE389">
        <v>10000</v>
      </c>
      <c r="CF389">
        <v>10000</v>
      </c>
      <c r="CG389">
        <v>10000</v>
      </c>
      <c r="CH389">
        <v>10000</v>
      </c>
      <c r="CI389">
        <v>10000</v>
      </c>
      <c r="CJ389">
        <v>10000</v>
      </c>
      <c r="CK389">
        <v>10000</v>
      </c>
      <c r="CL389">
        <v>10000</v>
      </c>
      <c r="CM389">
        <v>10000</v>
      </c>
      <c r="CN389">
        <v>10000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row>
    <row r="390" spans="13:128" hidden="1">
      <c r="M390" s="343" t="s">
        <v>633</v>
      </c>
      <c r="N390" t="s">
        <v>1010</v>
      </c>
      <c r="O390">
        <v>2</v>
      </c>
      <c r="P390">
        <v>11</v>
      </c>
      <c r="Q390" s="184" t="str">
        <f t="shared" ref="Q390:Q429" si="15">N390&amp;TEXT(O390,"00")&amp;TEXT(P390,"00")</f>
        <v>SDJ200211</v>
      </c>
      <c r="R390">
        <v>10000</v>
      </c>
      <c r="S390">
        <v>10000</v>
      </c>
      <c r="T390">
        <v>10000</v>
      </c>
      <c r="U390">
        <v>10000</v>
      </c>
      <c r="V390">
        <v>10000</v>
      </c>
      <c r="W390">
        <v>10000</v>
      </c>
      <c r="X390">
        <v>10000</v>
      </c>
      <c r="Y390">
        <v>10000</v>
      </c>
      <c r="Z390">
        <v>10000</v>
      </c>
      <c r="AA390">
        <v>10000</v>
      </c>
      <c r="AB390">
        <v>10000</v>
      </c>
      <c r="AC390">
        <v>10000</v>
      </c>
      <c r="AD390">
        <v>10000</v>
      </c>
      <c r="AE390">
        <v>10000</v>
      </c>
      <c r="AF390">
        <v>10000</v>
      </c>
      <c r="AG390">
        <v>10000</v>
      </c>
      <c r="AH390">
        <v>10000</v>
      </c>
      <c r="AI390">
        <v>10000</v>
      </c>
      <c r="AJ390">
        <v>10000</v>
      </c>
      <c r="AK390">
        <v>10000</v>
      </c>
      <c r="AL390">
        <v>10000</v>
      </c>
      <c r="AM390">
        <v>10000</v>
      </c>
      <c r="AN390">
        <v>10000</v>
      </c>
      <c r="AO390">
        <v>10000</v>
      </c>
      <c r="AP390">
        <v>10000</v>
      </c>
      <c r="AQ390">
        <v>10000</v>
      </c>
      <c r="AR390">
        <v>10000</v>
      </c>
      <c r="AS390">
        <v>10000</v>
      </c>
      <c r="AT390">
        <v>10000</v>
      </c>
      <c r="AU390">
        <v>10000</v>
      </c>
      <c r="AV390">
        <v>10000</v>
      </c>
      <c r="AW390">
        <v>10000</v>
      </c>
      <c r="AX390">
        <v>10000</v>
      </c>
      <c r="AY390">
        <v>10000</v>
      </c>
      <c r="AZ390">
        <v>10000</v>
      </c>
      <c r="BA390">
        <v>10000</v>
      </c>
      <c r="BB390">
        <v>10000</v>
      </c>
      <c r="BC390">
        <v>10000</v>
      </c>
      <c r="BD390">
        <v>10000</v>
      </c>
      <c r="BE390">
        <v>10000</v>
      </c>
      <c r="BF390">
        <v>10000</v>
      </c>
      <c r="BG390">
        <v>10000</v>
      </c>
      <c r="BH390">
        <v>10000</v>
      </c>
      <c r="BI390">
        <v>10000</v>
      </c>
      <c r="BJ390">
        <v>10000</v>
      </c>
      <c r="BK390">
        <v>10000</v>
      </c>
      <c r="BL390">
        <v>10000</v>
      </c>
      <c r="BM390">
        <v>10000</v>
      </c>
      <c r="BN390">
        <v>10000</v>
      </c>
      <c r="BO390">
        <v>10000</v>
      </c>
      <c r="BP390">
        <v>10000</v>
      </c>
      <c r="BQ390">
        <v>10000</v>
      </c>
      <c r="BR390">
        <v>10000</v>
      </c>
      <c r="BS390">
        <v>10000</v>
      </c>
      <c r="BT390">
        <v>10000</v>
      </c>
      <c r="BU390">
        <v>10000</v>
      </c>
      <c r="BV390">
        <v>10000</v>
      </c>
      <c r="BW390">
        <v>10000</v>
      </c>
      <c r="BX390">
        <v>10000</v>
      </c>
      <c r="BY390">
        <v>10000</v>
      </c>
      <c r="BZ390">
        <v>10000</v>
      </c>
      <c r="CA390">
        <v>10000</v>
      </c>
      <c r="CB390">
        <v>10000</v>
      </c>
      <c r="CC390">
        <v>10000</v>
      </c>
      <c r="CD390">
        <v>10000</v>
      </c>
      <c r="CE390">
        <v>10000</v>
      </c>
      <c r="CF390">
        <v>10000</v>
      </c>
      <c r="CG390">
        <v>10000</v>
      </c>
      <c r="CH390">
        <v>10000</v>
      </c>
      <c r="CI390">
        <v>10000</v>
      </c>
      <c r="CJ390">
        <v>10000</v>
      </c>
      <c r="CK390">
        <v>10000</v>
      </c>
      <c r="CL390">
        <v>10000</v>
      </c>
      <c r="CM390">
        <v>10000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row>
    <row r="391" spans="13:128" hidden="1">
      <c r="M391" s="343" t="s">
        <v>633</v>
      </c>
      <c r="N391" t="s">
        <v>1010</v>
      </c>
      <c r="O391">
        <v>2</v>
      </c>
      <c r="P391">
        <v>12</v>
      </c>
      <c r="Q391" s="184" t="str">
        <f t="shared" si="15"/>
        <v>SDJ200212</v>
      </c>
      <c r="R391">
        <v>10000</v>
      </c>
      <c r="S391">
        <v>10000</v>
      </c>
      <c r="T391">
        <v>10000</v>
      </c>
      <c r="U391">
        <v>10000</v>
      </c>
      <c r="V391">
        <v>10000</v>
      </c>
      <c r="W391">
        <v>10000</v>
      </c>
      <c r="X391">
        <v>10000</v>
      </c>
      <c r="Y391">
        <v>10000</v>
      </c>
      <c r="Z391">
        <v>10000</v>
      </c>
      <c r="AA391">
        <v>10000</v>
      </c>
      <c r="AB391">
        <v>10000</v>
      </c>
      <c r="AC391">
        <v>10000</v>
      </c>
      <c r="AD391">
        <v>10000</v>
      </c>
      <c r="AE391">
        <v>10000</v>
      </c>
      <c r="AF391">
        <v>10000</v>
      </c>
      <c r="AG391">
        <v>10000</v>
      </c>
      <c r="AH391">
        <v>10000</v>
      </c>
      <c r="AI391">
        <v>10000</v>
      </c>
      <c r="AJ391">
        <v>10000</v>
      </c>
      <c r="AK391">
        <v>10000</v>
      </c>
      <c r="AL391">
        <v>10000</v>
      </c>
      <c r="AM391">
        <v>10000</v>
      </c>
      <c r="AN391">
        <v>10000</v>
      </c>
      <c r="AO391">
        <v>10000</v>
      </c>
      <c r="AP391">
        <v>10000</v>
      </c>
      <c r="AQ391">
        <v>10000</v>
      </c>
      <c r="AR391">
        <v>10000</v>
      </c>
      <c r="AS391">
        <v>10000</v>
      </c>
      <c r="AT391">
        <v>10000</v>
      </c>
      <c r="AU391">
        <v>10000</v>
      </c>
      <c r="AV391">
        <v>10000</v>
      </c>
      <c r="AW391">
        <v>10000</v>
      </c>
      <c r="AX391">
        <v>10000</v>
      </c>
      <c r="AY391">
        <v>10000</v>
      </c>
      <c r="AZ391">
        <v>10000</v>
      </c>
      <c r="BA391">
        <v>10000</v>
      </c>
      <c r="BB391">
        <v>10000</v>
      </c>
      <c r="BC391">
        <v>10000</v>
      </c>
      <c r="BD391">
        <v>10000</v>
      </c>
      <c r="BE391">
        <v>10000</v>
      </c>
      <c r="BF391">
        <v>10000</v>
      </c>
      <c r="BG391">
        <v>10000</v>
      </c>
      <c r="BH391">
        <v>10000</v>
      </c>
      <c r="BI391">
        <v>10000</v>
      </c>
      <c r="BJ391">
        <v>10000</v>
      </c>
      <c r="BK391">
        <v>10000</v>
      </c>
      <c r="BL391">
        <v>10000</v>
      </c>
      <c r="BM391">
        <v>10000</v>
      </c>
      <c r="BN391">
        <v>10000</v>
      </c>
      <c r="BO391">
        <v>10000</v>
      </c>
      <c r="BP391">
        <v>10000</v>
      </c>
      <c r="BQ391">
        <v>10000</v>
      </c>
      <c r="BR391">
        <v>10000</v>
      </c>
      <c r="BS391">
        <v>10000</v>
      </c>
      <c r="BT391">
        <v>10000</v>
      </c>
      <c r="BU391">
        <v>10000</v>
      </c>
      <c r="BV391">
        <v>10000</v>
      </c>
      <c r="BW391">
        <v>10000</v>
      </c>
      <c r="BX391">
        <v>10000</v>
      </c>
      <c r="BY391">
        <v>10000</v>
      </c>
      <c r="BZ391">
        <v>10000</v>
      </c>
      <c r="CA391">
        <v>10000</v>
      </c>
      <c r="CB391">
        <v>10000</v>
      </c>
      <c r="CC391">
        <v>10000</v>
      </c>
      <c r="CD391">
        <v>10000</v>
      </c>
      <c r="CE391">
        <v>10000</v>
      </c>
      <c r="CF391">
        <v>10000</v>
      </c>
      <c r="CG391">
        <v>10000</v>
      </c>
      <c r="CH391">
        <v>10000</v>
      </c>
      <c r="CI391">
        <v>10000</v>
      </c>
      <c r="CJ391">
        <v>10000</v>
      </c>
      <c r="CK391">
        <v>10000</v>
      </c>
      <c r="CL391">
        <v>10000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row>
    <row r="392" spans="13:128" hidden="1">
      <c r="M392" s="343" t="s">
        <v>633</v>
      </c>
      <c r="N392" t="s">
        <v>1010</v>
      </c>
      <c r="O392">
        <v>2</v>
      </c>
      <c r="P392">
        <v>13</v>
      </c>
      <c r="Q392" s="184" t="str">
        <f t="shared" si="15"/>
        <v>SDJ200213</v>
      </c>
      <c r="R392">
        <v>10000</v>
      </c>
      <c r="S392">
        <v>10000</v>
      </c>
      <c r="T392">
        <v>10000</v>
      </c>
      <c r="U392">
        <v>10000</v>
      </c>
      <c r="V392">
        <v>10000</v>
      </c>
      <c r="W392">
        <v>10000</v>
      </c>
      <c r="X392">
        <v>10000</v>
      </c>
      <c r="Y392">
        <v>10000</v>
      </c>
      <c r="Z392">
        <v>10000</v>
      </c>
      <c r="AA392">
        <v>10000</v>
      </c>
      <c r="AB392">
        <v>10000</v>
      </c>
      <c r="AC392">
        <v>10000</v>
      </c>
      <c r="AD392">
        <v>10000</v>
      </c>
      <c r="AE392">
        <v>10000</v>
      </c>
      <c r="AF392">
        <v>10000</v>
      </c>
      <c r="AG392">
        <v>10000</v>
      </c>
      <c r="AH392">
        <v>10000</v>
      </c>
      <c r="AI392">
        <v>10000</v>
      </c>
      <c r="AJ392">
        <v>10000</v>
      </c>
      <c r="AK392">
        <v>10000</v>
      </c>
      <c r="AL392">
        <v>10000</v>
      </c>
      <c r="AM392">
        <v>10000</v>
      </c>
      <c r="AN392">
        <v>10000</v>
      </c>
      <c r="AO392">
        <v>10000</v>
      </c>
      <c r="AP392">
        <v>10000</v>
      </c>
      <c r="AQ392">
        <v>10000</v>
      </c>
      <c r="AR392">
        <v>10000</v>
      </c>
      <c r="AS392">
        <v>10000</v>
      </c>
      <c r="AT392">
        <v>10000</v>
      </c>
      <c r="AU392">
        <v>10000</v>
      </c>
      <c r="AV392">
        <v>10000</v>
      </c>
      <c r="AW392">
        <v>10000</v>
      </c>
      <c r="AX392">
        <v>10000</v>
      </c>
      <c r="AY392">
        <v>10000</v>
      </c>
      <c r="AZ392">
        <v>10000</v>
      </c>
      <c r="BA392">
        <v>10000</v>
      </c>
      <c r="BB392">
        <v>10000</v>
      </c>
      <c r="BC392">
        <v>10000</v>
      </c>
      <c r="BD392">
        <v>10000</v>
      </c>
      <c r="BE392">
        <v>10000</v>
      </c>
      <c r="BF392">
        <v>10000</v>
      </c>
      <c r="BG392">
        <v>10000</v>
      </c>
      <c r="BH392">
        <v>10000</v>
      </c>
      <c r="BI392">
        <v>10000</v>
      </c>
      <c r="BJ392">
        <v>10000</v>
      </c>
      <c r="BK392">
        <v>10000</v>
      </c>
      <c r="BL392">
        <v>10000</v>
      </c>
      <c r="BM392">
        <v>10000</v>
      </c>
      <c r="BN392">
        <v>10000</v>
      </c>
      <c r="BO392">
        <v>10000</v>
      </c>
      <c r="BP392">
        <v>10000</v>
      </c>
      <c r="BQ392">
        <v>10000</v>
      </c>
      <c r="BR392">
        <v>10000</v>
      </c>
      <c r="BS392">
        <v>10000</v>
      </c>
      <c r="BT392">
        <v>10000</v>
      </c>
      <c r="BU392">
        <v>10000</v>
      </c>
      <c r="BV392">
        <v>10000</v>
      </c>
      <c r="BW392">
        <v>10000</v>
      </c>
      <c r="BX392">
        <v>10000</v>
      </c>
      <c r="BY392">
        <v>10000</v>
      </c>
      <c r="BZ392">
        <v>10000</v>
      </c>
      <c r="CA392">
        <v>10000</v>
      </c>
      <c r="CB392">
        <v>10000</v>
      </c>
      <c r="CC392">
        <v>10000</v>
      </c>
      <c r="CD392">
        <v>10000</v>
      </c>
      <c r="CE392">
        <v>10000</v>
      </c>
      <c r="CF392">
        <v>10000</v>
      </c>
      <c r="CG392">
        <v>10000</v>
      </c>
      <c r="CH392">
        <v>10000</v>
      </c>
      <c r="CI392">
        <v>10000</v>
      </c>
      <c r="CJ392">
        <v>10000</v>
      </c>
      <c r="CK392">
        <v>10000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0</v>
      </c>
      <c r="DW392">
        <v>0</v>
      </c>
      <c r="DX392">
        <v>0</v>
      </c>
    </row>
    <row r="393" spans="13:128" hidden="1">
      <c r="M393" s="343" t="s">
        <v>633</v>
      </c>
      <c r="N393" t="s">
        <v>1010</v>
      </c>
      <c r="O393">
        <v>2</v>
      </c>
      <c r="P393">
        <v>14</v>
      </c>
      <c r="Q393" s="184" t="str">
        <f t="shared" si="15"/>
        <v>SDJ200214</v>
      </c>
      <c r="R393">
        <v>10000</v>
      </c>
      <c r="S393">
        <v>10000</v>
      </c>
      <c r="T393">
        <v>10000</v>
      </c>
      <c r="U393">
        <v>10000</v>
      </c>
      <c r="V393">
        <v>10000</v>
      </c>
      <c r="W393">
        <v>10000</v>
      </c>
      <c r="X393">
        <v>10000</v>
      </c>
      <c r="Y393">
        <v>10000</v>
      </c>
      <c r="Z393">
        <v>10000</v>
      </c>
      <c r="AA393">
        <v>10000</v>
      </c>
      <c r="AB393">
        <v>10000</v>
      </c>
      <c r="AC393">
        <v>10000</v>
      </c>
      <c r="AD393">
        <v>10000</v>
      </c>
      <c r="AE393">
        <v>10000</v>
      </c>
      <c r="AF393">
        <v>10000</v>
      </c>
      <c r="AG393">
        <v>10000</v>
      </c>
      <c r="AH393">
        <v>10000</v>
      </c>
      <c r="AI393">
        <v>10000</v>
      </c>
      <c r="AJ393">
        <v>10000</v>
      </c>
      <c r="AK393">
        <v>10000</v>
      </c>
      <c r="AL393">
        <v>10000</v>
      </c>
      <c r="AM393">
        <v>10000</v>
      </c>
      <c r="AN393">
        <v>10000</v>
      </c>
      <c r="AO393">
        <v>10000</v>
      </c>
      <c r="AP393">
        <v>10000</v>
      </c>
      <c r="AQ393">
        <v>10000</v>
      </c>
      <c r="AR393">
        <v>10000</v>
      </c>
      <c r="AS393">
        <v>10000</v>
      </c>
      <c r="AT393">
        <v>10000</v>
      </c>
      <c r="AU393">
        <v>10000</v>
      </c>
      <c r="AV393">
        <v>10000</v>
      </c>
      <c r="AW393">
        <v>10000</v>
      </c>
      <c r="AX393">
        <v>10000</v>
      </c>
      <c r="AY393">
        <v>10000</v>
      </c>
      <c r="AZ393">
        <v>10000</v>
      </c>
      <c r="BA393">
        <v>10000</v>
      </c>
      <c r="BB393">
        <v>10000</v>
      </c>
      <c r="BC393">
        <v>10000</v>
      </c>
      <c r="BD393">
        <v>10000</v>
      </c>
      <c r="BE393">
        <v>10000</v>
      </c>
      <c r="BF393">
        <v>10000</v>
      </c>
      <c r="BG393">
        <v>10000</v>
      </c>
      <c r="BH393">
        <v>10000</v>
      </c>
      <c r="BI393">
        <v>10000</v>
      </c>
      <c r="BJ393">
        <v>10000</v>
      </c>
      <c r="BK393">
        <v>10000</v>
      </c>
      <c r="BL393">
        <v>10000</v>
      </c>
      <c r="BM393">
        <v>10000</v>
      </c>
      <c r="BN393">
        <v>10000</v>
      </c>
      <c r="BO393">
        <v>10000</v>
      </c>
      <c r="BP393">
        <v>10000</v>
      </c>
      <c r="BQ393">
        <v>10000</v>
      </c>
      <c r="BR393">
        <v>10000</v>
      </c>
      <c r="BS393">
        <v>10000</v>
      </c>
      <c r="BT393">
        <v>10000</v>
      </c>
      <c r="BU393">
        <v>10000</v>
      </c>
      <c r="BV393">
        <v>10000</v>
      </c>
      <c r="BW393">
        <v>10000</v>
      </c>
      <c r="BX393">
        <v>10000</v>
      </c>
      <c r="BY393">
        <v>10000</v>
      </c>
      <c r="BZ393">
        <v>10000</v>
      </c>
      <c r="CA393">
        <v>10000</v>
      </c>
      <c r="CB393">
        <v>10000</v>
      </c>
      <c r="CC393">
        <v>10000</v>
      </c>
      <c r="CD393">
        <v>10000</v>
      </c>
      <c r="CE393">
        <v>10000</v>
      </c>
      <c r="CF393">
        <v>10000</v>
      </c>
      <c r="CG393">
        <v>10000</v>
      </c>
      <c r="CH393">
        <v>10000</v>
      </c>
      <c r="CI393">
        <v>10000</v>
      </c>
      <c r="CJ393">
        <v>10000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row>
    <row r="394" spans="13:128" hidden="1">
      <c r="M394" s="343" t="s">
        <v>633</v>
      </c>
      <c r="N394" t="s">
        <v>1010</v>
      </c>
      <c r="O394">
        <v>2</v>
      </c>
      <c r="P394">
        <v>15</v>
      </c>
      <c r="Q394" s="184" t="str">
        <f t="shared" si="15"/>
        <v>SDJ200215</v>
      </c>
      <c r="R394">
        <v>10000</v>
      </c>
      <c r="S394">
        <v>10000</v>
      </c>
      <c r="T394">
        <v>10000</v>
      </c>
      <c r="U394">
        <v>10000</v>
      </c>
      <c r="V394">
        <v>10000</v>
      </c>
      <c r="W394">
        <v>10000</v>
      </c>
      <c r="X394">
        <v>10000</v>
      </c>
      <c r="Y394">
        <v>10000</v>
      </c>
      <c r="Z394">
        <v>10000</v>
      </c>
      <c r="AA394">
        <v>10000</v>
      </c>
      <c r="AB394">
        <v>10000</v>
      </c>
      <c r="AC394">
        <v>10000</v>
      </c>
      <c r="AD394">
        <v>10000</v>
      </c>
      <c r="AE394">
        <v>10000</v>
      </c>
      <c r="AF394">
        <v>10000</v>
      </c>
      <c r="AG394">
        <v>10000</v>
      </c>
      <c r="AH394">
        <v>10000</v>
      </c>
      <c r="AI394">
        <v>10000</v>
      </c>
      <c r="AJ394">
        <v>10000</v>
      </c>
      <c r="AK394">
        <v>10000</v>
      </c>
      <c r="AL394">
        <v>10000</v>
      </c>
      <c r="AM394">
        <v>10000</v>
      </c>
      <c r="AN394">
        <v>10000</v>
      </c>
      <c r="AO394">
        <v>10000</v>
      </c>
      <c r="AP394">
        <v>10000</v>
      </c>
      <c r="AQ394">
        <v>10000</v>
      </c>
      <c r="AR394">
        <v>10000</v>
      </c>
      <c r="AS394">
        <v>10000</v>
      </c>
      <c r="AT394">
        <v>10000</v>
      </c>
      <c r="AU394">
        <v>10000</v>
      </c>
      <c r="AV394">
        <v>10000</v>
      </c>
      <c r="AW394">
        <v>10000</v>
      </c>
      <c r="AX394">
        <v>10000</v>
      </c>
      <c r="AY394">
        <v>10000</v>
      </c>
      <c r="AZ394">
        <v>10000</v>
      </c>
      <c r="BA394">
        <v>10000</v>
      </c>
      <c r="BB394">
        <v>10000</v>
      </c>
      <c r="BC394">
        <v>10000</v>
      </c>
      <c r="BD394">
        <v>10000</v>
      </c>
      <c r="BE394">
        <v>10000</v>
      </c>
      <c r="BF394">
        <v>10000</v>
      </c>
      <c r="BG394">
        <v>10000</v>
      </c>
      <c r="BH394">
        <v>10000</v>
      </c>
      <c r="BI394">
        <v>10000</v>
      </c>
      <c r="BJ394">
        <v>10000</v>
      </c>
      <c r="BK394">
        <v>10000</v>
      </c>
      <c r="BL394">
        <v>10000</v>
      </c>
      <c r="BM394">
        <v>10000</v>
      </c>
      <c r="BN394">
        <v>10000</v>
      </c>
      <c r="BO394">
        <v>10000</v>
      </c>
      <c r="BP394">
        <v>10000</v>
      </c>
      <c r="BQ394">
        <v>10000</v>
      </c>
      <c r="BR394">
        <v>10000</v>
      </c>
      <c r="BS394">
        <v>10000</v>
      </c>
      <c r="BT394">
        <v>10000</v>
      </c>
      <c r="BU394">
        <v>10000</v>
      </c>
      <c r="BV394">
        <v>10000</v>
      </c>
      <c r="BW394">
        <v>10000</v>
      </c>
      <c r="BX394">
        <v>10000</v>
      </c>
      <c r="BY394">
        <v>10000</v>
      </c>
      <c r="BZ394">
        <v>10000</v>
      </c>
      <c r="CA394">
        <v>10000</v>
      </c>
      <c r="CB394">
        <v>10000</v>
      </c>
      <c r="CC394">
        <v>10000</v>
      </c>
      <c r="CD394">
        <v>10000</v>
      </c>
      <c r="CE394">
        <v>10000</v>
      </c>
      <c r="CF394">
        <v>10000</v>
      </c>
      <c r="CG394">
        <v>10000</v>
      </c>
      <c r="CH394">
        <v>10000</v>
      </c>
      <c r="CI394">
        <v>10000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0</v>
      </c>
      <c r="DX394">
        <v>0</v>
      </c>
    </row>
    <row r="395" spans="13:128" hidden="1">
      <c r="M395" s="343" t="s">
        <v>633</v>
      </c>
      <c r="N395" t="s">
        <v>1010</v>
      </c>
      <c r="O395">
        <v>2</v>
      </c>
      <c r="P395">
        <v>16</v>
      </c>
      <c r="Q395" s="184" t="str">
        <f t="shared" si="15"/>
        <v>SDJ200216</v>
      </c>
      <c r="R395">
        <v>10000</v>
      </c>
      <c r="S395">
        <v>10000</v>
      </c>
      <c r="T395">
        <v>10000</v>
      </c>
      <c r="U395">
        <v>10000</v>
      </c>
      <c r="V395">
        <v>10000</v>
      </c>
      <c r="W395">
        <v>10000</v>
      </c>
      <c r="X395">
        <v>10000</v>
      </c>
      <c r="Y395">
        <v>10000</v>
      </c>
      <c r="Z395">
        <v>10000</v>
      </c>
      <c r="AA395">
        <v>10000</v>
      </c>
      <c r="AB395">
        <v>10000</v>
      </c>
      <c r="AC395">
        <v>10000</v>
      </c>
      <c r="AD395">
        <v>10000</v>
      </c>
      <c r="AE395">
        <v>10000</v>
      </c>
      <c r="AF395">
        <v>10000</v>
      </c>
      <c r="AG395">
        <v>10000</v>
      </c>
      <c r="AH395">
        <v>10000</v>
      </c>
      <c r="AI395">
        <v>10000</v>
      </c>
      <c r="AJ395">
        <v>10000</v>
      </c>
      <c r="AK395">
        <v>10000</v>
      </c>
      <c r="AL395">
        <v>10000</v>
      </c>
      <c r="AM395">
        <v>10000</v>
      </c>
      <c r="AN395">
        <v>10000</v>
      </c>
      <c r="AO395">
        <v>10000</v>
      </c>
      <c r="AP395">
        <v>10000</v>
      </c>
      <c r="AQ395">
        <v>10000</v>
      </c>
      <c r="AR395">
        <v>10000</v>
      </c>
      <c r="AS395">
        <v>10000</v>
      </c>
      <c r="AT395">
        <v>10000</v>
      </c>
      <c r="AU395">
        <v>10000</v>
      </c>
      <c r="AV395">
        <v>10000</v>
      </c>
      <c r="AW395">
        <v>10000</v>
      </c>
      <c r="AX395">
        <v>10000</v>
      </c>
      <c r="AY395">
        <v>10000</v>
      </c>
      <c r="AZ395">
        <v>10000</v>
      </c>
      <c r="BA395">
        <v>10000</v>
      </c>
      <c r="BB395">
        <v>10000</v>
      </c>
      <c r="BC395">
        <v>10000</v>
      </c>
      <c r="BD395">
        <v>10000</v>
      </c>
      <c r="BE395">
        <v>10000</v>
      </c>
      <c r="BF395">
        <v>10000</v>
      </c>
      <c r="BG395">
        <v>10000</v>
      </c>
      <c r="BH395">
        <v>10000</v>
      </c>
      <c r="BI395">
        <v>10000</v>
      </c>
      <c r="BJ395">
        <v>10000</v>
      </c>
      <c r="BK395">
        <v>10000</v>
      </c>
      <c r="BL395">
        <v>10000</v>
      </c>
      <c r="BM395">
        <v>10000</v>
      </c>
      <c r="BN395">
        <v>10000</v>
      </c>
      <c r="BO395">
        <v>10000</v>
      </c>
      <c r="BP395">
        <v>10000</v>
      </c>
      <c r="BQ395">
        <v>10000</v>
      </c>
      <c r="BR395">
        <v>10000</v>
      </c>
      <c r="BS395">
        <v>10000</v>
      </c>
      <c r="BT395">
        <v>10000</v>
      </c>
      <c r="BU395">
        <v>10000</v>
      </c>
      <c r="BV395">
        <v>10000</v>
      </c>
      <c r="BW395">
        <v>10000</v>
      </c>
      <c r="BX395">
        <v>10000</v>
      </c>
      <c r="BY395">
        <v>10000</v>
      </c>
      <c r="BZ395">
        <v>10000</v>
      </c>
      <c r="CA395">
        <v>10000</v>
      </c>
      <c r="CB395">
        <v>10000</v>
      </c>
      <c r="CC395">
        <v>10000</v>
      </c>
      <c r="CD395">
        <v>10000</v>
      </c>
      <c r="CE395">
        <v>10000</v>
      </c>
      <c r="CF395">
        <v>10000</v>
      </c>
      <c r="CG395">
        <v>10000</v>
      </c>
      <c r="CH395">
        <v>10000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v>0</v>
      </c>
      <c r="DW395">
        <v>0</v>
      </c>
      <c r="DX395">
        <v>0</v>
      </c>
    </row>
    <row r="396" spans="13:128" hidden="1">
      <c r="M396" s="343" t="s">
        <v>633</v>
      </c>
      <c r="N396" t="s">
        <v>1010</v>
      </c>
      <c r="O396">
        <v>2</v>
      </c>
      <c r="P396">
        <v>17</v>
      </c>
      <c r="Q396" s="184" t="str">
        <f t="shared" si="15"/>
        <v>SDJ200217</v>
      </c>
      <c r="R396">
        <v>10000</v>
      </c>
      <c r="S396">
        <v>10000</v>
      </c>
      <c r="T396">
        <v>10000</v>
      </c>
      <c r="U396">
        <v>10000</v>
      </c>
      <c r="V396">
        <v>10000</v>
      </c>
      <c r="W396">
        <v>10000</v>
      </c>
      <c r="X396">
        <v>10000</v>
      </c>
      <c r="Y396">
        <v>10000</v>
      </c>
      <c r="Z396">
        <v>10000</v>
      </c>
      <c r="AA396">
        <v>10000</v>
      </c>
      <c r="AB396">
        <v>10000</v>
      </c>
      <c r="AC396">
        <v>10000</v>
      </c>
      <c r="AD396">
        <v>10000</v>
      </c>
      <c r="AE396">
        <v>10000</v>
      </c>
      <c r="AF396">
        <v>10000</v>
      </c>
      <c r="AG396">
        <v>10000</v>
      </c>
      <c r="AH396">
        <v>10000</v>
      </c>
      <c r="AI396">
        <v>10000</v>
      </c>
      <c r="AJ396">
        <v>10000</v>
      </c>
      <c r="AK396">
        <v>10000</v>
      </c>
      <c r="AL396">
        <v>10000</v>
      </c>
      <c r="AM396">
        <v>10000</v>
      </c>
      <c r="AN396">
        <v>10000</v>
      </c>
      <c r="AO396">
        <v>10000</v>
      </c>
      <c r="AP396">
        <v>10000</v>
      </c>
      <c r="AQ396">
        <v>10000</v>
      </c>
      <c r="AR396">
        <v>10000</v>
      </c>
      <c r="AS396">
        <v>10000</v>
      </c>
      <c r="AT396">
        <v>10000</v>
      </c>
      <c r="AU396">
        <v>10000</v>
      </c>
      <c r="AV396">
        <v>10000</v>
      </c>
      <c r="AW396">
        <v>10000</v>
      </c>
      <c r="AX396">
        <v>10000</v>
      </c>
      <c r="AY396">
        <v>10000</v>
      </c>
      <c r="AZ396">
        <v>10000</v>
      </c>
      <c r="BA396">
        <v>10000</v>
      </c>
      <c r="BB396">
        <v>10000</v>
      </c>
      <c r="BC396">
        <v>10000</v>
      </c>
      <c r="BD396">
        <v>10000</v>
      </c>
      <c r="BE396">
        <v>10000</v>
      </c>
      <c r="BF396">
        <v>10000</v>
      </c>
      <c r="BG396">
        <v>10000</v>
      </c>
      <c r="BH396">
        <v>10000</v>
      </c>
      <c r="BI396">
        <v>10000</v>
      </c>
      <c r="BJ396">
        <v>10000</v>
      </c>
      <c r="BK396">
        <v>10000</v>
      </c>
      <c r="BL396">
        <v>10000</v>
      </c>
      <c r="BM396">
        <v>10000</v>
      </c>
      <c r="BN396">
        <v>10000</v>
      </c>
      <c r="BO396">
        <v>10000</v>
      </c>
      <c r="BP396">
        <v>10000</v>
      </c>
      <c r="BQ396">
        <v>10000</v>
      </c>
      <c r="BR396">
        <v>10000</v>
      </c>
      <c r="BS396">
        <v>10000</v>
      </c>
      <c r="BT396">
        <v>10000</v>
      </c>
      <c r="BU396">
        <v>10000</v>
      </c>
      <c r="BV396">
        <v>10000</v>
      </c>
      <c r="BW396">
        <v>10000</v>
      </c>
      <c r="BX396">
        <v>10000</v>
      </c>
      <c r="BY396">
        <v>10000</v>
      </c>
      <c r="BZ396">
        <v>10000</v>
      </c>
      <c r="CA396">
        <v>10000</v>
      </c>
      <c r="CB396">
        <v>10000</v>
      </c>
      <c r="CC396">
        <v>10000</v>
      </c>
      <c r="CD396">
        <v>10000</v>
      </c>
      <c r="CE396">
        <v>10000</v>
      </c>
      <c r="CF396">
        <v>10000</v>
      </c>
      <c r="CG396">
        <v>10000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row>
    <row r="397" spans="13:128" hidden="1">
      <c r="M397" s="343" t="s">
        <v>633</v>
      </c>
      <c r="N397" t="s">
        <v>1010</v>
      </c>
      <c r="O397">
        <v>2</v>
      </c>
      <c r="P397">
        <v>18</v>
      </c>
      <c r="Q397" s="184" t="str">
        <f t="shared" si="15"/>
        <v>SDJ200218</v>
      </c>
      <c r="R397">
        <v>10000</v>
      </c>
      <c r="S397">
        <v>10000</v>
      </c>
      <c r="T397">
        <v>10000</v>
      </c>
      <c r="U397">
        <v>10000</v>
      </c>
      <c r="V397">
        <v>10000</v>
      </c>
      <c r="W397">
        <v>10000</v>
      </c>
      <c r="X397">
        <v>10000</v>
      </c>
      <c r="Y397">
        <v>10000</v>
      </c>
      <c r="Z397">
        <v>10000</v>
      </c>
      <c r="AA397">
        <v>10000</v>
      </c>
      <c r="AB397">
        <v>10000</v>
      </c>
      <c r="AC397">
        <v>10000</v>
      </c>
      <c r="AD397">
        <v>10000</v>
      </c>
      <c r="AE397">
        <v>10000</v>
      </c>
      <c r="AF397">
        <v>10000</v>
      </c>
      <c r="AG397">
        <v>10000</v>
      </c>
      <c r="AH397">
        <v>10000</v>
      </c>
      <c r="AI397">
        <v>10000</v>
      </c>
      <c r="AJ397">
        <v>10000</v>
      </c>
      <c r="AK397">
        <v>10000</v>
      </c>
      <c r="AL397">
        <v>10000</v>
      </c>
      <c r="AM397">
        <v>10000</v>
      </c>
      <c r="AN397">
        <v>10000</v>
      </c>
      <c r="AO397">
        <v>10000</v>
      </c>
      <c r="AP397">
        <v>10000</v>
      </c>
      <c r="AQ397">
        <v>10000</v>
      </c>
      <c r="AR397">
        <v>10000</v>
      </c>
      <c r="AS397">
        <v>10000</v>
      </c>
      <c r="AT397">
        <v>10000</v>
      </c>
      <c r="AU397">
        <v>10000</v>
      </c>
      <c r="AV397">
        <v>10000</v>
      </c>
      <c r="AW397">
        <v>10000</v>
      </c>
      <c r="AX397">
        <v>10000</v>
      </c>
      <c r="AY397">
        <v>10000</v>
      </c>
      <c r="AZ397">
        <v>10000</v>
      </c>
      <c r="BA397">
        <v>10000</v>
      </c>
      <c r="BB397">
        <v>10000</v>
      </c>
      <c r="BC397">
        <v>10000</v>
      </c>
      <c r="BD397">
        <v>10000</v>
      </c>
      <c r="BE397">
        <v>10000</v>
      </c>
      <c r="BF397">
        <v>10000</v>
      </c>
      <c r="BG397">
        <v>10000</v>
      </c>
      <c r="BH397">
        <v>10000</v>
      </c>
      <c r="BI397">
        <v>10000</v>
      </c>
      <c r="BJ397">
        <v>10000</v>
      </c>
      <c r="BK397">
        <v>10000</v>
      </c>
      <c r="BL397">
        <v>10000</v>
      </c>
      <c r="BM397">
        <v>10000</v>
      </c>
      <c r="BN397">
        <v>10000</v>
      </c>
      <c r="BO397">
        <v>10000</v>
      </c>
      <c r="BP397">
        <v>10000</v>
      </c>
      <c r="BQ397">
        <v>10000</v>
      </c>
      <c r="BR397">
        <v>10000</v>
      </c>
      <c r="BS397">
        <v>10000</v>
      </c>
      <c r="BT397">
        <v>10000</v>
      </c>
      <c r="BU397">
        <v>10000</v>
      </c>
      <c r="BV397">
        <v>10000</v>
      </c>
      <c r="BW397">
        <v>10000</v>
      </c>
      <c r="BX397">
        <v>10000</v>
      </c>
      <c r="BY397">
        <v>10000</v>
      </c>
      <c r="BZ397">
        <v>10000</v>
      </c>
      <c r="CA397">
        <v>10000</v>
      </c>
      <c r="CB397">
        <v>10000</v>
      </c>
      <c r="CC397">
        <v>10000</v>
      </c>
      <c r="CD397">
        <v>10000</v>
      </c>
      <c r="CE397">
        <v>10000</v>
      </c>
      <c r="CF397">
        <v>10000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row>
    <row r="398" spans="13:128" hidden="1">
      <c r="M398" s="343" t="s">
        <v>633</v>
      </c>
      <c r="N398" t="s">
        <v>1010</v>
      </c>
      <c r="O398">
        <v>2</v>
      </c>
      <c r="P398">
        <v>19</v>
      </c>
      <c r="Q398" s="184" t="str">
        <f t="shared" si="15"/>
        <v>SDJ200219</v>
      </c>
      <c r="R398">
        <v>10000</v>
      </c>
      <c r="S398">
        <v>10000</v>
      </c>
      <c r="T398">
        <v>10000</v>
      </c>
      <c r="U398">
        <v>10000</v>
      </c>
      <c r="V398">
        <v>10000</v>
      </c>
      <c r="W398">
        <v>10000</v>
      </c>
      <c r="X398">
        <v>10000</v>
      </c>
      <c r="Y398">
        <v>10000</v>
      </c>
      <c r="Z398">
        <v>10000</v>
      </c>
      <c r="AA398">
        <v>10000</v>
      </c>
      <c r="AB398">
        <v>10000</v>
      </c>
      <c r="AC398">
        <v>10000</v>
      </c>
      <c r="AD398">
        <v>10000</v>
      </c>
      <c r="AE398">
        <v>10000</v>
      </c>
      <c r="AF398">
        <v>10000</v>
      </c>
      <c r="AG398">
        <v>10000</v>
      </c>
      <c r="AH398">
        <v>10000</v>
      </c>
      <c r="AI398">
        <v>10000</v>
      </c>
      <c r="AJ398">
        <v>10000</v>
      </c>
      <c r="AK398">
        <v>10000</v>
      </c>
      <c r="AL398">
        <v>10000</v>
      </c>
      <c r="AM398">
        <v>10000</v>
      </c>
      <c r="AN398">
        <v>10000</v>
      </c>
      <c r="AO398">
        <v>10000</v>
      </c>
      <c r="AP398">
        <v>10000</v>
      </c>
      <c r="AQ398">
        <v>10000</v>
      </c>
      <c r="AR398">
        <v>10000</v>
      </c>
      <c r="AS398">
        <v>10000</v>
      </c>
      <c r="AT398">
        <v>10000</v>
      </c>
      <c r="AU398">
        <v>10000</v>
      </c>
      <c r="AV398">
        <v>10000</v>
      </c>
      <c r="AW398">
        <v>10000</v>
      </c>
      <c r="AX398">
        <v>10000</v>
      </c>
      <c r="AY398">
        <v>10000</v>
      </c>
      <c r="AZ398">
        <v>10000</v>
      </c>
      <c r="BA398">
        <v>10000</v>
      </c>
      <c r="BB398">
        <v>10000</v>
      </c>
      <c r="BC398">
        <v>10000</v>
      </c>
      <c r="BD398">
        <v>10000</v>
      </c>
      <c r="BE398">
        <v>10000</v>
      </c>
      <c r="BF398">
        <v>10000</v>
      </c>
      <c r="BG398">
        <v>10000</v>
      </c>
      <c r="BH398">
        <v>10000</v>
      </c>
      <c r="BI398">
        <v>10000</v>
      </c>
      <c r="BJ398">
        <v>10000</v>
      </c>
      <c r="BK398">
        <v>10000</v>
      </c>
      <c r="BL398">
        <v>10000</v>
      </c>
      <c r="BM398">
        <v>10000</v>
      </c>
      <c r="BN398">
        <v>10000</v>
      </c>
      <c r="BO398">
        <v>10000</v>
      </c>
      <c r="BP398">
        <v>10000</v>
      </c>
      <c r="BQ398">
        <v>10000</v>
      </c>
      <c r="BR398">
        <v>10000</v>
      </c>
      <c r="BS398">
        <v>10000</v>
      </c>
      <c r="BT398">
        <v>10000</v>
      </c>
      <c r="BU398">
        <v>10000</v>
      </c>
      <c r="BV398">
        <v>10000</v>
      </c>
      <c r="BW398">
        <v>10000</v>
      </c>
      <c r="BX398">
        <v>10000</v>
      </c>
      <c r="BY398">
        <v>10000</v>
      </c>
      <c r="BZ398">
        <v>10000</v>
      </c>
      <c r="CA398">
        <v>10000</v>
      </c>
      <c r="CB398">
        <v>10000</v>
      </c>
      <c r="CC398">
        <v>10000</v>
      </c>
      <c r="CD398">
        <v>10000</v>
      </c>
      <c r="CE398">
        <v>10000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row>
    <row r="399" spans="13:128" hidden="1">
      <c r="M399" s="343" t="s">
        <v>633</v>
      </c>
      <c r="N399" t="s">
        <v>1010</v>
      </c>
      <c r="O399">
        <v>2</v>
      </c>
      <c r="P399">
        <v>20</v>
      </c>
      <c r="Q399" s="184" t="str">
        <f t="shared" si="15"/>
        <v>SDJ200220</v>
      </c>
      <c r="R399">
        <v>10000</v>
      </c>
      <c r="S399">
        <v>10000</v>
      </c>
      <c r="T399">
        <v>10000</v>
      </c>
      <c r="U399">
        <v>10000</v>
      </c>
      <c r="V399">
        <v>10000</v>
      </c>
      <c r="W399">
        <v>10000</v>
      </c>
      <c r="X399">
        <v>10000</v>
      </c>
      <c r="Y399">
        <v>10000</v>
      </c>
      <c r="Z399">
        <v>10000</v>
      </c>
      <c r="AA399">
        <v>10000</v>
      </c>
      <c r="AB399">
        <v>10000</v>
      </c>
      <c r="AC399">
        <v>10000</v>
      </c>
      <c r="AD399">
        <v>10000</v>
      </c>
      <c r="AE399">
        <v>10000</v>
      </c>
      <c r="AF399">
        <v>10000</v>
      </c>
      <c r="AG399">
        <v>10000</v>
      </c>
      <c r="AH399">
        <v>10000</v>
      </c>
      <c r="AI399">
        <v>10000</v>
      </c>
      <c r="AJ399">
        <v>10000</v>
      </c>
      <c r="AK399">
        <v>10000</v>
      </c>
      <c r="AL399">
        <v>10000</v>
      </c>
      <c r="AM399">
        <v>10000</v>
      </c>
      <c r="AN399">
        <v>10000</v>
      </c>
      <c r="AO399">
        <v>10000</v>
      </c>
      <c r="AP399">
        <v>10000</v>
      </c>
      <c r="AQ399">
        <v>10000</v>
      </c>
      <c r="AR399">
        <v>10000</v>
      </c>
      <c r="AS399">
        <v>10000</v>
      </c>
      <c r="AT399">
        <v>10000</v>
      </c>
      <c r="AU399">
        <v>10000</v>
      </c>
      <c r="AV399">
        <v>10000</v>
      </c>
      <c r="AW399">
        <v>10000</v>
      </c>
      <c r="AX399">
        <v>10000</v>
      </c>
      <c r="AY399">
        <v>10000</v>
      </c>
      <c r="AZ399">
        <v>10000</v>
      </c>
      <c r="BA399">
        <v>10000</v>
      </c>
      <c r="BB399">
        <v>10000</v>
      </c>
      <c r="BC399">
        <v>10000</v>
      </c>
      <c r="BD399">
        <v>10000</v>
      </c>
      <c r="BE399">
        <v>10000</v>
      </c>
      <c r="BF399">
        <v>10000</v>
      </c>
      <c r="BG399">
        <v>10000</v>
      </c>
      <c r="BH399">
        <v>10000</v>
      </c>
      <c r="BI399">
        <v>10000</v>
      </c>
      <c r="BJ399">
        <v>10000</v>
      </c>
      <c r="BK399">
        <v>10000</v>
      </c>
      <c r="BL399">
        <v>10000</v>
      </c>
      <c r="BM399">
        <v>10000</v>
      </c>
      <c r="BN399">
        <v>10000</v>
      </c>
      <c r="BO399">
        <v>10000</v>
      </c>
      <c r="BP399">
        <v>10000</v>
      </c>
      <c r="BQ399">
        <v>10000</v>
      </c>
      <c r="BR399">
        <v>10000</v>
      </c>
      <c r="BS399">
        <v>10000</v>
      </c>
      <c r="BT399">
        <v>10000</v>
      </c>
      <c r="BU399">
        <v>10000</v>
      </c>
      <c r="BV399">
        <v>10000</v>
      </c>
      <c r="BW399">
        <v>10000</v>
      </c>
      <c r="BX399">
        <v>10000</v>
      </c>
      <c r="BY399">
        <v>10000</v>
      </c>
      <c r="BZ399">
        <v>10000</v>
      </c>
      <c r="CA399">
        <v>10000</v>
      </c>
      <c r="CB399">
        <v>10000</v>
      </c>
      <c r="CC399">
        <v>10000</v>
      </c>
      <c r="CD399">
        <v>10000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row>
    <row r="400" spans="13:128" hidden="1">
      <c r="M400" s="343" t="s">
        <v>633</v>
      </c>
      <c r="N400" t="s">
        <v>1010</v>
      </c>
      <c r="O400">
        <v>2</v>
      </c>
      <c r="P400">
        <v>21</v>
      </c>
      <c r="Q400" s="184" t="str">
        <f t="shared" si="15"/>
        <v>SDJ200221</v>
      </c>
      <c r="R400">
        <v>10000</v>
      </c>
      <c r="S400">
        <v>10000</v>
      </c>
      <c r="T400">
        <v>10000</v>
      </c>
      <c r="U400">
        <v>10000</v>
      </c>
      <c r="V400">
        <v>10000</v>
      </c>
      <c r="W400">
        <v>10000</v>
      </c>
      <c r="X400">
        <v>10000</v>
      </c>
      <c r="Y400">
        <v>10000</v>
      </c>
      <c r="Z400">
        <v>10000</v>
      </c>
      <c r="AA400">
        <v>10000</v>
      </c>
      <c r="AB400">
        <v>10000</v>
      </c>
      <c r="AC400">
        <v>10000</v>
      </c>
      <c r="AD400">
        <v>10000</v>
      </c>
      <c r="AE400">
        <v>10000</v>
      </c>
      <c r="AF400">
        <v>10000</v>
      </c>
      <c r="AG400">
        <v>10000</v>
      </c>
      <c r="AH400">
        <v>10000</v>
      </c>
      <c r="AI400">
        <v>10000</v>
      </c>
      <c r="AJ400">
        <v>10000</v>
      </c>
      <c r="AK400">
        <v>10000</v>
      </c>
      <c r="AL400">
        <v>10000</v>
      </c>
      <c r="AM400">
        <v>10000</v>
      </c>
      <c r="AN400">
        <v>10000</v>
      </c>
      <c r="AO400">
        <v>10000</v>
      </c>
      <c r="AP400">
        <v>10000</v>
      </c>
      <c r="AQ400">
        <v>10000</v>
      </c>
      <c r="AR400">
        <v>10000</v>
      </c>
      <c r="AS400">
        <v>10000</v>
      </c>
      <c r="AT400">
        <v>10000</v>
      </c>
      <c r="AU400">
        <v>10000</v>
      </c>
      <c r="AV400">
        <v>10000</v>
      </c>
      <c r="AW400">
        <v>10000</v>
      </c>
      <c r="AX400">
        <v>10000</v>
      </c>
      <c r="AY400">
        <v>10000</v>
      </c>
      <c r="AZ400">
        <v>10000</v>
      </c>
      <c r="BA400">
        <v>10000</v>
      </c>
      <c r="BB400">
        <v>10000</v>
      </c>
      <c r="BC400">
        <v>10000</v>
      </c>
      <c r="BD400">
        <v>10000</v>
      </c>
      <c r="BE400">
        <v>10000</v>
      </c>
      <c r="BF400">
        <v>10000</v>
      </c>
      <c r="BG400">
        <v>10000</v>
      </c>
      <c r="BH400">
        <v>10000</v>
      </c>
      <c r="BI400">
        <v>10000</v>
      </c>
      <c r="BJ400">
        <v>10000</v>
      </c>
      <c r="BK400">
        <v>10000</v>
      </c>
      <c r="BL400">
        <v>10000</v>
      </c>
      <c r="BM400">
        <v>10000</v>
      </c>
      <c r="BN400">
        <v>10000</v>
      </c>
      <c r="BO400">
        <v>10000</v>
      </c>
      <c r="BP400">
        <v>10000</v>
      </c>
      <c r="BQ400">
        <v>10000</v>
      </c>
      <c r="BR400">
        <v>10000</v>
      </c>
      <c r="BS400">
        <v>10000</v>
      </c>
      <c r="BT400">
        <v>10000</v>
      </c>
      <c r="BU400">
        <v>10000</v>
      </c>
      <c r="BV400">
        <v>10000</v>
      </c>
      <c r="BW400">
        <v>10000</v>
      </c>
      <c r="BX400">
        <v>10000</v>
      </c>
      <c r="BY400">
        <v>10000</v>
      </c>
      <c r="BZ400">
        <v>10000</v>
      </c>
      <c r="CA400">
        <v>10000</v>
      </c>
      <c r="CB400">
        <v>10000</v>
      </c>
      <c r="CC400">
        <v>10000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row>
    <row r="401" spans="13:128" hidden="1">
      <c r="M401" s="343" t="s">
        <v>633</v>
      </c>
      <c r="N401" t="s">
        <v>1010</v>
      </c>
      <c r="O401">
        <v>2</v>
      </c>
      <c r="P401">
        <v>22</v>
      </c>
      <c r="Q401" s="184" t="str">
        <f t="shared" si="15"/>
        <v>SDJ200222</v>
      </c>
      <c r="R401">
        <v>10000</v>
      </c>
      <c r="S401">
        <v>10000</v>
      </c>
      <c r="T401">
        <v>10000</v>
      </c>
      <c r="U401">
        <v>10000</v>
      </c>
      <c r="V401">
        <v>10000</v>
      </c>
      <c r="W401">
        <v>10000</v>
      </c>
      <c r="X401">
        <v>10000</v>
      </c>
      <c r="Y401">
        <v>10000</v>
      </c>
      <c r="Z401">
        <v>10000</v>
      </c>
      <c r="AA401">
        <v>10000</v>
      </c>
      <c r="AB401">
        <v>10000</v>
      </c>
      <c r="AC401">
        <v>10000</v>
      </c>
      <c r="AD401">
        <v>10000</v>
      </c>
      <c r="AE401">
        <v>10000</v>
      </c>
      <c r="AF401">
        <v>10000</v>
      </c>
      <c r="AG401">
        <v>10000</v>
      </c>
      <c r="AH401">
        <v>10000</v>
      </c>
      <c r="AI401">
        <v>10000</v>
      </c>
      <c r="AJ401">
        <v>10000</v>
      </c>
      <c r="AK401">
        <v>10000</v>
      </c>
      <c r="AL401">
        <v>10000</v>
      </c>
      <c r="AM401">
        <v>10000</v>
      </c>
      <c r="AN401">
        <v>10000</v>
      </c>
      <c r="AO401">
        <v>10000</v>
      </c>
      <c r="AP401">
        <v>10000</v>
      </c>
      <c r="AQ401">
        <v>10000</v>
      </c>
      <c r="AR401">
        <v>10000</v>
      </c>
      <c r="AS401">
        <v>10000</v>
      </c>
      <c r="AT401">
        <v>10000</v>
      </c>
      <c r="AU401">
        <v>10000</v>
      </c>
      <c r="AV401">
        <v>10000</v>
      </c>
      <c r="AW401">
        <v>10000</v>
      </c>
      <c r="AX401">
        <v>10000</v>
      </c>
      <c r="AY401">
        <v>10000</v>
      </c>
      <c r="AZ401">
        <v>10000</v>
      </c>
      <c r="BA401">
        <v>10000</v>
      </c>
      <c r="BB401">
        <v>10000</v>
      </c>
      <c r="BC401">
        <v>10000</v>
      </c>
      <c r="BD401">
        <v>10000</v>
      </c>
      <c r="BE401">
        <v>10000</v>
      </c>
      <c r="BF401">
        <v>10000</v>
      </c>
      <c r="BG401">
        <v>10000</v>
      </c>
      <c r="BH401">
        <v>10000</v>
      </c>
      <c r="BI401">
        <v>10000</v>
      </c>
      <c r="BJ401">
        <v>10000</v>
      </c>
      <c r="BK401">
        <v>10000</v>
      </c>
      <c r="BL401">
        <v>10000</v>
      </c>
      <c r="BM401">
        <v>10000</v>
      </c>
      <c r="BN401">
        <v>10000</v>
      </c>
      <c r="BO401">
        <v>10000</v>
      </c>
      <c r="BP401">
        <v>10000</v>
      </c>
      <c r="BQ401">
        <v>10000</v>
      </c>
      <c r="BR401">
        <v>10000</v>
      </c>
      <c r="BS401">
        <v>10000</v>
      </c>
      <c r="BT401">
        <v>10000</v>
      </c>
      <c r="BU401">
        <v>10000</v>
      </c>
      <c r="BV401">
        <v>10000</v>
      </c>
      <c r="BW401">
        <v>10000</v>
      </c>
      <c r="BX401">
        <v>10000</v>
      </c>
      <c r="BY401">
        <v>10000</v>
      </c>
      <c r="BZ401">
        <v>10000</v>
      </c>
      <c r="CA401">
        <v>10000</v>
      </c>
      <c r="CB401">
        <v>10000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row>
    <row r="402" spans="13:128" hidden="1">
      <c r="M402" s="343" t="s">
        <v>633</v>
      </c>
      <c r="N402" t="s">
        <v>1010</v>
      </c>
      <c r="O402">
        <v>2</v>
      </c>
      <c r="P402">
        <v>23</v>
      </c>
      <c r="Q402" s="184" t="str">
        <f t="shared" si="15"/>
        <v>SDJ200223</v>
      </c>
      <c r="R402">
        <v>10000</v>
      </c>
      <c r="S402">
        <v>10000</v>
      </c>
      <c r="T402">
        <v>10000</v>
      </c>
      <c r="U402">
        <v>10000</v>
      </c>
      <c r="V402">
        <v>10000</v>
      </c>
      <c r="W402">
        <v>10000</v>
      </c>
      <c r="X402">
        <v>10000</v>
      </c>
      <c r="Y402">
        <v>10000</v>
      </c>
      <c r="Z402">
        <v>10000</v>
      </c>
      <c r="AA402">
        <v>10000</v>
      </c>
      <c r="AB402">
        <v>10000</v>
      </c>
      <c r="AC402">
        <v>10000</v>
      </c>
      <c r="AD402">
        <v>10000</v>
      </c>
      <c r="AE402">
        <v>10000</v>
      </c>
      <c r="AF402">
        <v>10000</v>
      </c>
      <c r="AG402">
        <v>10000</v>
      </c>
      <c r="AH402">
        <v>10000</v>
      </c>
      <c r="AI402">
        <v>10000</v>
      </c>
      <c r="AJ402">
        <v>10000</v>
      </c>
      <c r="AK402">
        <v>10000</v>
      </c>
      <c r="AL402">
        <v>10000</v>
      </c>
      <c r="AM402">
        <v>10000</v>
      </c>
      <c r="AN402">
        <v>10000</v>
      </c>
      <c r="AO402">
        <v>10000</v>
      </c>
      <c r="AP402">
        <v>10000</v>
      </c>
      <c r="AQ402">
        <v>10000</v>
      </c>
      <c r="AR402">
        <v>10000</v>
      </c>
      <c r="AS402">
        <v>10000</v>
      </c>
      <c r="AT402">
        <v>10000</v>
      </c>
      <c r="AU402">
        <v>10000</v>
      </c>
      <c r="AV402">
        <v>10000</v>
      </c>
      <c r="AW402">
        <v>10000</v>
      </c>
      <c r="AX402">
        <v>10000</v>
      </c>
      <c r="AY402">
        <v>10000</v>
      </c>
      <c r="AZ402">
        <v>10000</v>
      </c>
      <c r="BA402">
        <v>10000</v>
      </c>
      <c r="BB402">
        <v>10000</v>
      </c>
      <c r="BC402">
        <v>10000</v>
      </c>
      <c r="BD402">
        <v>10000</v>
      </c>
      <c r="BE402">
        <v>10000</v>
      </c>
      <c r="BF402">
        <v>10000</v>
      </c>
      <c r="BG402">
        <v>10000</v>
      </c>
      <c r="BH402">
        <v>10000</v>
      </c>
      <c r="BI402">
        <v>10000</v>
      </c>
      <c r="BJ402">
        <v>10000</v>
      </c>
      <c r="BK402">
        <v>10000</v>
      </c>
      <c r="BL402">
        <v>10000</v>
      </c>
      <c r="BM402">
        <v>10000</v>
      </c>
      <c r="BN402">
        <v>10000</v>
      </c>
      <c r="BO402">
        <v>10000</v>
      </c>
      <c r="BP402">
        <v>10000</v>
      </c>
      <c r="BQ402">
        <v>10000</v>
      </c>
      <c r="BR402">
        <v>10000</v>
      </c>
      <c r="BS402">
        <v>10000</v>
      </c>
      <c r="BT402">
        <v>10000</v>
      </c>
      <c r="BU402">
        <v>10000</v>
      </c>
      <c r="BV402">
        <v>10000</v>
      </c>
      <c r="BW402">
        <v>10000</v>
      </c>
      <c r="BX402">
        <v>10000</v>
      </c>
      <c r="BY402">
        <v>10000</v>
      </c>
      <c r="BZ402">
        <v>10000</v>
      </c>
      <c r="CA402">
        <v>10000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row>
    <row r="403" spans="13:128" hidden="1">
      <c r="M403" s="343" t="s">
        <v>633</v>
      </c>
      <c r="N403" t="s">
        <v>1010</v>
      </c>
      <c r="O403">
        <v>2</v>
      </c>
      <c r="P403">
        <v>24</v>
      </c>
      <c r="Q403" s="184" t="str">
        <f t="shared" si="15"/>
        <v>SDJ200224</v>
      </c>
      <c r="R403">
        <v>10000</v>
      </c>
      <c r="S403">
        <v>10000</v>
      </c>
      <c r="T403">
        <v>10000</v>
      </c>
      <c r="U403">
        <v>10000</v>
      </c>
      <c r="V403">
        <v>10000</v>
      </c>
      <c r="W403">
        <v>10000</v>
      </c>
      <c r="X403">
        <v>10000</v>
      </c>
      <c r="Y403">
        <v>10000</v>
      </c>
      <c r="Z403">
        <v>10000</v>
      </c>
      <c r="AA403">
        <v>10000</v>
      </c>
      <c r="AB403">
        <v>10000</v>
      </c>
      <c r="AC403">
        <v>10000</v>
      </c>
      <c r="AD403">
        <v>10000</v>
      </c>
      <c r="AE403">
        <v>10000</v>
      </c>
      <c r="AF403">
        <v>10000</v>
      </c>
      <c r="AG403">
        <v>10000</v>
      </c>
      <c r="AH403">
        <v>10000</v>
      </c>
      <c r="AI403">
        <v>10000</v>
      </c>
      <c r="AJ403">
        <v>10000</v>
      </c>
      <c r="AK403">
        <v>10000</v>
      </c>
      <c r="AL403">
        <v>10000</v>
      </c>
      <c r="AM403">
        <v>10000</v>
      </c>
      <c r="AN403">
        <v>10000</v>
      </c>
      <c r="AO403">
        <v>10000</v>
      </c>
      <c r="AP403">
        <v>10000</v>
      </c>
      <c r="AQ403">
        <v>10000</v>
      </c>
      <c r="AR403">
        <v>10000</v>
      </c>
      <c r="AS403">
        <v>10000</v>
      </c>
      <c r="AT403">
        <v>10000</v>
      </c>
      <c r="AU403">
        <v>10000</v>
      </c>
      <c r="AV403">
        <v>10000</v>
      </c>
      <c r="AW403">
        <v>10000</v>
      </c>
      <c r="AX403">
        <v>10000</v>
      </c>
      <c r="AY403">
        <v>10000</v>
      </c>
      <c r="AZ403">
        <v>10000</v>
      </c>
      <c r="BA403">
        <v>10000</v>
      </c>
      <c r="BB403">
        <v>10000</v>
      </c>
      <c r="BC403">
        <v>10000</v>
      </c>
      <c r="BD403">
        <v>10000</v>
      </c>
      <c r="BE403">
        <v>10000</v>
      </c>
      <c r="BF403">
        <v>10000</v>
      </c>
      <c r="BG403">
        <v>10000</v>
      </c>
      <c r="BH403">
        <v>10000</v>
      </c>
      <c r="BI403">
        <v>10000</v>
      </c>
      <c r="BJ403">
        <v>10000</v>
      </c>
      <c r="BK403">
        <v>10000</v>
      </c>
      <c r="BL403">
        <v>10000</v>
      </c>
      <c r="BM403">
        <v>10000</v>
      </c>
      <c r="BN403">
        <v>10000</v>
      </c>
      <c r="BO403">
        <v>10000</v>
      </c>
      <c r="BP403">
        <v>10000</v>
      </c>
      <c r="BQ403">
        <v>10000</v>
      </c>
      <c r="BR403">
        <v>10000</v>
      </c>
      <c r="BS403">
        <v>10000</v>
      </c>
      <c r="BT403">
        <v>10000</v>
      </c>
      <c r="BU403">
        <v>10000</v>
      </c>
      <c r="BV403">
        <v>10000</v>
      </c>
      <c r="BW403">
        <v>10000</v>
      </c>
      <c r="BX403">
        <v>10000</v>
      </c>
      <c r="BY403">
        <v>10000</v>
      </c>
      <c r="BZ403">
        <v>10000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row>
    <row r="404" spans="13:128" hidden="1">
      <c r="M404" s="343" t="s">
        <v>633</v>
      </c>
      <c r="N404" t="s">
        <v>1010</v>
      </c>
      <c r="O404">
        <v>2</v>
      </c>
      <c r="P404">
        <v>25</v>
      </c>
      <c r="Q404" s="184" t="str">
        <f t="shared" si="15"/>
        <v>SDJ200225</v>
      </c>
      <c r="R404">
        <v>10000</v>
      </c>
      <c r="S404">
        <v>10000</v>
      </c>
      <c r="T404">
        <v>10000</v>
      </c>
      <c r="U404">
        <v>10000</v>
      </c>
      <c r="V404">
        <v>10000</v>
      </c>
      <c r="W404">
        <v>10000</v>
      </c>
      <c r="X404">
        <v>10000</v>
      </c>
      <c r="Y404">
        <v>10000</v>
      </c>
      <c r="Z404">
        <v>10000</v>
      </c>
      <c r="AA404">
        <v>10000</v>
      </c>
      <c r="AB404">
        <v>10000</v>
      </c>
      <c r="AC404">
        <v>10000</v>
      </c>
      <c r="AD404">
        <v>10000</v>
      </c>
      <c r="AE404">
        <v>10000</v>
      </c>
      <c r="AF404">
        <v>10000</v>
      </c>
      <c r="AG404">
        <v>10000</v>
      </c>
      <c r="AH404">
        <v>10000</v>
      </c>
      <c r="AI404">
        <v>10000</v>
      </c>
      <c r="AJ404">
        <v>10000</v>
      </c>
      <c r="AK404">
        <v>10000</v>
      </c>
      <c r="AL404">
        <v>10000</v>
      </c>
      <c r="AM404">
        <v>10000</v>
      </c>
      <c r="AN404">
        <v>10000</v>
      </c>
      <c r="AO404">
        <v>10000</v>
      </c>
      <c r="AP404">
        <v>10000</v>
      </c>
      <c r="AQ404">
        <v>10000</v>
      </c>
      <c r="AR404">
        <v>10000</v>
      </c>
      <c r="AS404">
        <v>10000</v>
      </c>
      <c r="AT404">
        <v>10000</v>
      </c>
      <c r="AU404">
        <v>10000</v>
      </c>
      <c r="AV404">
        <v>10000</v>
      </c>
      <c r="AW404">
        <v>10000</v>
      </c>
      <c r="AX404">
        <v>10000</v>
      </c>
      <c r="AY404">
        <v>10000</v>
      </c>
      <c r="AZ404">
        <v>10000</v>
      </c>
      <c r="BA404">
        <v>10000</v>
      </c>
      <c r="BB404">
        <v>10000</v>
      </c>
      <c r="BC404">
        <v>10000</v>
      </c>
      <c r="BD404">
        <v>10000</v>
      </c>
      <c r="BE404">
        <v>10000</v>
      </c>
      <c r="BF404">
        <v>10000</v>
      </c>
      <c r="BG404">
        <v>10000</v>
      </c>
      <c r="BH404">
        <v>10000</v>
      </c>
      <c r="BI404">
        <v>10000</v>
      </c>
      <c r="BJ404">
        <v>10000</v>
      </c>
      <c r="BK404">
        <v>10000</v>
      </c>
      <c r="BL404">
        <v>10000</v>
      </c>
      <c r="BM404">
        <v>10000</v>
      </c>
      <c r="BN404">
        <v>10000</v>
      </c>
      <c r="BO404">
        <v>10000</v>
      </c>
      <c r="BP404">
        <v>10000</v>
      </c>
      <c r="BQ404">
        <v>10000</v>
      </c>
      <c r="BR404">
        <v>10000</v>
      </c>
      <c r="BS404">
        <v>10000</v>
      </c>
      <c r="BT404">
        <v>10000</v>
      </c>
      <c r="BU404">
        <v>10000</v>
      </c>
      <c r="BV404">
        <v>10000</v>
      </c>
      <c r="BW404">
        <v>10000</v>
      </c>
      <c r="BX404">
        <v>10000</v>
      </c>
      <c r="BY404">
        <v>10000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v>0</v>
      </c>
      <c r="DW404">
        <v>0</v>
      </c>
      <c r="DX404">
        <v>0</v>
      </c>
    </row>
    <row r="405" spans="13:128" hidden="1">
      <c r="M405" s="343" t="s">
        <v>633</v>
      </c>
      <c r="N405" t="s">
        <v>1010</v>
      </c>
      <c r="O405">
        <v>2</v>
      </c>
      <c r="P405">
        <v>26</v>
      </c>
      <c r="Q405" s="184" t="str">
        <f t="shared" si="15"/>
        <v>SDJ200226</v>
      </c>
      <c r="R405">
        <v>10000</v>
      </c>
      <c r="S405">
        <v>10000</v>
      </c>
      <c r="T405">
        <v>10000</v>
      </c>
      <c r="U405">
        <v>10000</v>
      </c>
      <c r="V405">
        <v>10000</v>
      </c>
      <c r="W405">
        <v>10000</v>
      </c>
      <c r="X405">
        <v>10000</v>
      </c>
      <c r="Y405">
        <v>10000</v>
      </c>
      <c r="Z405">
        <v>10000</v>
      </c>
      <c r="AA405">
        <v>10000</v>
      </c>
      <c r="AB405">
        <v>10000</v>
      </c>
      <c r="AC405">
        <v>10000</v>
      </c>
      <c r="AD405">
        <v>10000</v>
      </c>
      <c r="AE405">
        <v>10000</v>
      </c>
      <c r="AF405">
        <v>10000</v>
      </c>
      <c r="AG405">
        <v>10000</v>
      </c>
      <c r="AH405">
        <v>10000</v>
      </c>
      <c r="AI405">
        <v>10000</v>
      </c>
      <c r="AJ405">
        <v>10000</v>
      </c>
      <c r="AK405">
        <v>10000</v>
      </c>
      <c r="AL405">
        <v>10000</v>
      </c>
      <c r="AM405">
        <v>10000</v>
      </c>
      <c r="AN405">
        <v>10000</v>
      </c>
      <c r="AO405">
        <v>10000</v>
      </c>
      <c r="AP405">
        <v>10000</v>
      </c>
      <c r="AQ405">
        <v>10000</v>
      </c>
      <c r="AR405">
        <v>10000</v>
      </c>
      <c r="AS405">
        <v>10000</v>
      </c>
      <c r="AT405">
        <v>10000</v>
      </c>
      <c r="AU405">
        <v>10000</v>
      </c>
      <c r="AV405">
        <v>10000</v>
      </c>
      <c r="AW405">
        <v>10000</v>
      </c>
      <c r="AX405">
        <v>10000</v>
      </c>
      <c r="AY405">
        <v>10000</v>
      </c>
      <c r="AZ405">
        <v>10000</v>
      </c>
      <c r="BA405">
        <v>10000</v>
      </c>
      <c r="BB405">
        <v>10000</v>
      </c>
      <c r="BC405">
        <v>10000</v>
      </c>
      <c r="BD405">
        <v>10000</v>
      </c>
      <c r="BE405">
        <v>10000</v>
      </c>
      <c r="BF405">
        <v>10000</v>
      </c>
      <c r="BG405">
        <v>10000</v>
      </c>
      <c r="BH405">
        <v>10000</v>
      </c>
      <c r="BI405">
        <v>10000</v>
      </c>
      <c r="BJ405">
        <v>10000</v>
      </c>
      <c r="BK405">
        <v>10000</v>
      </c>
      <c r="BL405">
        <v>10000</v>
      </c>
      <c r="BM405">
        <v>10000</v>
      </c>
      <c r="BN405">
        <v>10000</v>
      </c>
      <c r="BO405">
        <v>10000</v>
      </c>
      <c r="BP405">
        <v>10000</v>
      </c>
      <c r="BQ405">
        <v>10000</v>
      </c>
      <c r="BR405">
        <v>10000</v>
      </c>
      <c r="BS405">
        <v>10000</v>
      </c>
      <c r="BT405">
        <v>10000</v>
      </c>
      <c r="BU405">
        <v>10000</v>
      </c>
      <c r="BV405">
        <v>10000</v>
      </c>
      <c r="BW405">
        <v>10000</v>
      </c>
      <c r="BX405">
        <v>10000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row>
    <row r="406" spans="13:128" hidden="1">
      <c r="M406" s="343" t="s">
        <v>633</v>
      </c>
      <c r="N406" t="s">
        <v>1010</v>
      </c>
      <c r="O406">
        <v>2</v>
      </c>
      <c r="P406">
        <v>27</v>
      </c>
      <c r="Q406" s="184" t="str">
        <f t="shared" si="15"/>
        <v>SDJ200227</v>
      </c>
      <c r="R406">
        <v>10000</v>
      </c>
      <c r="S406">
        <v>10000</v>
      </c>
      <c r="T406">
        <v>10000</v>
      </c>
      <c r="U406">
        <v>10000</v>
      </c>
      <c r="V406">
        <v>10000</v>
      </c>
      <c r="W406">
        <v>10000</v>
      </c>
      <c r="X406">
        <v>10000</v>
      </c>
      <c r="Y406">
        <v>10000</v>
      </c>
      <c r="Z406">
        <v>10000</v>
      </c>
      <c r="AA406">
        <v>10000</v>
      </c>
      <c r="AB406">
        <v>10000</v>
      </c>
      <c r="AC406">
        <v>10000</v>
      </c>
      <c r="AD406">
        <v>10000</v>
      </c>
      <c r="AE406">
        <v>10000</v>
      </c>
      <c r="AF406">
        <v>10000</v>
      </c>
      <c r="AG406">
        <v>10000</v>
      </c>
      <c r="AH406">
        <v>10000</v>
      </c>
      <c r="AI406">
        <v>10000</v>
      </c>
      <c r="AJ406">
        <v>10000</v>
      </c>
      <c r="AK406">
        <v>10000</v>
      </c>
      <c r="AL406">
        <v>10000</v>
      </c>
      <c r="AM406">
        <v>10000</v>
      </c>
      <c r="AN406">
        <v>10000</v>
      </c>
      <c r="AO406">
        <v>10000</v>
      </c>
      <c r="AP406">
        <v>10000</v>
      </c>
      <c r="AQ406">
        <v>10000</v>
      </c>
      <c r="AR406">
        <v>10000</v>
      </c>
      <c r="AS406">
        <v>10000</v>
      </c>
      <c r="AT406">
        <v>10000</v>
      </c>
      <c r="AU406">
        <v>10000</v>
      </c>
      <c r="AV406">
        <v>10000</v>
      </c>
      <c r="AW406">
        <v>10000</v>
      </c>
      <c r="AX406">
        <v>10000</v>
      </c>
      <c r="AY406">
        <v>10000</v>
      </c>
      <c r="AZ406">
        <v>10000</v>
      </c>
      <c r="BA406">
        <v>10000</v>
      </c>
      <c r="BB406">
        <v>10000</v>
      </c>
      <c r="BC406">
        <v>10000</v>
      </c>
      <c r="BD406">
        <v>10000</v>
      </c>
      <c r="BE406">
        <v>10000</v>
      </c>
      <c r="BF406">
        <v>10000</v>
      </c>
      <c r="BG406">
        <v>10000</v>
      </c>
      <c r="BH406">
        <v>10000</v>
      </c>
      <c r="BI406">
        <v>10000</v>
      </c>
      <c r="BJ406">
        <v>10000</v>
      </c>
      <c r="BK406">
        <v>10000</v>
      </c>
      <c r="BL406">
        <v>10000</v>
      </c>
      <c r="BM406">
        <v>10000</v>
      </c>
      <c r="BN406">
        <v>10000</v>
      </c>
      <c r="BO406">
        <v>10000</v>
      </c>
      <c r="BP406">
        <v>10000</v>
      </c>
      <c r="BQ406">
        <v>10000</v>
      </c>
      <c r="BR406">
        <v>10000</v>
      </c>
      <c r="BS406">
        <v>10000</v>
      </c>
      <c r="BT406">
        <v>10000</v>
      </c>
      <c r="BU406">
        <v>10000</v>
      </c>
      <c r="BV406">
        <v>10000</v>
      </c>
      <c r="BW406">
        <v>10000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row>
    <row r="407" spans="13:128" hidden="1">
      <c r="M407" s="343" t="s">
        <v>633</v>
      </c>
      <c r="N407" t="s">
        <v>1010</v>
      </c>
      <c r="O407">
        <v>2</v>
      </c>
      <c r="P407">
        <v>28</v>
      </c>
      <c r="Q407" s="184" t="str">
        <f t="shared" si="15"/>
        <v>SDJ200228</v>
      </c>
      <c r="R407">
        <v>10000</v>
      </c>
      <c r="S407">
        <v>10000</v>
      </c>
      <c r="T407">
        <v>10000</v>
      </c>
      <c r="U407">
        <v>10000</v>
      </c>
      <c r="V407">
        <v>10000</v>
      </c>
      <c r="W407">
        <v>10000</v>
      </c>
      <c r="X407">
        <v>10000</v>
      </c>
      <c r="Y407">
        <v>10000</v>
      </c>
      <c r="Z407">
        <v>10000</v>
      </c>
      <c r="AA407">
        <v>10000</v>
      </c>
      <c r="AB407">
        <v>10000</v>
      </c>
      <c r="AC407">
        <v>10000</v>
      </c>
      <c r="AD407">
        <v>10000</v>
      </c>
      <c r="AE407">
        <v>10000</v>
      </c>
      <c r="AF407">
        <v>10000</v>
      </c>
      <c r="AG407">
        <v>10000</v>
      </c>
      <c r="AH407">
        <v>10000</v>
      </c>
      <c r="AI407">
        <v>10000</v>
      </c>
      <c r="AJ407">
        <v>10000</v>
      </c>
      <c r="AK407">
        <v>10000</v>
      </c>
      <c r="AL407">
        <v>10000</v>
      </c>
      <c r="AM407">
        <v>10000</v>
      </c>
      <c r="AN407">
        <v>10000</v>
      </c>
      <c r="AO407">
        <v>10000</v>
      </c>
      <c r="AP407">
        <v>10000</v>
      </c>
      <c r="AQ407">
        <v>10000</v>
      </c>
      <c r="AR407">
        <v>10000</v>
      </c>
      <c r="AS407">
        <v>10000</v>
      </c>
      <c r="AT407">
        <v>10000</v>
      </c>
      <c r="AU407">
        <v>10000</v>
      </c>
      <c r="AV407">
        <v>10000</v>
      </c>
      <c r="AW407">
        <v>10000</v>
      </c>
      <c r="AX407">
        <v>10000</v>
      </c>
      <c r="AY407">
        <v>10000</v>
      </c>
      <c r="AZ407">
        <v>10000</v>
      </c>
      <c r="BA407">
        <v>10000</v>
      </c>
      <c r="BB407">
        <v>10000</v>
      </c>
      <c r="BC407">
        <v>10000</v>
      </c>
      <c r="BD407">
        <v>10000</v>
      </c>
      <c r="BE407">
        <v>10000</v>
      </c>
      <c r="BF407">
        <v>10000</v>
      </c>
      <c r="BG407">
        <v>10000</v>
      </c>
      <c r="BH407">
        <v>10000</v>
      </c>
      <c r="BI407">
        <v>10000</v>
      </c>
      <c r="BJ407">
        <v>10000</v>
      </c>
      <c r="BK407">
        <v>10000</v>
      </c>
      <c r="BL407">
        <v>10000</v>
      </c>
      <c r="BM407">
        <v>10000</v>
      </c>
      <c r="BN407">
        <v>10000</v>
      </c>
      <c r="BO407">
        <v>10000</v>
      </c>
      <c r="BP407">
        <v>10000</v>
      </c>
      <c r="BQ407">
        <v>10000</v>
      </c>
      <c r="BR407">
        <v>10000</v>
      </c>
      <c r="BS407">
        <v>10000</v>
      </c>
      <c r="BT407">
        <v>10000</v>
      </c>
      <c r="BU407">
        <v>10000</v>
      </c>
      <c r="BV407">
        <v>10000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row>
    <row r="408" spans="13:128" hidden="1">
      <c r="M408" s="343" t="s">
        <v>633</v>
      </c>
      <c r="N408" t="s">
        <v>1010</v>
      </c>
      <c r="O408">
        <v>2</v>
      </c>
      <c r="P408">
        <v>29</v>
      </c>
      <c r="Q408" s="184" t="str">
        <f t="shared" si="15"/>
        <v>SDJ200229</v>
      </c>
      <c r="R408">
        <v>10000</v>
      </c>
      <c r="S408">
        <v>10000</v>
      </c>
      <c r="T408">
        <v>10000</v>
      </c>
      <c r="U408">
        <v>10000</v>
      </c>
      <c r="V408">
        <v>10000</v>
      </c>
      <c r="W408">
        <v>10000</v>
      </c>
      <c r="X408">
        <v>10000</v>
      </c>
      <c r="Y408">
        <v>10000</v>
      </c>
      <c r="Z408">
        <v>10000</v>
      </c>
      <c r="AA408">
        <v>10000</v>
      </c>
      <c r="AB408">
        <v>10000</v>
      </c>
      <c r="AC408">
        <v>10000</v>
      </c>
      <c r="AD408">
        <v>10000</v>
      </c>
      <c r="AE408">
        <v>10000</v>
      </c>
      <c r="AF408">
        <v>10000</v>
      </c>
      <c r="AG408">
        <v>10000</v>
      </c>
      <c r="AH408">
        <v>10000</v>
      </c>
      <c r="AI408">
        <v>10000</v>
      </c>
      <c r="AJ408">
        <v>10000</v>
      </c>
      <c r="AK408">
        <v>10000</v>
      </c>
      <c r="AL408">
        <v>10000</v>
      </c>
      <c r="AM408">
        <v>10000</v>
      </c>
      <c r="AN408">
        <v>10000</v>
      </c>
      <c r="AO408">
        <v>10000</v>
      </c>
      <c r="AP408">
        <v>10000</v>
      </c>
      <c r="AQ408">
        <v>10000</v>
      </c>
      <c r="AR408">
        <v>10000</v>
      </c>
      <c r="AS408">
        <v>10000</v>
      </c>
      <c r="AT408">
        <v>10000</v>
      </c>
      <c r="AU408">
        <v>10000</v>
      </c>
      <c r="AV408">
        <v>10000</v>
      </c>
      <c r="AW408">
        <v>10000</v>
      </c>
      <c r="AX408">
        <v>10000</v>
      </c>
      <c r="AY408">
        <v>10000</v>
      </c>
      <c r="AZ408">
        <v>10000</v>
      </c>
      <c r="BA408">
        <v>10000</v>
      </c>
      <c r="BB408">
        <v>10000</v>
      </c>
      <c r="BC408">
        <v>10000</v>
      </c>
      <c r="BD408">
        <v>10000</v>
      </c>
      <c r="BE408">
        <v>10000</v>
      </c>
      <c r="BF408">
        <v>10000</v>
      </c>
      <c r="BG408">
        <v>10000</v>
      </c>
      <c r="BH408">
        <v>10000</v>
      </c>
      <c r="BI408">
        <v>10000</v>
      </c>
      <c r="BJ408">
        <v>10000</v>
      </c>
      <c r="BK408">
        <v>10000</v>
      </c>
      <c r="BL408">
        <v>10000</v>
      </c>
      <c r="BM408">
        <v>10000</v>
      </c>
      <c r="BN408">
        <v>10000</v>
      </c>
      <c r="BO408">
        <v>10000</v>
      </c>
      <c r="BP408">
        <v>10000</v>
      </c>
      <c r="BQ408">
        <v>10000</v>
      </c>
      <c r="BR408">
        <v>10000</v>
      </c>
      <c r="BS408">
        <v>10000</v>
      </c>
      <c r="BT408">
        <v>10000</v>
      </c>
      <c r="BU408">
        <v>10000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row>
    <row r="409" spans="13:128" hidden="1">
      <c r="M409" s="343" t="s">
        <v>633</v>
      </c>
      <c r="N409" t="s">
        <v>1010</v>
      </c>
      <c r="O409">
        <v>2</v>
      </c>
      <c r="P409">
        <v>30</v>
      </c>
      <c r="Q409" s="184" t="str">
        <f t="shared" si="15"/>
        <v>SDJ200230</v>
      </c>
      <c r="R409">
        <v>10000</v>
      </c>
      <c r="S409">
        <v>10000</v>
      </c>
      <c r="T409">
        <v>10000</v>
      </c>
      <c r="U409">
        <v>10000</v>
      </c>
      <c r="V409">
        <v>10000</v>
      </c>
      <c r="W409">
        <v>10000</v>
      </c>
      <c r="X409">
        <v>10000</v>
      </c>
      <c r="Y409">
        <v>10000</v>
      </c>
      <c r="Z409">
        <v>10000</v>
      </c>
      <c r="AA409">
        <v>10000</v>
      </c>
      <c r="AB409">
        <v>10000</v>
      </c>
      <c r="AC409">
        <v>10000</v>
      </c>
      <c r="AD409">
        <v>10000</v>
      </c>
      <c r="AE409">
        <v>10000</v>
      </c>
      <c r="AF409">
        <v>10000</v>
      </c>
      <c r="AG409">
        <v>10000</v>
      </c>
      <c r="AH409">
        <v>10000</v>
      </c>
      <c r="AI409">
        <v>10000</v>
      </c>
      <c r="AJ409">
        <v>10000</v>
      </c>
      <c r="AK409">
        <v>10000</v>
      </c>
      <c r="AL409">
        <v>10000</v>
      </c>
      <c r="AM409">
        <v>10000</v>
      </c>
      <c r="AN409">
        <v>10000</v>
      </c>
      <c r="AO409">
        <v>10000</v>
      </c>
      <c r="AP409">
        <v>10000</v>
      </c>
      <c r="AQ409">
        <v>10000</v>
      </c>
      <c r="AR409">
        <v>10000</v>
      </c>
      <c r="AS409">
        <v>10000</v>
      </c>
      <c r="AT409">
        <v>10000</v>
      </c>
      <c r="AU409">
        <v>10000</v>
      </c>
      <c r="AV409">
        <v>10000</v>
      </c>
      <c r="AW409">
        <v>10000</v>
      </c>
      <c r="AX409">
        <v>10000</v>
      </c>
      <c r="AY409">
        <v>10000</v>
      </c>
      <c r="AZ409">
        <v>10000</v>
      </c>
      <c r="BA409">
        <v>10000</v>
      </c>
      <c r="BB409">
        <v>10000</v>
      </c>
      <c r="BC409">
        <v>10000</v>
      </c>
      <c r="BD409">
        <v>10000</v>
      </c>
      <c r="BE409">
        <v>10000</v>
      </c>
      <c r="BF409">
        <v>10000</v>
      </c>
      <c r="BG409">
        <v>10000</v>
      </c>
      <c r="BH409">
        <v>10000</v>
      </c>
      <c r="BI409">
        <v>10000</v>
      </c>
      <c r="BJ409">
        <v>10000</v>
      </c>
      <c r="BK409">
        <v>10000</v>
      </c>
      <c r="BL409">
        <v>10000</v>
      </c>
      <c r="BM409">
        <v>10000</v>
      </c>
      <c r="BN409">
        <v>10000</v>
      </c>
      <c r="BO409">
        <v>10000</v>
      </c>
      <c r="BP409">
        <v>10000</v>
      </c>
      <c r="BQ409">
        <v>10000</v>
      </c>
      <c r="BR409">
        <v>10000</v>
      </c>
      <c r="BS409">
        <v>10000</v>
      </c>
      <c r="BT409">
        <v>10000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row>
    <row r="410" spans="13:128" hidden="1">
      <c r="M410" s="343" t="s">
        <v>633</v>
      </c>
      <c r="N410" t="s">
        <v>1010</v>
      </c>
      <c r="O410">
        <v>2</v>
      </c>
      <c r="P410">
        <v>31</v>
      </c>
      <c r="Q410" s="184" t="str">
        <f t="shared" si="15"/>
        <v>SDJ200231</v>
      </c>
      <c r="R410">
        <v>10000</v>
      </c>
      <c r="S410">
        <v>10000</v>
      </c>
      <c r="T410">
        <v>10000</v>
      </c>
      <c r="U410">
        <v>10000</v>
      </c>
      <c r="V410">
        <v>10000</v>
      </c>
      <c r="W410">
        <v>10000</v>
      </c>
      <c r="X410">
        <v>10000</v>
      </c>
      <c r="Y410">
        <v>10000</v>
      </c>
      <c r="Z410">
        <v>10000</v>
      </c>
      <c r="AA410">
        <v>10000</v>
      </c>
      <c r="AB410">
        <v>10000</v>
      </c>
      <c r="AC410">
        <v>10000</v>
      </c>
      <c r="AD410">
        <v>10000</v>
      </c>
      <c r="AE410">
        <v>10000</v>
      </c>
      <c r="AF410">
        <v>10000</v>
      </c>
      <c r="AG410">
        <v>10000</v>
      </c>
      <c r="AH410">
        <v>10000</v>
      </c>
      <c r="AI410">
        <v>10000</v>
      </c>
      <c r="AJ410">
        <v>10000</v>
      </c>
      <c r="AK410">
        <v>10000</v>
      </c>
      <c r="AL410">
        <v>10000</v>
      </c>
      <c r="AM410">
        <v>10000</v>
      </c>
      <c r="AN410">
        <v>10000</v>
      </c>
      <c r="AO410">
        <v>10000</v>
      </c>
      <c r="AP410">
        <v>10000</v>
      </c>
      <c r="AQ410">
        <v>10000</v>
      </c>
      <c r="AR410">
        <v>10000</v>
      </c>
      <c r="AS410">
        <v>10000</v>
      </c>
      <c r="AT410">
        <v>10000</v>
      </c>
      <c r="AU410">
        <v>10000</v>
      </c>
      <c r="AV410">
        <v>10000</v>
      </c>
      <c r="AW410">
        <v>10000</v>
      </c>
      <c r="AX410">
        <v>10000</v>
      </c>
      <c r="AY410">
        <v>10000</v>
      </c>
      <c r="AZ410">
        <v>10000</v>
      </c>
      <c r="BA410">
        <v>10000</v>
      </c>
      <c r="BB410">
        <v>10000</v>
      </c>
      <c r="BC410">
        <v>10000</v>
      </c>
      <c r="BD410">
        <v>10000</v>
      </c>
      <c r="BE410">
        <v>10000</v>
      </c>
      <c r="BF410">
        <v>10000</v>
      </c>
      <c r="BG410">
        <v>10000</v>
      </c>
      <c r="BH410">
        <v>10000</v>
      </c>
      <c r="BI410">
        <v>10000</v>
      </c>
      <c r="BJ410">
        <v>10000</v>
      </c>
      <c r="BK410">
        <v>10000</v>
      </c>
      <c r="BL410">
        <v>10000</v>
      </c>
      <c r="BM410">
        <v>10000</v>
      </c>
      <c r="BN410">
        <v>10000</v>
      </c>
      <c r="BO410">
        <v>10000</v>
      </c>
      <c r="BP410">
        <v>10000</v>
      </c>
      <c r="BQ410">
        <v>10000</v>
      </c>
      <c r="BR410">
        <v>10000</v>
      </c>
      <c r="BS410">
        <v>10000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row>
    <row r="411" spans="13:128" hidden="1">
      <c r="M411" s="343" t="s">
        <v>633</v>
      </c>
      <c r="N411" t="s">
        <v>1010</v>
      </c>
      <c r="O411">
        <v>2</v>
      </c>
      <c r="P411">
        <v>32</v>
      </c>
      <c r="Q411" s="184" t="str">
        <f t="shared" si="15"/>
        <v>SDJ200232</v>
      </c>
      <c r="R411">
        <v>10000</v>
      </c>
      <c r="S411">
        <v>10000</v>
      </c>
      <c r="T411">
        <v>10000</v>
      </c>
      <c r="U411">
        <v>10000</v>
      </c>
      <c r="V411">
        <v>10000</v>
      </c>
      <c r="W411">
        <v>10000</v>
      </c>
      <c r="X411">
        <v>10000</v>
      </c>
      <c r="Y411">
        <v>10000</v>
      </c>
      <c r="Z411">
        <v>10000</v>
      </c>
      <c r="AA411">
        <v>10000</v>
      </c>
      <c r="AB411">
        <v>10000</v>
      </c>
      <c r="AC411">
        <v>10000</v>
      </c>
      <c r="AD411">
        <v>10000</v>
      </c>
      <c r="AE411">
        <v>10000</v>
      </c>
      <c r="AF411">
        <v>10000</v>
      </c>
      <c r="AG411">
        <v>10000</v>
      </c>
      <c r="AH411">
        <v>10000</v>
      </c>
      <c r="AI411">
        <v>10000</v>
      </c>
      <c r="AJ411">
        <v>10000</v>
      </c>
      <c r="AK411">
        <v>10000</v>
      </c>
      <c r="AL411">
        <v>10000</v>
      </c>
      <c r="AM411">
        <v>10000</v>
      </c>
      <c r="AN411">
        <v>10000</v>
      </c>
      <c r="AO411">
        <v>10000</v>
      </c>
      <c r="AP411">
        <v>10000</v>
      </c>
      <c r="AQ411">
        <v>10000</v>
      </c>
      <c r="AR411">
        <v>10000</v>
      </c>
      <c r="AS411">
        <v>10000</v>
      </c>
      <c r="AT411">
        <v>10000</v>
      </c>
      <c r="AU411">
        <v>10000</v>
      </c>
      <c r="AV411">
        <v>10000</v>
      </c>
      <c r="AW411">
        <v>10000</v>
      </c>
      <c r="AX411">
        <v>10000</v>
      </c>
      <c r="AY411">
        <v>10000</v>
      </c>
      <c r="AZ411">
        <v>10000</v>
      </c>
      <c r="BA411">
        <v>10000</v>
      </c>
      <c r="BB411">
        <v>10000</v>
      </c>
      <c r="BC411">
        <v>10000</v>
      </c>
      <c r="BD411">
        <v>10000</v>
      </c>
      <c r="BE411">
        <v>10000</v>
      </c>
      <c r="BF411">
        <v>10000</v>
      </c>
      <c r="BG411">
        <v>10000</v>
      </c>
      <c r="BH411">
        <v>10000</v>
      </c>
      <c r="BI411">
        <v>10000</v>
      </c>
      <c r="BJ411">
        <v>10000</v>
      </c>
      <c r="BK411">
        <v>10000</v>
      </c>
      <c r="BL411">
        <v>10000</v>
      </c>
      <c r="BM411">
        <v>10000</v>
      </c>
      <c r="BN411">
        <v>10000</v>
      </c>
      <c r="BO411">
        <v>10000</v>
      </c>
      <c r="BP411">
        <v>10000</v>
      </c>
      <c r="BQ411">
        <v>10000</v>
      </c>
      <c r="BR411">
        <v>10000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c r="DV411">
        <v>0</v>
      </c>
      <c r="DW411">
        <v>0</v>
      </c>
      <c r="DX411">
        <v>0</v>
      </c>
    </row>
    <row r="412" spans="13:128" hidden="1">
      <c r="M412" s="343" t="s">
        <v>633</v>
      </c>
      <c r="N412" t="s">
        <v>1010</v>
      </c>
      <c r="O412">
        <v>2</v>
      </c>
      <c r="P412">
        <v>33</v>
      </c>
      <c r="Q412" s="184" t="str">
        <f t="shared" si="15"/>
        <v>SDJ200233</v>
      </c>
      <c r="R412">
        <v>10000</v>
      </c>
      <c r="S412">
        <v>10000</v>
      </c>
      <c r="T412">
        <v>10000</v>
      </c>
      <c r="U412">
        <v>10000</v>
      </c>
      <c r="V412">
        <v>10000</v>
      </c>
      <c r="W412">
        <v>10000</v>
      </c>
      <c r="X412">
        <v>10000</v>
      </c>
      <c r="Y412">
        <v>10000</v>
      </c>
      <c r="Z412">
        <v>10000</v>
      </c>
      <c r="AA412">
        <v>10000</v>
      </c>
      <c r="AB412">
        <v>10000</v>
      </c>
      <c r="AC412">
        <v>10000</v>
      </c>
      <c r="AD412">
        <v>10000</v>
      </c>
      <c r="AE412">
        <v>10000</v>
      </c>
      <c r="AF412">
        <v>10000</v>
      </c>
      <c r="AG412">
        <v>10000</v>
      </c>
      <c r="AH412">
        <v>10000</v>
      </c>
      <c r="AI412">
        <v>10000</v>
      </c>
      <c r="AJ412">
        <v>10000</v>
      </c>
      <c r="AK412">
        <v>10000</v>
      </c>
      <c r="AL412">
        <v>10000</v>
      </c>
      <c r="AM412">
        <v>10000</v>
      </c>
      <c r="AN412">
        <v>10000</v>
      </c>
      <c r="AO412">
        <v>10000</v>
      </c>
      <c r="AP412">
        <v>10000</v>
      </c>
      <c r="AQ412">
        <v>10000</v>
      </c>
      <c r="AR412">
        <v>10000</v>
      </c>
      <c r="AS412">
        <v>10000</v>
      </c>
      <c r="AT412">
        <v>10000</v>
      </c>
      <c r="AU412">
        <v>10000</v>
      </c>
      <c r="AV412">
        <v>10000</v>
      </c>
      <c r="AW412">
        <v>10000</v>
      </c>
      <c r="AX412">
        <v>10000</v>
      </c>
      <c r="AY412">
        <v>10000</v>
      </c>
      <c r="AZ412">
        <v>10000</v>
      </c>
      <c r="BA412">
        <v>10000</v>
      </c>
      <c r="BB412">
        <v>10000</v>
      </c>
      <c r="BC412">
        <v>10000</v>
      </c>
      <c r="BD412">
        <v>10000</v>
      </c>
      <c r="BE412">
        <v>10000</v>
      </c>
      <c r="BF412">
        <v>10000</v>
      </c>
      <c r="BG412">
        <v>10000</v>
      </c>
      <c r="BH412">
        <v>10000</v>
      </c>
      <c r="BI412">
        <v>10000</v>
      </c>
      <c r="BJ412">
        <v>10000</v>
      </c>
      <c r="BK412">
        <v>10000</v>
      </c>
      <c r="BL412">
        <v>10000</v>
      </c>
      <c r="BM412">
        <v>10000</v>
      </c>
      <c r="BN412">
        <v>10000</v>
      </c>
      <c r="BO412">
        <v>10000</v>
      </c>
      <c r="BP412">
        <v>10000</v>
      </c>
      <c r="BQ412">
        <v>10000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0</v>
      </c>
      <c r="DT412">
        <v>0</v>
      </c>
      <c r="DU412">
        <v>0</v>
      </c>
      <c r="DV412">
        <v>0</v>
      </c>
      <c r="DW412">
        <v>0</v>
      </c>
      <c r="DX412">
        <v>0</v>
      </c>
    </row>
    <row r="413" spans="13:128" hidden="1">
      <c r="M413" s="343" t="s">
        <v>633</v>
      </c>
      <c r="N413" t="s">
        <v>1010</v>
      </c>
      <c r="O413">
        <v>2</v>
      </c>
      <c r="P413">
        <v>34</v>
      </c>
      <c r="Q413" s="184" t="str">
        <f t="shared" si="15"/>
        <v>SDJ200234</v>
      </c>
      <c r="R413">
        <v>10000</v>
      </c>
      <c r="S413">
        <v>10000</v>
      </c>
      <c r="T413">
        <v>10000</v>
      </c>
      <c r="U413">
        <v>10000</v>
      </c>
      <c r="V413">
        <v>10000</v>
      </c>
      <c r="W413">
        <v>10000</v>
      </c>
      <c r="X413">
        <v>10000</v>
      </c>
      <c r="Y413">
        <v>10000</v>
      </c>
      <c r="Z413">
        <v>10000</v>
      </c>
      <c r="AA413">
        <v>10000</v>
      </c>
      <c r="AB413">
        <v>10000</v>
      </c>
      <c r="AC413">
        <v>10000</v>
      </c>
      <c r="AD413">
        <v>10000</v>
      </c>
      <c r="AE413">
        <v>10000</v>
      </c>
      <c r="AF413">
        <v>10000</v>
      </c>
      <c r="AG413">
        <v>10000</v>
      </c>
      <c r="AH413">
        <v>10000</v>
      </c>
      <c r="AI413">
        <v>10000</v>
      </c>
      <c r="AJ413">
        <v>10000</v>
      </c>
      <c r="AK413">
        <v>10000</v>
      </c>
      <c r="AL413">
        <v>10000</v>
      </c>
      <c r="AM413">
        <v>10000</v>
      </c>
      <c r="AN413">
        <v>10000</v>
      </c>
      <c r="AO413">
        <v>10000</v>
      </c>
      <c r="AP413">
        <v>10000</v>
      </c>
      <c r="AQ413">
        <v>10000</v>
      </c>
      <c r="AR413">
        <v>10000</v>
      </c>
      <c r="AS413">
        <v>10000</v>
      </c>
      <c r="AT413">
        <v>10000</v>
      </c>
      <c r="AU413">
        <v>10000</v>
      </c>
      <c r="AV413">
        <v>10000</v>
      </c>
      <c r="AW413">
        <v>10000</v>
      </c>
      <c r="AX413">
        <v>10000</v>
      </c>
      <c r="AY413">
        <v>10000</v>
      </c>
      <c r="AZ413">
        <v>10000</v>
      </c>
      <c r="BA413">
        <v>10000</v>
      </c>
      <c r="BB413">
        <v>10000</v>
      </c>
      <c r="BC413">
        <v>10000</v>
      </c>
      <c r="BD413">
        <v>10000</v>
      </c>
      <c r="BE413">
        <v>10000</v>
      </c>
      <c r="BF413">
        <v>10000</v>
      </c>
      <c r="BG413">
        <v>10000</v>
      </c>
      <c r="BH413">
        <v>10000</v>
      </c>
      <c r="BI413">
        <v>10000</v>
      </c>
      <c r="BJ413">
        <v>10000</v>
      </c>
      <c r="BK413">
        <v>10000</v>
      </c>
      <c r="BL413">
        <v>10000</v>
      </c>
      <c r="BM413">
        <v>10000</v>
      </c>
      <c r="BN413">
        <v>10000</v>
      </c>
      <c r="BO413">
        <v>10000</v>
      </c>
      <c r="BP413">
        <v>10000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row>
    <row r="414" spans="13:128" hidden="1">
      <c r="M414" s="343" t="s">
        <v>633</v>
      </c>
      <c r="N414" t="s">
        <v>1010</v>
      </c>
      <c r="O414">
        <v>2</v>
      </c>
      <c r="P414">
        <v>35</v>
      </c>
      <c r="Q414" s="184" t="str">
        <f t="shared" si="15"/>
        <v>SDJ200235</v>
      </c>
      <c r="R414">
        <v>10000</v>
      </c>
      <c r="S414">
        <v>10000</v>
      </c>
      <c r="T414">
        <v>10000</v>
      </c>
      <c r="U414">
        <v>10000</v>
      </c>
      <c r="V414">
        <v>10000</v>
      </c>
      <c r="W414">
        <v>10000</v>
      </c>
      <c r="X414">
        <v>10000</v>
      </c>
      <c r="Y414">
        <v>10000</v>
      </c>
      <c r="Z414">
        <v>10000</v>
      </c>
      <c r="AA414">
        <v>10000</v>
      </c>
      <c r="AB414">
        <v>10000</v>
      </c>
      <c r="AC414">
        <v>10000</v>
      </c>
      <c r="AD414">
        <v>10000</v>
      </c>
      <c r="AE414">
        <v>10000</v>
      </c>
      <c r="AF414">
        <v>10000</v>
      </c>
      <c r="AG414">
        <v>10000</v>
      </c>
      <c r="AH414">
        <v>10000</v>
      </c>
      <c r="AI414">
        <v>10000</v>
      </c>
      <c r="AJ414">
        <v>10000</v>
      </c>
      <c r="AK414">
        <v>10000</v>
      </c>
      <c r="AL414">
        <v>10000</v>
      </c>
      <c r="AM414">
        <v>10000</v>
      </c>
      <c r="AN414">
        <v>10000</v>
      </c>
      <c r="AO414">
        <v>10000</v>
      </c>
      <c r="AP414">
        <v>10000</v>
      </c>
      <c r="AQ414">
        <v>10000</v>
      </c>
      <c r="AR414">
        <v>10000</v>
      </c>
      <c r="AS414">
        <v>10000</v>
      </c>
      <c r="AT414">
        <v>10000</v>
      </c>
      <c r="AU414">
        <v>10000</v>
      </c>
      <c r="AV414">
        <v>10000</v>
      </c>
      <c r="AW414">
        <v>10000</v>
      </c>
      <c r="AX414">
        <v>10000</v>
      </c>
      <c r="AY414">
        <v>10000</v>
      </c>
      <c r="AZ414">
        <v>10000</v>
      </c>
      <c r="BA414">
        <v>10000</v>
      </c>
      <c r="BB414">
        <v>10000</v>
      </c>
      <c r="BC414">
        <v>10000</v>
      </c>
      <c r="BD414">
        <v>10000</v>
      </c>
      <c r="BE414">
        <v>10000</v>
      </c>
      <c r="BF414">
        <v>10000</v>
      </c>
      <c r="BG414">
        <v>10000</v>
      </c>
      <c r="BH414">
        <v>10000</v>
      </c>
      <c r="BI414">
        <v>10000</v>
      </c>
      <c r="BJ414">
        <v>10000</v>
      </c>
      <c r="BK414">
        <v>10000</v>
      </c>
      <c r="BL414">
        <v>10000</v>
      </c>
      <c r="BM414">
        <v>10000</v>
      </c>
      <c r="BN414">
        <v>10000</v>
      </c>
      <c r="BO414">
        <v>10000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0</v>
      </c>
    </row>
    <row r="415" spans="13:128" hidden="1">
      <c r="M415" s="343" t="s">
        <v>633</v>
      </c>
      <c r="N415" t="s">
        <v>1010</v>
      </c>
      <c r="O415">
        <v>2</v>
      </c>
      <c r="P415">
        <v>36</v>
      </c>
      <c r="Q415" s="184" t="str">
        <f t="shared" si="15"/>
        <v>SDJ200236</v>
      </c>
      <c r="R415">
        <v>10000</v>
      </c>
      <c r="S415">
        <v>10000</v>
      </c>
      <c r="T415">
        <v>10000</v>
      </c>
      <c r="U415">
        <v>10000</v>
      </c>
      <c r="V415">
        <v>10000</v>
      </c>
      <c r="W415">
        <v>10000</v>
      </c>
      <c r="X415">
        <v>10000</v>
      </c>
      <c r="Y415">
        <v>10000</v>
      </c>
      <c r="Z415">
        <v>10000</v>
      </c>
      <c r="AA415">
        <v>10000</v>
      </c>
      <c r="AB415">
        <v>10000</v>
      </c>
      <c r="AC415">
        <v>10000</v>
      </c>
      <c r="AD415">
        <v>10000</v>
      </c>
      <c r="AE415">
        <v>10000</v>
      </c>
      <c r="AF415">
        <v>10000</v>
      </c>
      <c r="AG415">
        <v>10000</v>
      </c>
      <c r="AH415">
        <v>10000</v>
      </c>
      <c r="AI415">
        <v>10000</v>
      </c>
      <c r="AJ415">
        <v>10000</v>
      </c>
      <c r="AK415">
        <v>10000</v>
      </c>
      <c r="AL415">
        <v>10000</v>
      </c>
      <c r="AM415">
        <v>10000</v>
      </c>
      <c r="AN415">
        <v>10000</v>
      </c>
      <c r="AO415">
        <v>10000</v>
      </c>
      <c r="AP415">
        <v>10000</v>
      </c>
      <c r="AQ415">
        <v>10000</v>
      </c>
      <c r="AR415">
        <v>10000</v>
      </c>
      <c r="AS415">
        <v>10000</v>
      </c>
      <c r="AT415">
        <v>10000</v>
      </c>
      <c r="AU415">
        <v>10000</v>
      </c>
      <c r="AV415">
        <v>10000</v>
      </c>
      <c r="AW415">
        <v>10000</v>
      </c>
      <c r="AX415">
        <v>10000</v>
      </c>
      <c r="AY415">
        <v>10000</v>
      </c>
      <c r="AZ415">
        <v>10000</v>
      </c>
      <c r="BA415">
        <v>10000</v>
      </c>
      <c r="BB415">
        <v>10000</v>
      </c>
      <c r="BC415">
        <v>10000</v>
      </c>
      <c r="BD415">
        <v>10000</v>
      </c>
      <c r="BE415">
        <v>10000</v>
      </c>
      <c r="BF415">
        <v>10000</v>
      </c>
      <c r="BG415">
        <v>10000</v>
      </c>
      <c r="BH415">
        <v>10000</v>
      </c>
      <c r="BI415">
        <v>10000</v>
      </c>
      <c r="BJ415">
        <v>10000</v>
      </c>
      <c r="BK415">
        <v>10000</v>
      </c>
      <c r="BL415">
        <v>10000</v>
      </c>
      <c r="BM415">
        <v>10000</v>
      </c>
      <c r="BN415">
        <v>10000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v>0</v>
      </c>
      <c r="DW415">
        <v>0</v>
      </c>
      <c r="DX415">
        <v>0</v>
      </c>
    </row>
    <row r="416" spans="13:128" hidden="1">
      <c r="M416" s="343" t="s">
        <v>633</v>
      </c>
      <c r="N416" t="s">
        <v>1010</v>
      </c>
      <c r="O416">
        <v>2</v>
      </c>
      <c r="P416">
        <v>37</v>
      </c>
      <c r="Q416" s="184" t="str">
        <f t="shared" si="15"/>
        <v>SDJ200237</v>
      </c>
      <c r="R416">
        <v>10000</v>
      </c>
      <c r="S416">
        <v>10000</v>
      </c>
      <c r="T416">
        <v>10000</v>
      </c>
      <c r="U416">
        <v>10000</v>
      </c>
      <c r="V416">
        <v>10000</v>
      </c>
      <c r="W416">
        <v>10000</v>
      </c>
      <c r="X416">
        <v>10000</v>
      </c>
      <c r="Y416">
        <v>10000</v>
      </c>
      <c r="Z416">
        <v>10000</v>
      </c>
      <c r="AA416">
        <v>10000</v>
      </c>
      <c r="AB416">
        <v>10000</v>
      </c>
      <c r="AC416">
        <v>10000</v>
      </c>
      <c r="AD416">
        <v>10000</v>
      </c>
      <c r="AE416">
        <v>10000</v>
      </c>
      <c r="AF416">
        <v>10000</v>
      </c>
      <c r="AG416">
        <v>10000</v>
      </c>
      <c r="AH416">
        <v>10000</v>
      </c>
      <c r="AI416">
        <v>10000</v>
      </c>
      <c r="AJ416">
        <v>10000</v>
      </c>
      <c r="AK416">
        <v>10000</v>
      </c>
      <c r="AL416">
        <v>10000</v>
      </c>
      <c r="AM416">
        <v>10000</v>
      </c>
      <c r="AN416">
        <v>10000</v>
      </c>
      <c r="AO416">
        <v>10000</v>
      </c>
      <c r="AP416">
        <v>10000</v>
      </c>
      <c r="AQ416">
        <v>10000</v>
      </c>
      <c r="AR416">
        <v>10000</v>
      </c>
      <c r="AS416">
        <v>10000</v>
      </c>
      <c r="AT416">
        <v>10000</v>
      </c>
      <c r="AU416">
        <v>10000</v>
      </c>
      <c r="AV416">
        <v>10000</v>
      </c>
      <c r="AW416">
        <v>10000</v>
      </c>
      <c r="AX416">
        <v>10000</v>
      </c>
      <c r="AY416">
        <v>10000</v>
      </c>
      <c r="AZ416">
        <v>10000</v>
      </c>
      <c r="BA416">
        <v>10000</v>
      </c>
      <c r="BB416">
        <v>10000</v>
      </c>
      <c r="BC416">
        <v>10000</v>
      </c>
      <c r="BD416">
        <v>10000</v>
      </c>
      <c r="BE416">
        <v>10000</v>
      </c>
      <c r="BF416">
        <v>10000</v>
      </c>
      <c r="BG416">
        <v>10000</v>
      </c>
      <c r="BH416">
        <v>10000</v>
      </c>
      <c r="BI416">
        <v>10000</v>
      </c>
      <c r="BJ416">
        <v>10000</v>
      </c>
      <c r="BK416">
        <v>10000</v>
      </c>
      <c r="BL416">
        <v>10000</v>
      </c>
      <c r="BM416">
        <v>10000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row>
    <row r="417" spans="13:128" hidden="1">
      <c r="M417" s="343" t="s">
        <v>633</v>
      </c>
      <c r="N417" t="s">
        <v>1010</v>
      </c>
      <c r="O417">
        <v>2</v>
      </c>
      <c r="P417">
        <v>38</v>
      </c>
      <c r="Q417" s="184" t="str">
        <f t="shared" si="15"/>
        <v>SDJ200238</v>
      </c>
      <c r="R417">
        <v>10000</v>
      </c>
      <c r="S417">
        <v>10000</v>
      </c>
      <c r="T417">
        <v>10000</v>
      </c>
      <c r="U417">
        <v>10000</v>
      </c>
      <c r="V417">
        <v>10000</v>
      </c>
      <c r="W417">
        <v>10000</v>
      </c>
      <c r="X417">
        <v>10000</v>
      </c>
      <c r="Y417">
        <v>10000</v>
      </c>
      <c r="Z417">
        <v>10000</v>
      </c>
      <c r="AA417">
        <v>10000</v>
      </c>
      <c r="AB417">
        <v>10000</v>
      </c>
      <c r="AC417">
        <v>10000</v>
      </c>
      <c r="AD417">
        <v>10000</v>
      </c>
      <c r="AE417">
        <v>10000</v>
      </c>
      <c r="AF417">
        <v>10000</v>
      </c>
      <c r="AG417">
        <v>10000</v>
      </c>
      <c r="AH417">
        <v>10000</v>
      </c>
      <c r="AI417">
        <v>10000</v>
      </c>
      <c r="AJ417">
        <v>10000</v>
      </c>
      <c r="AK417">
        <v>10000</v>
      </c>
      <c r="AL417">
        <v>10000</v>
      </c>
      <c r="AM417">
        <v>10000</v>
      </c>
      <c r="AN417">
        <v>10000</v>
      </c>
      <c r="AO417">
        <v>10000</v>
      </c>
      <c r="AP417">
        <v>10000</v>
      </c>
      <c r="AQ417">
        <v>10000</v>
      </c>
      <c r="AR417">
        <v>10000</v>
      </c>
      <c r="AS417">
        <v>10000</v>
      </c>
      <c r="AT417">
        <v>10000</v>
      </c>
      <c r="AU417">
        <v>10000</v>
      </c>
      <c r="AV417">
        <v>10000</v>
      </c>
      <c r="AW417">
        <v>10000</v>
      </c>
      <c r="AX417">
        <v>10000</v>
      </c>
      <c r="AY417">
        <v>10000</v>
      </c>
      <c r="AZ417">
        <v>10000</v>
      </c>
      <c r="BA417">
        <v>10000</v>
      </c>
      <c r="BB417">
        <v>10000</v>
      </c>
      <c r="BC417">
        <v>10000</v>
      </c>
      <c r="BD417">
        <v>10000</v>
      </c>
      <c r="BE417">
        <v>10000</v>
      </c>
      <c r="BF417">
        <v>10000</v>
      </c>
      <c r="BG417">
        <v>10000</v>
      </c>
      <c r="BH417">
        <v>10000</v>
      </c>
      <c r="BI417">
        <v>10000</v>
      </c>
      <c r="BJ417">
        <v>10000</v>
      </c>
      <c r="BK417">
        <v>10000</v>
      </c>
      <c r="BL417">
        <v>10000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0</v>
      </c>
      <c r="DU417">
        <v>0</v>
      </c>
      <c r="DV417">
        <v>0</v>
      </c>
      <c r="DW417">
        <v>0</v>
      </c>
      <c r="DX417">
        <v>0</v>
      </c>
    </row>
    <row r="418" spans="13:128" hidden="1">
      <c r="M418" s="343" t="s">
        <v>633</v>
      </c>
      <c r="N418" t="s">
        <v>1010</v>
      </c>
      <c r="O418">
        <v>2</v>
      </c>
      <c r="P418">
        <v>39</v>
      </c>
      <c r="Q418" s="184" t="str">
        <f t="shared" si="15"/>
        <v>SDJ200239</v>
      </c>
      <c r="R418">
        <v>10000</v>
      </c>
      <c r="S418">
        <v>10000</v>
      </c>
      <c r="T418">
        <v>10000</v>
      </c>
      <c r="U418">
        <v>10000</v>
      </c>
      <c r="V418">
        <v>10000</v>
      </c>
      <c r="W418">
        <v>10000</v>
      </c>
      <c r="X418">
        <v>10000</v>
      </c>
      <c r="Y418">
        <v>10000</v>
      </c>
      <c r="Z418">
        <v>10000</v>
      </c>
      <c r="AA418">
        <v>10000</v>
      </c>
      <c r="AB418">
        <v>10000</v>
      </c>
      <c r="AC418">
        <v>10000</v>
      </c>
      <c r="AD418">
        <v>10000</v>
      </c>
      <c r="AE418">
        <v>10000</v>
      </c>
      <c r="AF418">
        <v>10000</v>
      </c>
      <c r="AG418">
        <v>10000</v>
      </c>
      <c r="AH418">
        <v>10000</v>
      </c>
      <c r="AI418">
        <v>10000</v>
      </c>
      <c r="AJ418">
        <v>10000</v>
      </c>
      <c r="AK418">
        <v>10000</v>
      </c>
      <c r="AL418">
        <v>10000</v>
      </c>
      <c r="AM418">
        <v>10000</v>
      </c>
      <c r="AN418">
        <v>10000</v>
      </c>
      <c r="AO418">
        <v>10000</v>
      </c>
      <c r="AP418">
        <v>10000</v>
      </c>
      <c r="AQ418">
        <v>10000</v>
      </c>
      <c r="AR418">
        <v>10000</v>
      </c>
      <c r="AS418">
        <v>10000</v>
      </c>
      <c r="AT418">
        <v>10000</v>
      </c>
      <c r="AU418">
        <v>10000</v>
      </c>
      <c r="AV418">
        <v>10000</v>
      </c>
      <c r="AW418">
        <v>10000</v>
      </c>
      <c r="AX418">
        <v>10000</v>
      </c>
      <c r="AY418">
        <v>10000</v>
      </c>
      <c r="AZ418">
        <v>10000</v>
      </c>
      <c r="BA418">
        <v>10000</v>
      </c>
      <c r="BB418">
        <v>10000</v>
      </c>
      <c r="BC418">
        <v>10000</v>
      </c>
      <c r="BD418">
        <v>10000</v>
      </c>
      <c r="BE418">
        <v>10000</v>
      </c>
      <c r="BF418">
        <v>10000</v>
      </c>
      <c r="BG418">
        <v>10000</v>
      </c>
      <c r="BH418">
        <v>10000</v>
      </c>
      <c r="BI418">
        <v>10000</v>
      </c>
      <c r="BJ418">
        <v>10000</v>
      </c>
      <c r="BK418">
        <v>10000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row>
    <row r="419" spans="13:128" hidden="1">
      <c r="M419" s="343" t="s">
        <v>633</v>
      </c>
      <c r="N419" t="s">
        <v>1010</v>
      </c>
      <c r="O419">
        <v>2</v>
      </c>
      <c r="P419">
        <v>40</v>
      </c>
      <c r="Q419" s="184" t="str">
        <f t="shared" si="15"/>
        <v>SDJ200240</v>
      </c>
      <c r="R419">
        <v>10000</v>
      </c>
      <c r="S419">
        <v>10000</v>
      </c>
      <c r="T419">
        <v>10000</v>
      </c>
      <c r="U419">
        <v>10000</v>
      </c>
      <c r="V419">
        <v>10000</v>
      </c>
      <c r="W419">
        <v>10000</v>
      </c>
      <c r="X419">
        <v>10000</v>
      </c>
      <c r="Y419">
        <v>10000</v>
      </c>
      <c r="Z419">
        <v>10000</v>
      </c>
      <c r="AA419">
        <v>10000</v>
      </c>
      <c r="AB419">
        <v>10000</v>
      </c>
      <c r="AC419">
        <v>10000</v>
      </c>
      <c r="AD419">
        <v>10000</v>
      </c>
      <c r="AE419">
        <v>10000</v>
      </c>
      <c r="AF419">
        <v>10000</v>
      </c>
      <c r="AG419">
        <v>10000</v>
      </c>
      <c r="AH419">
        <v>10000</v>
      </c>
      <c r="AI419">
        <v>10000</v>
      </c>
      <c r="AJ419">
        <v>10000</v>
      </c>
      <c r="AK419">
        <v>10000</v>
      </c>
      <c r="AL419">
        <v>10000</v>
      </c>
      <c r="AM419">
        <v>10000</v>
      </c>
      <c r="AN419">
        <v>10000</v>
      </c>
      <c r="AO419">
        <v>10000</v>
      </c>
      <c r="AP419">
        <v>10000</v>
      </c>
      <c r="AQ419">
        <v>10000</v>
      </c>
      <c r="AR419">
        <v>10000</v>
      </c>
      <c r="AS419">
        <v>10000</v>
      </c>
      <c r="AT419">
        <v>10000</v>
      </c>
      <c r="AU419">
        <v>10000</v>
      </c>
      <c r="AV419">
        <v>10000</v>
      </c>
      <c r="AW419">
        <v>10000</v>
      </c>
      <c r="AX419">
        <v>10000</v>
      </c>
      <c r="AY419">
        <v>10000</v>
      </c>
      <c r="AZ419">
        <v>10000</v>
      </c>
      <c r="BA419">
        <v>10000</v>
      </c>
      <c r="BB419">
        <v>10000</v>
      </c>
      <c r="BC419">
        <v>10000</v>
      </c>
      <c r="BD419">
        <v>10000</v>
      </c>
      <c r="BE419">
        <v>10000</v>
      </c>
      <c r="BF419">
        <v>10000</v>
      </c>
      <c r="BG419">
        <v>10000</v>
      </c>
      <c r="BH419">
        <v>10000</v>
      </c>
      <c r="BI419">
        <v>10000</v>
      </c>
      <c r="BJ419">
        <v>10000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v>0</v>
      </c>
      <c r="DW419">
        <v>0</v>
      </c>
      <c r="DX419">
        <v>0</v>
      </c>
    </row>
    <row r="420" spans="13:128" hidden="1">
      <c r="M420" s="343" t="s">
        <v>633</v>
      </c>
      <c r="N420" t="s">
        <v>1010</v>
      </c>
      <c r="O420">
        <v>2</v>
      </c>
      <c r="P420">
        <v>41</v>
      </c>
      <c r="Q420" s="184" t="str">
        <f t="shared" si="15"/>
        <v>SDJ200241</v>
      </c>
      <c r="R420">
        <v>10000</v>
      </c>
      <c r="S420">
        <v>10000</v>
      </c>
      <c r="T420">
        <v>10000</v>
      </c>
      <c r="U420">
        <v>10000</v>
      </c>
      <c r="V420">
        <v>10000</v>
      </c>
      <c r="W420">
        <v>10000</v>
      </c>
      <c r="X420">
        <v>10000</v>
      </c>
      <c r="Y420">
        <v>10000</v>
      </c>
      <c r="Z420">
        <v>10000</v>
      </c>
      <c r="AA420">
        <v>10000</v>
      </c>
      <c r="AB420">
        <v>10000</v>
      </c>
      <c r="AC420">
        <v>10000</v>
      </c>
      <c r="AD420">
        <v>10000</v>
      </c>
      <c r="AE420">
        <v>10000</v>
      </c>
      <c r="AF420">
        <v>10000</v>
      </c>
      <c r="AG420">
        <v>10000</v>
      </c>
      <c r="AH420">
        <v>10000</v>
      </c>
      <c r="AI420">
        <v>10000</v>
      </c>
      <c r="AJ420">
        <v>10000</v>
      </c>
      <c r="AK420">
        <v>10000</v>
      </c>
      <c r="AL420">
        <v>10000</v>
      </c>
      <c r="AM420">
        <v>10000</v>
      </c>
      <c r="AN420">
        <v>10000</v>
      </c>
      <c r="AO420">
        <v>10000</v>
      </c>
      <c r="AP420">
        <v>10000</v>
      </c>
      <c r="AQ420">
        <v>10000</v>
      </c>
      <c r="AR420">
        <v>10000</v>
      </c>
      <c r="AS420">
        <v>10000</v>
      </c>
      <c r="AT420">
        <v>10000</v>
      </c>
      <c r="AU420">
        <v>10000</v>
      </c>
      <c r="AV420">
        <v>10000</v>
      </c>
      <c r="AW420">
        <v>10000</v>
      </c>
      <c r="AX420">
        <v>10000</v>
      </c>
      <c r="AY420">
        <v>10000</v>
      </c>
      <c r="AZ420">
        <v>10000</v>
      </c>
      <c r="BA420">
        <v>10000</v>
      </c>
      <c r="BB420">
        <v>10000</v>
      </c>
      <c r="BC420">
        <v>10000</v>
      </c>
      <c r="BD420">
        <v>10000</v>
      </c>
      <c r="BE420">
        <v>10000</v>
      </c>
      <c r="BF420">
        <v>10000</v>
      </c>
      <c r="BG420">
        <v>10000</v>
      </c>
      <c r="BH420">
        <v>10000</v>
      </c>
      <c r="BI420">
        <v>10000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0</v>
      </c>
      <c r="DT420">
        <v>0</v>
      </c>
      <c r="DU420">
        <v>0</v>
      </c>
      <c r="DV420">
        <v>0</v>
      </c>
      <c r="DW420">
        <v>0</v>
      </c>
      <c r="DX420">
        <v>0</v>
      </c>
    </row>
    <row r="421" spans="13:128" hidden="1">
      <c r="M421" s="343" t="s">
        <v>633</v>
      </c>
      <c r="N421" t="s">
        <v>1010</v>
      </c>
      <c r="O421">
        <v>2</v>
      </c>
      <c r="P421">
        <v>42</v>
      </c>
      <c r="Q421" s="184" t="str">
        <f t="shared" si="15"/>
        <v>SDJ200242</v>
      </c>
      <c r="R421">
        <v>10000</v>
      </c>
      <c r="S421">
        <v>10000</v>
      </c>
      <c r="T421">
        <v>10000</v>
      </c>
      <c r="U421">
        <v>10000</v>
      </c>
      <c r="V421">
        <v>10000</v>
      </c>
      <c r="W421">
        <v>10000</v>
      </c>
      <c r="X421">
        <v>10000</v>
      </c>
      <c r="Y421">
        <v>10000</v>
      </c>
      <c r="Z421">
        <v>10000</v>
      </c>
      <c r="AA421">
        <v>10000</v>
      </c>
      <c r="AB421">
        <v>10000</v>
      </c>
      <c r="AC421">
        <v>10000</v>
      </c>
      <c r="AD421">
        <v>10000</v>
      </c>
      <c r="AE421">
        <v>10000</v>
      </c>
      <c r="AF421">
        <v>10000</v>
      </c>
      <c r="AG421">
        <v>10000</v>
      </c>
      <c r="AH421">
        <v>10000</v>
      </c>
      <c r="AI421">
        <v>10000</v>
      </c>
      <c r="AJ421">
        <v>10000</v>
      </c>
      <c r="AK421">
        <v>10282</v>
      </c>
      <c r="AL421">
        <v>10282</v>
      </c>
      <c r="AM421">
        <v>10282</v>
      </c>
      <c r="AN421">
        <v>10282</v>
      </c>
      <c r="AO421">
        <v>10282</v>
      </c>
      <c r="AP421">
        <v>10282</v>
      </c>
      <c r="AQ421">
        <v>10282</v>
      </c>
      <c r="AR421">
        <v>10282</v>
      </c>
      <c r="AS421">
        <v>10282</v>
      </c>
      <c r="AT421">
        <v>10282</v>
      </c>
      <c r="AU421">
        <v>10282</v>
      </c>
      <c r="AV421">
        <v>10282</v>
      </c>
      <c r="AW421">
        <v>10282</v>
      </c>
      <c r="AX421">
        <v>10282</v>
      </c>
      <c r="AY421">
        <v>10282</v>
      </c>
      <c r="AZ421">
        <v>10282</v>
      </c>
      <c r="BA421">
        <v>10282</v>
      </c>
      <c r="BB421">
        <v>10282</v>
      </c>
      <c r="BC421">
        <v>10282</v>
      </c>
      <c r="BD421">
        <v>10282</v>
      </c>
      <c r="BE421">
        <v>10282</v>
      </c>
      <c r="BF421">
        <v>10282</v>
      </c>
      <c r="BG421">
        <v>10282</v>
      </c>
      <c r="BH421">
        <v>10282</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0</v>
      </c>
      <c r="DN421">
        <v>0</v>
      </c>
      <c r="DO421">
        <v>0</v>
      </c>
      <c r="DP421">
        <v>0</v>
      </c>
      <c r="DQ421">
        <v>0</v>
      </c>
      <c r="DR421">
        <v>0</v>
      </c>
      <c r="DS421">
        <v>0</v>
      </c>
      <c r="DT421">
        <v>0</v>
      </c>
      <c r="DU421">
        <v>0</v>
      </c>
      <c r="DV421">
        <v>0</v>
      </c>
      <c r="DW421">
        <v>0</v>
      </c>
      <c r="DX421">
        <v>0</v>
      </c>
    </row>
    <row r="422" spans="13:128" hidden="1">
      <c r="M422" s="343" t="s">
        <v>633</v>
      </c>
      <c r="N422" t="s">
        <v>1010</v>
      </c>
      <c r="O422">
        <v>2</v>
      </c>
      <c r="P422">
        <v>43</v>
      </c>
      <c r="Q422" s="184" t="str">
        <f t="shared" si="15"/>
        <v>SDJ200243</v>
      </c>
      <c r="R422">
        <v>10000</v>
      </c>
      <c r="S422">
        <v>10000</v>
      </c>
      <c r="T422">
        <v>10000</v>
      </c>
      <c r="U422">
        <v>10000</v>
      </c>
      <c r="V422">
        <v>10000</v>
      </c>
      <c r="W422">
        <v>10000</v>
      </c>
      <c r="X422">
        <v>10000</v>
      </c>
      <c r="Y422">
        <v>10000</v>
      </c>
      <c r="Z422">
        <v>10000</v>
      </c>
      <c r="AA422">
        <v>10000</v>
      </c>
      <c r="AB422">
        <v>10000</v>
      </c>
      <c r="AC422">
        <v>10000</v>
      </c>
      <c r="AD422">
        <v>10000</v>
      </c>
      <c r="AE422">
        <v>10000</v>
      </c>
      <c r="AF422">
        <v>10000</v>
      </c>
      <c r="AG422">
        <v>10000</v>
      </c>
      <c r="AH422">
        <v>10000</v>
      </c>
      <c r="AI422">
        <v>10000</v>
      </c>
      <c r="AJ422">
        <v>10190.799999999999</v>
      </c>
      <c r="AK422">
        <v>10727.2</v>
      </c>
      <c r="AL422">
        <v>10727.2</v>
      </c>
      <c r="AM422">
        <v>10727.2</v>
      </c>
      <c r="AN422">
        <v>10727.2</v>
      </c>
      <c r="AO422">
        <v>10727.2</v>
      </c>
      <c r="AP422">
        <v>10727.2</v>
      </c>
      <c r="AQ422">
        <v>10727.2</v>
      </c>
      <c r="AR422">
        <v>10727.2</v>
      </c>
      <c r="AS422">
        <v>10727.2</v>
      </c>
      <c r="AT422">
        <v>10727.2</v>
      </c>
      <c r="AU422">
        <v>10727.2</v>
      </c>
      <c r="AV422">
        <v>10727.2</v>
      </c>
      <c r="AW422">
        <v>10727.2</v>
      </c>
      <c r="AX422">
        <v>10727.2</v>
      </c>
      <c r="AY422">
        <v>10727.2</v>
      </c>
      <c r="AZ422">
        <v>10727.2</v>
      </c>
      <c r="BA422">
        <v>10727.2</v>
      </c>
      <c r="BB422">
        <v>10727.2</v>
      </c>
      <c r="BC422">
        <v>10727.2</v>
      </c>
      <c r="BD422">
        <v>10727.2</v>
      </c>
      <c r="BE422">
        <v>10727.2</v>
      </c>
      <c r="BF422">
        <v>10727.2</v>
      </c>
      <c r="BG422">
        <v>10727.2</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0</v>
      </c>
      <c r="DU422">
        <v>0</v>
      </c>
      <c r="DV422">
        <v>0</v>
      </c>
      <c r="DW422">
        <v>0</v>
      </c>
      <c r="DX422">
        <v>0</v>
      </c>
    </row>
    <row r="423" spans="13:128" hidden="1">
      <c r="M423" s="343" t="s">
        <v>633</v>
      </c>
      <c r="N423" t="s">
        <v>1010</v>
      </c>
      <c r="O423">
        <v>2</v>
      </c>
      <c r="P423">
        <v>44</v>
      </c>
      <c r="Q423" s="184" t="str">
        <f t="shared" si="15"/>
        <v>SDJ200244</v>
      </c>
      <c r="R423">
        <v>10000</v>
      </c>
      <c r="S423">
        <v>10000</v>
      </c>
      <c r="T423">
        <v>10000</v>
      </c>
      <c r="U423">
        <v>10000</v>
      </c>
      <c r="V423">
        <v>10000</v>
      </c>
      <c r="W423">
        <v>10000</v>
      </c>
      <c r="X423">
        <v>10000</v>
      </c>
      <c r="Y423">
        <v>10000</v>
      </c>
      <c r="Z423">
        <v>10000</v>
      </c>
      <c r="AA423">
        <v>10000</v>
      </c>
      <c r="AB423">
        <v>10000</v>
      </c>
      <c r="AC423">
        <v>10000</v>
      </c>
      <c r="AD423">
        <v>10000</v>
      </c>
      <c r="AE423">
        <v>10000</v>
      </c>
      <c r="AF423">
        <v>10000</v>
      </c>
      <c r="AG423">
        <v>10000</v>
      </c>
      <c r="AH423">
        <v>10000</v>
      </c>
      <c r="AI423">
        <v>10055.200000000001</v>
      </c>
      <c r="AJ423">
        <v>10613.8</v>
      </c>
      <c r="AK423">
        <v>11172.4</v>
      </c>
      <c r="AL423">
        <v>11172.4</v>
      </c>
      <c r="AM423">
        <v>11172.4</v>
      </c>
      <c r="AN423">
        <v>11172.4</v>
      </c>
      <c r="AO423">
        <v>11172.4</v>
      </c>
      <c r="AP423">
        <v>11172.4</v>
      </c>
      <c r="AQ423">
        <v>11172.4</v>
      </c>
      <c r="AR423">
        <v>11172.4</v>
      </c>
      <c r="AS423">
        <v>11172.4</v>
      </c>
      <c r="AT423">
        <v>11172.4</v>
      </c>
      <c r="AU423">
        <v>11172.4</v>
      </c>
      <c r="AV423">
        <v>11172.4</v>
      </c>
      <c r="AW423">
        <v>11172.4</v>
      </c>
      <c r="AX423">
        <v>11172.4</v>
      </c>
      <c r="AY423">
        <v>11172.4</v>
      </c>
      <c r="AZ423">
        <v>11172.4</v>
      </c>
      <c r="BA423">
        <v>11172.4</v>
      </c>
      <c r="BB423">
        <v>11172.4</v>
      </c>
      <c r="BC423">
        <v>11172.4</v>
      </c>
      <c r="BD423">
        <v>11172.4</v>
      </c>
      <c r="BE423">
        <v>11172.4</v>
      </c>
      <c r="BF423">
        <v>11172.4</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0</v>
      </c>
      <c r="DV423">
        <v>0</v>
      </c>
      <c r="DW423">
        <v>0</v>
      </c>
      <c r="DX423">
        <v>0</v>
      </c>
    </row>
    <row r="424" spans="13:128" hidden="1">
      <c r="M424" s="343" t="s">
        <v>633</v>
      </c>
      <c r="N424" t="s">
        <v>1010</v>
      </c>
      <c r="O424">
        <v>2</v>
      </c>
      <c r="P424">
        <v>45</v>
      </c>
      <c r="Q424" s="184" t="str">
        <f t="shared" si="15"/>
        <v>SDJ200245</v>
      </c>
      <c r="R424">
        <v>10000</v>
      </c>
      <c r="S424">
        <v>10000</v>
      </c>
      <c r="T424">
        <v>10000</v>
      </c>
      <c r="U424">
        <v>10000</v>
      </c>
      <c r="V424">
        <v>10000</v>
      </c>
      <c r="W424">
        <v>10000</v>
      </c>
      <c r="X424">
        <v>10000</v>
      </c>
      <c r="Y424">
        <v>10000</v>
      </c>
      <c r="Z424">
        <v>10000</v>
      </c>
      <c r="AA424">
        <v>10000</v>
      </c>
      <c r="AB424">
        <v>10000</v>
      </c>
      <c r="AC424">
        <v>10000</v>
      </c>
      <c r="AD424">
        <v>10000</v>
      </c>
      <c r="AE424">
        <v>10000</v>
      </c>
      <c r="AF424">
        <v>10000</v>
      </c>
      <c r="AG424">
        <v>10000</v>
      </c>
      <c r="AH424">
        <v>10000</v>
      </c>
      <c r="AI424">
        <v>10455.799999999999</v>
      </c>
      <c r="AJ424">
        <v>11036.7</v>
      </c>
      <c r="AK424">
        <v>11617.6</v>
      </c>
      <c r="AL424">
        <v>11617.6</v>
      </c>
      <c r="AM424">
        <v>11617.6</v>
      </c>
      <c r="AN424">
        <v>11617.6</v>
      </c>
      <c r="AO424">
        <v>11617.6</v>
      </c>
      <c r="AP424">
        <v>11617.6</v>
      </c>
      <c r="AQ424">
        <v>11617.6</v>
      </c>
      <c r="AR424">
        <v>11617.6</v>
      </c>
      <c r="AS424">
        <v>11617.6</v>
      </c>
      <c r="AT424">
        <v>11617.6</v>
      </c>
      <c r="AU424">
        <v>11617.6</v>
      </c>
      <c r="AV424">
        <v>11617.6</v>
      </c>
      <c r="AW424">
        <v>11617.6</v>
      </c>
      <c r="AX424">
        <v>11617.6</v>
      </c>
      <c r="AY424">
        <v>11617.6</v>
      </c>
      <c r="AZ424">
        <v>11617.6</v>
      </c>
      <c r="BA424">
        <v>11617.6</v>
      </c>
      <c r="BB424">
        <v>11617.6</v>
      </c>
      <c r="BC424">
        <v>11617.6</v>
      </c>
      <c r="BD424">
        <v>11617.6</v>
      </c>
      <c r="BE424">
        <v>11617.6</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v>0</v>
      </c>
      <c r="DW424">
        <v>0</v>
      </c>
      <c r="DX424">
        <v>0</v>
      </c>
    </row>
    <row r="425" spans="13:128" hidden="1">
      <c r="M425" s="343" t="s">
        <v>633</v>
      </c>
      <c r="N425" t="s">
        <v>1010</v>
      </c>
      <c r="O425">
        <v>2</v>
      </c>
      <c r="P425">
        <v>46</v>
      </c>
      <c r="Q425" s="184" t="str">
        <f t="shared" si="15"/>
        <v>SDJ200246</v>
      </c>
      <c r="R425">
        <v>10000</v>
      </c>
      <c r="S425">
        <v>10000</v>
      </c>
      <c r="T425">
        <v>10000</v>
      </c>
      <c r="U425">
        <v>10000</v>
      </c>
      <c r="V425">
        <v>10000</v>
      </c>
      <c r="W425">
        <v>10000</v>
      </c>
      <c r="X425">
        <v>10000</v>
      </c>
      <c r="Y425">
        <v>10000</v>
      </c>
      <c r="Z425">
        <v>10000</v>
      </c>
      <c r="AA425">
        <v>10000</v>
      </c>
      <c r="AB425">
        <v>10000</v>
      </c>
      <c r="AC425">
        <v>10000</v>
      </c>
      <c r="AD425">
        <v>10000</v>
      </c>
      <c r="AE425">
        <v>10000</v>
      </c>
      <c r="AF425">
        <v>10000</v>
      </c>
      <c r="AG425">
        <v>10000</v>
      </c>
      <c r="AH425">
        <v>10253.4</v>
      </c>
      <c r="AI425">
        <v>10856.5</v>
      </c>
      <c r="AJ425">
        <v>11459.7</v>
      </c>
      <c r="AK425">
        <v>12062.8</v>
      </c>
      <c r="AL425">
        <v>12062.8</v>
      </c>
      <c r="AM425">
        <v>12062.8</v>
      </c>
      <c r="AN425">
        <v>12062.8</v>
      </c>
      <c r="AO425">
        <v>12062.8</v>
      </c>
      <c r="AP425">
        <v>12062.8</v>
      </c>
      <c r="AQ425">
        <v>12062.8</v>
      </c>
      <c r="AR425">
        <v>12062.8</v>
      </c>
      <c r="AS425">
        <v>12062.8</v>
      </c>
      <c r="AT425">
        <v>12062.8</v>
      </c>
      <c r="AU425">
        <v>12062.8</v>
      </c>
      <c r="AV425">
        <v>12062.8</v>
      </c>
      <c r="AW425">
        <v>12062.8</v>
      </c>
      <c r="AX425">
        <v>12062.8</v>
      </c>
      <c r="AY425">
        <v>12062.8</v>
      </c>
      <c r="AZ425">
        <v>12062.8</v>
      </c>
      <c r="BA425">
        <v>12062.8</v>
      </c>
      <c r="BB425">
        <v>12062.8</v>
      </c>
      <c r="BC425">
        <v>12062.8</v>
      </c>
      <c r="BD425">
        <v>12062.8</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v>0</v>
      </c>
      <c r="DW425">
        <v>0</v>
      </c>
      <c r="DX425">
        <v>0</v>
      </c>
    </row>
    <row r="426" spans="13:128" hidden="1">
      <c r="M426" s="343" t="s">
        <v>633</v>
      </c>
      <c r="N426" t="s">
        <v>1010</v>
      </c>
      <c r="O426">
        <v>2</v>
      </c>
      <c r="P426">
        <v>47</v>
      </c>
      <c r="Q426" s="184" t="str">
        <f t="shared" si="15"/>
        <v>SDJ200247</v>
      </c>
      <c r="R426">
        <v>10000</v>
      </c>
      <c r="S426">
        <v>10000</v>
      </c>
      <c r="T426">
        <v>10000</v>
      </c>
      <c r="U426">
        <v>10000</v>
      </c>
      <c r="V426">
        <v>10000</v>
      </c>
      <c r="W426">
        <v>10000</v>
      </c>
      <c r="X426">
        <v>10000</v>
      </c>
      <c r="Y426">
        <v>10000</v>
      </c>
      <c r="Z426">
        <v>10000</v>
      </c>
      <c r="AA426">
        <v>10000</v>
      </c>
      <c r="AB426">
        <v>10000</v>
      </c>
      <c r="AC426">
        <v>10000</v>
      </c>
      <c r="AD426">
        <v>10000</v>
      </c>
      <c r="AE426">
        <v>10000</v>
      </c>
      <c r="AF426">
        <v>10000</v>
      </c>
      <c r="AG426">
        <v>10006.4</v>
      </c>
      <c r="AH426">
        <v>10631.8</v>
      </c>
      <c r="AI426">
        <v>11257.2</v>
      </c>
      <c r="AJ426">
        <v>11882.6</v>
      </c>
      <c r="AK426">
        <v>12508</v>
      </c>
      <c r="AL426">
        <v>12508</v>
      </c>
      <c r="AM426">
        <v>12508</v>
      </c>
      <c r="AN426">
        <v>12508</v>
      </c>
      <c r="AO426">
        <v>12508</v>
      </c>
      <c r="AP426">
        <v>12508</v>
      </c>
      <c r="AQ426">
        <v>12508</v>
      </c>
      <c r="AR426">
        <v>12508</v>
      </c>
      <c r="AS426">
        <v>12508</v>
      </c>
      <c r="AT426">
        <v>12508</v>
      </c>
      <c r="AU426">
        <v>12508</v>
      </c>
      <c r="AV426">
        <v>12508</v>
      </c>
      <c r="AW426">
        <v>12508</v>
      </c>
      <c r="AX426">
        <v>12508</v>
      </c>
      <c r="AY426">
        <v>12508</v>
      </c>
      <c r="AZ426">
        <v>12508</v>
      </c>
      <c r="BA426">
        <v>12508</v>
      </c>
      <c r="BB426">
        <v>12508</v>
      </c>
      <c r="BC426">
        <v>12508</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v>0</v>
      </c>
      <c r="DW426">
        <v>0</v>
      </c>
      <c r="DX426">
        <v>0</v>
      </c>
    </row>
    <row r="427" spans="13:128" hidden="1">
      <c r="M427" s="343" t="s">
        <v>633</v>
      </c>
      <c r="N427" t="s">
        <v>1010</v>
      </c>
      <c r="O427">
        <v>2</v>
      </c>
      <c r="P427">
        <v>48</v>
      </c>
      <c r="Q427" s="184" t="str">
        <f t="shared" si="15"/>
        <v>SDJ200248</v>
      </c>
      <c r="R427">
        <v>10000</v>
      </c>
      <c r="S427">
        <v>10000</v>
      </c>
      <c r="T427">
        <v>10000</v>
      </c>
      <c r="U427">
        <v>10000</v>
      </c>
      <c r="V427">
        <v>10000</v>
      </c>
      <c r="W427">
        <v>10000</v>
      </c>
      <c r="X427">
        <v>10000</v>
      </c>
      <c r="Y427">
        <v>10000</v>
      </c>
      <c r="Z427">
        <v>10000</v>
      </c>
      <c r="AA427">
        <v>10000</v>
      </c>
      <c r="AB427">
        <v>10000</v>
      </c>
      <c r="AC427">
        <v>10000</v>
      </c>
      <c r="AD427">
        <v>10000</v>
      </c>
      <c r="AE427">
        <v>10000</v>
      </c>
      <c r="AF427">
        <v>10000</v>
      </c>
      <c r="AG427">
        <v>10362.6</v>
      </c>
      <c r="AH427">
        <v>11010.2</v>
      </c>
      <c r="AI427">
        <v>11657.9</v>
      </c>
      <c r="AJ427">
        <v>12305.5</v>
      </c>
      <c r="AK427">
        <v>12953.2</v>
      </c>
      <c r="AL427">
        <v>12953.2</v>
      </c>
      <c r="AM427">
        <v>12953.2</v>
      </c>
      <c r="AN427">
        <v>12953.2</v>
      </c>
      <c r="AO427">
        <v>12953.2</v>
      </c>
      <c r="AP427">
        <v>12953.2</v>
      </c>
      <c r="AQ427">
        <v>12953.2</v>
      </c>
      <c r="AR427">
        <v>12953.2</v>
      </c>
      <c r="AS427">
        <v>12953.2</v>
      </c>
      <c r="AT427">
        <v>12953.2</v>
      </c>
      <c r="AU427">
        <v>12953.2</v>
      </c>
      <c r="AV427">
        <v>12953.2</v>
      </c>
      <c r="AW427">
        <v>12953.2</v>
      </c>
      <c r="AX427">
        <v>12953.2</v>
      </c>
      <c r="AY427">
        <v>12953.2</v>
      </c>
      <c r="AZ427">
        <v>12953.2</v>
      </c>
      <c r="BA427">
        <v>12953.2</v>
      </c>
      <c r="BB427">
        <v>12953.2</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row>
    <row r="428" spans="13:128" hidden="1">
      <c r="M428" s="343" t="s">
        <v>633</v>
      </c>
      <c r="N428" t="s">
        <v>1010</v>
      </c>
      <c r="O428">
        <v>2</v>
      </c>
      <c r="P428">
        <v>49</v>
      </c>
      <c r="Q428" s="184" t="str">
        <f t="shared" si="15"/>
        <v>SDJ200249</v>
      </c>
      <c r="R428">
        <v>10000</v>
      </c>
      <c r="S428">
        <v>10000</v>
      </c>
      <c r="T428">
        <v>10000</v>
      </c>
      <c r="U428">
        <v>10000</v>
      </c>
      <c r="V428">
        <v>10000</v>
      </c>
      <c r="W428">
        <v>10000</v>
      </c>
      <c r="X428">
        <v>10000</v>
      </c>
      <c r="Y428">
        <v>10000</v>
      </c>
      <c r="Z428">
        <v>10000</v>
      </c>
      <c r="AA428">
        <v>10000</v>
      </c>
      <c r="AB428">
        <v>10000</v>
      </c>
      <c r="AC428">
        <v>10000</v>
      </c>
      <c r="AD428">
        <v>10000</v>
      </c>
      <c r="AE428">
        <v>10000</v>
      </c>
      <c r="AF428">
        <v>10144.200000000001</v>
      </c>
      <c r="AG428">
        <v>10820.5</v>
      </c>
      <c r="AH428">
        <v>11496.8</v>
      </c>
      <c r="AI428">
        <v>12173</v>
      </c>
      <c r="AJ428">
        <v>12849.3</v>
      </c>
      <c r="AK428">
        <v>13525.6</v>
      </c>
      <c r="AL428">
        <v>13525.6</v>
      </c>
      <c r="AM428">
        <v>13525.6</v>
      </c>
      <c r="AN428">
        <v>13525.6</v>
      </c>
      <c r="AO428">
        <v>13525.6</v>
      </c>
      <c r="AP428">
        <v>13525.6</v>
      </c>
      <c r="AQ428">
        <v>13525.6</v>
      </c>
      <c r="AR428">
        <v>13525.6</v>
      </c>
      <c r="AS428">
        <v>13525.6</v>
      </c>
      <c r="AT428">
        <v>13525.6</v>
      </c>
      <c r="AU428">
        <v>13525.6</v>
      </c>
      <c r="AV428">
        <v>13525.6</v>
      </c>
      <c r="AW428">
        <v>13525.6</v>
      </c>
      <c r="AX428">
        <v>13525.6</v>
      </c>
      <c r="AY428">
        <v>13525.6</v>
      </c>
      <c r="AZ428">
        <v>13525.6</v>
      </c>
      <c r="BA428">
        <v>13525.6</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row>
    <row r="429" spans="13:128" hidden="1">
      <c r="M429" s="343" t="s">
        <v>633</v>
      </c>
      <c r="N429" t="s">
        <v>1010</v>
      </c>
      <c r="O429">
        <v>2</v>
      </c>
      <c r="P429">
        <v>50</v>
      </c>
      <c r="Q429" s="184" t="str">
        <f t="shared" si="15"/>
        <v>SDJ200250</v>
      </c>
      <c r="R429">
        <v>10000</v>
      </c>
      <c r="S429">
        <v>10000</v>
      </c>
      <c r="T429">
        <v>10000</v>
      </c>
      <c r="U429">
        <v>10000</v>
      </c>
      <c r="V429">
        <v>10000</v>
      </c>
      <c r="W429">
        <v>10000</v>
      </c>
      <c r="X429">
        <v>10000</v>
      </c>
      <c r="Y429">
        <v>10000</v>
      </c>
      <c r="Z429">
        <v>10000</v>
      </c>
      <c r="AA429">
        <v>10000</v>
      </c>
      <c r="AB429">
        <v>10000</v>
      </c>
      <c r="AC429">
        <v>10000</v>
      </c>
      <c r="AD429">
        <v>10000</v>
      </c>
      <c r="AE429">
        <v>10000</v>
      </c>
      <c r="AF429">
        <v>10573.5</v>
      </c>
      <c r="AG429">
        <v>11278.4</v>
      </c>
      <c r="AH429">
        <v>11983.3</v>
      </c>
      <c r="AI429">
        <v>12688.2</v>
      </c>
      <c r="AJ429">
        <v>13393.1</v>
      </c>
      <c r="AK429">
        <v>14098</v>
      </c>
      <c r="AL429">
        <v>14098</v>
      </c>
      <c r="AM429">
        <v>14098</v>
      </c>
      <c r="AN429">
        <v>14098</v>
      </c>
      <c r="AO429">
        <v>14098</v>
      </c>
      <c r="AP429">
        <v>14098</v>
      </c>
      <c r="AQ429">
        <v>14098</v>
      </c>
      <c r="AR429">
        <v>14098</v>
      </c>
      <c r="AS429">
        <v>14098</v>
      </c>
      <c r="AT429">
        <v>14098</v>
      </c>
      <c r="AU429">
        <v>14098</v>
      </c>
      <c r="AV429">
        <v>14098</v>
      </c>
      <c r="AW429">
        <v>14098</v>
      </c>
      <c r="AX429">
        <v>14098</v>
      </c>
      <c r="AY429">
        <v>14098</v>
      </c>
      <c r="AZ429">
        <v>14098</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row>
  </sheetData>
  <sheetProtection algorithmName="SHA-512" hashValue="vNeXYacfIekjYzuncxxs3I6Cq+BnphEdWlV97zsemXRcKcM/UZCFHz3JrH4LYmXFV2HThA6Y49W+vYKwPzmTyg==" saltValue="TN/tJpVWwOun/6fL9DwBIg==" spinCount="100000" sheet="1" objects="1" scenarios="1"/>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4"/>
  <dimension ref="B2:G48"/>
  <sheetViews>
    <sheetView topLeftCell="XFD1048576" workbookViewId="0"/>
  </sheetViews>
  <sheetFormatPr defaultColWidth="0" defaultRowHeight="16.5" zeroHeight="1"/>
  <cols>
    <col min="1" max="1" width="9.33203125" style="443" hidden="1"/>
    <col min="2" max="2" width="19.5" style="443" hidden="1"/>
    <col min="3" max="3" width="25.1640625" style="443" hidden="1"/>
    <col min="4" max="4" width="31.83203125" style="443" hidden="1"/>
    <col min="5" max="6" width="9.33203125" style="443" hidden="1"/>
    <col min="7" max="7" width="25.1640625" style="443" hidden="1"/>
    <col min="8" max="16384" width="9.33203125" style="443" hidden="1"/>
  </cols>
  <sheetData>
    <row r="2" spans="2:7" hidden="1">
      <c r="B2" s="441" t="s">
        <v>945</v>
      </c>
      <c r="C2" s="442">
        <v>10000</v>
      </c>
    </row>
    <row r="3" spans="2:7" hidden="1">
      <c r="C3" s="444" t="s">
        <v>946</v>
      </c>
      <c r="D3" s="444" t="s">
        <v>947</v>
      </c>
    </row>
    <row r="4" spans="2:7" hidden="1">
      <c r="B4" s="441" t="s">
        <v>948</v>
      </c>
      <c r="C4" s="445">
        <f>MIN(1,ROUND(輸入頁!$G$26,2))</f>
        <v>0</v>
      </c>
      <c r="D4" s="446">
        <f>1-C4</f>
        <v>1</v>
      </c>
      <c r="F4" s="443" t="s">
        <v>949</v>
      </c>
      <c r="G4" s="443">
        <v>1</v>
      </c>
    </row>
    <row r="5" spans="2:7" hidden="1">
      <c r="B5" s="441" t="s">
        <v>950</v>
      </c>
      <c r="C5" s="447">
        <f>$C$38</f>
        <v>20000</v>
      </c>
      <c r="D5" s="448">
        <f>$D$38</f>
        <v>200000</v>
      </c>
      <c r="F5" s="443" t="s">
        <v>951</v>
      </c>
      <c r="G5" s="443">
        <v>2</v>
      </c>
    </row>
    <row r="6" spans="2:7" hidden="1">
      <c r="B6" s="441" t="s">
        <v>1008</v>
      </c>
      <c r="C6" s="449">
        <f>輸入頁!$G$30</f>
        <v>24</v>
      </c>
      <c r="F6" s="443" t="s">
        <v>952</v>
      </c>
      <c r="G6" s="443">
        <v>4</v>
      </c>
    </row>
    <row r="7" spans="2:7" hidden="1">
      <c r="B7" s="441" t="s">
        <v>953</v>
      </c>
      <c r="C7" s="450">
        <f>$B$30</f>
        <v>0.02</v>
      </c>
      <c r="F7" s="443" t="s">
        <v>954</v>
      </c>
      <c r="G7" s="443">
        <v>12</v>
      </c>
    </row>
    <row r="8" spans="2:7" hidden="1">
      <c r="B8" s="441" t="s">
        <v>955</v>
      </c>
      <c r="C8" s="451" t="s">
        <v>1009</v>
      </c>
      <c r="D8" s="441">
        <f>VLOOKUP($C$8,$F$4:$G$7,2,0)</f>
        <v>12</v>
      </c>
    </row>
    <row r="9" spans="2:7" hidden="1">
      <c r="C9" s="452"/>
    </row>
    <row r="10" spans="2:7" hidden="1">
      <c r="B10" s="443" t="s">
        <v>956</v>
      </c>
      <c r="C10" s="453">
        <f>IF(C6=0,,C2*(1-(1+$C$7)^-(1/12))/(1-(1+$C$7)^-($C$6/12)))</f>
        <v>424.62176859634428</v>
      </c>
      <c r="D10" s="454" t="s">
        <v>957</v>
      </c>
    </row>
    <row r="11" spans="2:7" hidden="1">
      <c r="C11" s="455">
        <f>(1-(1+$C$7)^-(1/12))/(1-(1+$C$7)^-($C$6/12))</f>
        <v>4.2462176859634423E-2</v>
      </c>
      <c r="D11" s="454" t="s">
        <v>958</v>
      </c>
    </row>
    <row r="12" spans="2:7" hidden="1">
      <c r="C12" s="452"/>
    </row>
    <row r="13" spans="2:7" hidden="1">
      <c r="C13" s="452"/>
    </row>
    <row r="15" spans="2:7" hidden="1">
      <c r="B15" s="443" t="s">
        <v>959</v>
      </c>
    </row>
    <row r="16" spans="2:7" hidden="1">
      <c r="B16" s="441" t="s">
        <v>960</v>
      </c>
      <c r="C16" s="456">
        <f>ROUND(PMT($C$7/$D$8,$C$6*$D$8,-$C$2*$C$4,,1),0)</f>
        <v>0</v>
      </c>
    </row>
    <row r="17" spans="2:5" hidden="1">
      <c r="B17" s="441" t="s">
        <v>961</v>
      </c>
      <c r="C17" s="448">
        <f>C16*C6*D8</f>
        <v>0</v>
      </c>
    </row>
    <row r="18" spans="2:5" hidden="1">
      <c r="B18" s="441" t="s">
        <v>962</v>
      </c>
      <c r="C18" s="457">
        <f>PMT($C$7/$D$8,$C$6*$D$8,-$C$2,,1)/C2</f>
        <v>4.3675262625826909E-3</v>
      </c>
      <c r="D18" s="454" t="s">
        <v>963</v>
      </c>
    </row>
    <row r="20" spans="2:5" hidden="1">
      <c r="B20" s="443" t="s">
        <v>964</v>
      </c>
    </row>
    <row r="21" spans="2:5" hidden="1">
      <c r="B21" s="441" t="s">
        <v>960</v>
      </c>
      <c r="C21" s="458">
        <v>550</v>
      </c>
      <c r="D21" s="454" t="s">
        <v>965</v>
      </c>
    </row>
    <row r="22" spans="2:5" hidden="1">
      <c r="B22" s="441" t="s">
        <v>961</v>
      </c>
      <c r="C22" s="448">
        <f>C21*(($C$26*$D$8)+$C$27)</f>
        <v>9900</v>
      </c>
    </row>
    <row r="23" spans="2:5" hidden="1">
      <c r="B23" s="441" t="s">
        <v>962</v>
      </c>
      <c r="C23" s="459" t="e">
        <f>$C$21/($C$2/$C$4)</f>
        <v>#DIV/0!</v>
      </c>
    </row>
    <row r="24" spans="2:5" hidden="1">
      <c r="B24" s="441" t="s">
        <v>966</v>
      </c>
      <c r="C24" s="460">
        <f>NPER($C$7/$D$8,$C$21,-$C$2,0,1)</f>
        <v>18.447153576397028</v>
      </c>
    </row>
    <row r="25" spans="2:5" hidden="1">
      <c r="B25" s="441" t="s">
        <v>967</v>
      </c>
      <c r="C25" s="461">
        <f>ROUND(C21*($C$24-ROUNDDOWN($C$24,0)),0)</f>
        <v>246</v>
      </c>
    </row>
    <row r="26" spans="2:5" hidden="1">
      <c r="B26" s="441" t="s">
        <v>968</v>
      </c>
      <c r="C26" s="461">
        <f>ROUNDDOWN(ROUNDDOWN($C$24,0)/$D$8,0)</f>
        <v>1</v>
      </c>
      <c r="D26" s="454" t="s">
        <v>969</v>
      </c>
    </row>
    <row r="27" spans="2:5" hidden="1">
      <c r="B27" s="441" t="str">
        <f>"給付"&amp;C8&amp;"次"</f>
        <v>給付月次</v>
      </c>
      <c r="C27" s="461">
        <f>ROUNDDOWN($C$24,0)-($C$26*$D$8)</f>
        <v>6</v>
      </c>
      <c r="D27" s="454" t="str">
        <f>"EX："&amp;$C$26&amp;" 年 "&amp;IF($C$27=0,"",C27&amp;" "&amp;$C$8)</f>
        <v>EX：1 年 6 月</v>
      </c>
    </row>
    <row r="29" spans="2:5" hidden="1">
      <c r="B29" s="441" t="s">
        <v>970</v>
      </c>
      <c r="C29" s="444">
        <f>OP!$C$21</f>
        <v>1</v>
      </c>
      <c r="D29" s="462" t="s">
        <v>759</v>
      </c>
      <c r="E29" s="443" t="s">
        <v>971</v>
      </c>
    </row>
    <row r="30" spans="2:5" hidden="1">
      <c r="B30" s="463">
        <f>IF($C$29=1,$C$31,IF($C$29=2,$D$31,$E$31))</f>
        <v>0.02</v>
      </c>
      <c r="C30" s="444" t="s">
        <v>972</v>
      </c>
      <c r="D30" s="444" t="s">
        <v>973</v>
      </c>
      <c r="E30" s="441" t="s">
        <v>974</v>
      </c>
    </row>
    <row r="31" spans="2:5" hidden="1">
      <c r="B31" s="444"/>
      <c r="C31" s="464">
        <v>0.02</v>
      </c>
      <c r="D31" s="464">
        <v>2.5000000000000001E-2</v>
      </c>
      <c r="E31" s="464">
        <v>2.75E-2</v>
      </c>
    </row>
    <row r="32" spans="2:5" hidden="1">
      <c r="B32" s="444"/>
      <c r="C32" s="464"/>
      <c r="D32" s="464"/>
    </row>
    <row r="33" spans="2:6" hidden="1">
      <c r="B33" s="444"/>
      <c r="C33" s="444"/>
      <c r="D33" s="444"/>
    </row>
    <row r="34" spans="2:6" hidden="1">
      <c r="B34" s="444"/>
      <c r="C34" s="444"/>
      <c r="D34" s="444"/>
    </row>
    <row r="35" spans="2:6" hidden="1">
      <c r="B35" s="444"/>
      <c r="C35" s="444"/>
      <c r="D35" s="444"/>
    </row>
    <row r="37" spans="2:6" hidden="1">
      <c r="B37" s="441" t="s">
        <v>975</v>
      </c>
      <c r="C37" s="441" t="s">
        <v>976</v>
      </c>
      <c r="D37" s="441" t="s">
        <v>977</v>
      </c>
    </row>
    <row r="38" spans="2:6" hidden="1">
      <c r="B38" s="444">
        <f>OP!$C$21</f>
        <v>1</v>
      </c>
      <c r="C38" s="465">
        <f>VLOOKUP(B38,$B$39:$D$40,2,0)</f>
        <v>20000</v>
      </c>
      <c r="D38" s="465">
        <f>VLOOKUP(B38,$B$39:$D$40,3,0)</f>
        <v>200000</v>
      </c>
    </row>
    <row r="39" spans="2:6" hidden="1">
      <c r="B39" s="444">
        <v>2</v>
      </c>
      <c r="C39" s="466">
        <v>3000</v>
      </c>
      <c r="D39" s="466">
        <v>30000</v>
      </c>
      <c r="E39" s="467" t="str">
        <f>NUMBERSTRING(IF(C39/10000&lt;1,C39/1000,C39/10000),3)&amp;RIGHT(NUMBERSTRING(C39,2),1)</f>
        <v>三仟</v>
      </c>
      <c r="F39" s="467" t="str">
        <f>NUMBERSTRING(IF(D39/10000&lt;1,D39/1000,D39/10000),1)&amp;RIGHT(NUMBERSTRING(D39,2),1)</f>
        <v>三萬</v>
      </c>
    </row>
    <row r="40" spans="2:6" hidden="1">
      <c r="B40" s="444">
        <v>1</v>
      </c>
      <c r="C40" s="466">
        <v>20000</v>
      </c>
      <c r="D40" s="466">
        <v>200000</v>
      </c>
      <c r="E40" s="467" t="str">
        <f>NUMBERSTRING(IF(C40/10000&lt;1,C40/1000,C40/10000),3)&amp;RIGHT(NUMBERSTRING(C40,2),1)</f>
        <v>二萬</v>
      </c>
      <c r="F40" s="467" t="str">
        <f>NUMBERSTRING(IF(D40/10000&lt;1,D40/1000,D40/10000),1)&amp;RIGHT(NUMBERSTRING(D40,2),1)</f>
        <v>二十萬</v>
      </c>
    </row>
    <row r="41" spans="2:6" hidden="1">
      <c r="B41" s="444">
        <v>3</v>
      </c>
      <c r="C41" s="441"/>
      <c r="D41" s="441"/>
      <c r="E41" s="467" t="str">
        <f>NUMBERSTRING(IF(C41/10000&lt;1,C41/1000,C41/10000),3)&amp;RIGHT(NUMBERSTRING(C41,2),1)</f>
        <v>○零</v>
      </c>
      <c r="F41" s="467" t="str">
        <f>NUMBERSTRING(IF(D41/10000&lt;1,D41/1000,D41/10000),1)&amp;RIGHT(NUMBERSTRING(D41,2),1)</f>
        <v>○零</v>
      </c>
    </row>
    <row r="42" spans="2:6" hidden="1">
      <c r="B42" s="444">
        <v>4</v>
      </c>
      <c r="C42" s="441"/>
      <c r="D42" s="441"/>
      <c r="E42" s="467" t="str">
        <f>NUMBERSTRING(IF(C42/10000&lt;1,C42/1000,C42/10000),3)&amp;RIGHT(NUMBERSTRING(C42,2),1)</f>
        <v>○零</v>
      </c>
      <c r="F42" s="467" t="str">
        <f>NUMBERSTRING(IF(D42/10000&lt;1,D42/1000,D42/10000),1)&amp;RIGHT(NUMBERSTRING(D42,2),1)</f>
        <v>○零</v>
      </c>
    </row>
    <row r="43" spans="2:6" hidden="1">
      <c r="B43" s="468" t="str">
        <f>IF(OR(AND($D$29=$B$45,$C$29&lt;&gt;1),ISERROR(VLOOKUP($D$29,$B$45:$D$48,3,0))),"商品幣別設定錯誤",VLOOKUP($D$29,$B$45:$D$48,3,0))</f>
        <v>二十萬元或每月給付之分期定期保險金低於二萬元者，</v>
      </c>
      <c r="C43" s="468">
        <f>IF(OR(AND($D$29=$B$45,$C$29&lt;&gt;1),ISERROR(VLOOKUP($D$29,$B$45:$D$48,3,0))),1,0)</f>
        <v>0</v>
      </c>
    </row>
    <row r="45" spans="2:6" hidden="1">
      <c r="B45" s="441" t="s">
        <v>978</v>
      </c>
      <c r="C45" s="441">
        <v>1</v>
      </c>
      <c r="D45" s="441" t="str">
        <f>VLOOKUP($C$45,$B$39:$F$42,5,0)&amp;"元"&amp;"或每月給付之分期定期保險金低於"&amp;VLOOKUP($C$45,$B$39:$F$42,4,0)&amp;"元"&amp;"者，"</f>
        <v>二十萬元或每月給付之分期定期保險金低於二萬元者，</v>
      </c>
    </row>
    <row r="46" spans="2:6" hidden="1">
      <c r="B46" s="441" t="s">
        <v>979</v>
      </c>
      <c r="C46" s="441">
        <v>2</v>
      </c>
      <c r="D46" s="441" t="str">
        <f>VLOOKUP($C$46,$B$39:$F$42,5,0)&amp;$B$46&amp;"或每月給付之分期定期保險金低於"&amp;VLOOKUP($C$46,$B$39:$F$42,4,0)&amp;$B$46&amp;"者，"</f>
        <v>三萬美元或每月給付之分期定期保險金低於三仟美元者，</v>
      </c>
    </row>
    <row r="47" spans="2:6" hidden="1">
      <c r="B47" s="441" t="s">
        <v>980</v>
      </c>
      <c r="C47" s="441">
        <v>3</v>
      </c>
      <c r="D47" s="441" t="str">
        <f>VLOOKUP($C$47,$B$39:$F$42,5,0)&amp;$B$47&amp;"或每月給付之分期定期保險金低於"&amp;VLOOKUP($C$47,$B$39:$F$42,4,0)&amp;$B$47&amp;"者，"</f>
        <v>○零澳幣或每月給付之分期定期保險金低於○零澳幣者，</v>
      </c>
    </row>
    <row r="48" spans="2:6" hidden="1">
      <c r="B48" s="441" t="s">
        <v>981</v>
      </c>
      <c r="C48" s="441">
        <v>4</v>
      </c>
      <c r="D48" s="441" t="str">
        <f>VLOOKUP($C$48,$B$39:$F$42,5,0)&amp;$B$48&amp;"或每月給付之分期定期保險金低於"&amp;VLOOKUP($C$48,$B$39:$F$42,4,0)&amp;$B$48&amp;"者，"</f>
        <v>○零人民幣或每月給付之分期定期保險金低於○零人民幣者，</v>
      </c>
    </row>
  </sheetData>
  <sheetProtection algorithmName="SHA-512" hashValue="J7Lwr8baWovMV9fT6reEMxxrMqD9GigY04YgpOXSEYiTESZbjZUzYw4VYqeaF9AlgLLPD8h57hJmL+sv/1wyRg==" saltValue="Wh2JMtDFI2rwa6F+jZMBbA==" spinCount="100000" sheet="1" objects="1" scenarios="1"/>
  <phoneticPr fontId="5" type="noConversion"/>
  <dataValidations count="2">
    <dataValidation type="list" allowBlank="1" showInputMessage="1" showErrorMessage="1" sqref="D29" xr:uid="{00000000-0002-0000-0200-000000000000}">
      <formula1>"新臺幣,美元,澳幣,人民幣"</formula1>
    </dataValidation>
    <dataValidation type="list" allowBlank="1" showInputMessage="1" showErrorMessage="1" sqref="C8" xr:uid="{00000000-0002-0000-0200-000001000000}">
      <formula1>$F$4:$F$7</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M197"/>
  <sheetViews>
    <sheetView topLeftCell="XFD1048576" workbookViewId="0"/>
  </sheetViews>
  <sheetFormatPr defaultColWidth="0" defaultRowHeight="16.5" zeroHeight="1"/>
  <cols>
    <col min="1" max="1" width="2.33203125" style="58" hidden="1"/>
    <col min="2" max="2" width="35.6640625" style="61" hidden="1"/>
    <col min="3" max="3" width="23.83203125" style="61" hidden="1"/>
    <col min="4" max="4" width="18.5" style="58" hidden="1"/>
    <col min="5" max="5" width="12.6640625" style="58" hidden="1"/>
    <col min="6" max="6" width="13.6640625" style="58" hidden="1"/>
    <col min="7" max="7" width="14" style="58" hidden="1"/>
    <col min="8" max="8" width="20.83203125" style="58" hidden="1"/>
    <col min="9" max="9" width="16.33203125" style="58" hidden="1"/>
    <col min="10" max="11" width="16.83203125" style="58" hidden="1"/>
    <col min="12" max="13" width="19.1640625" style="58" hidden="1"/>
    <col min="14" max="42" width="12" style="58" hidden="1"/>
    <col min="43" max="43" width="18.6640625" style="58" hidden="1"/>
    <col min="44" max="63" width="12" style="58" hidden="1"/>
    <col min="64" max="16384" width="9.33203125" style="58" hidden="1"/>
  </cols>
  <sheetData>
    <row r="1" spans="2:63" hidden="1">
      <c r="P1" s="58" t="s">
        <v>18</v>
      </c>
      <c r="AE1" s="62"/>
      <c r="AU1" s="293"/>
      <c r="AV1" s="293"/>
      <c r="AW1" s="293"/>
      <c r="AX1" s="293"/>
      <c r="AY1" s="293"/>
      <c r="AZ1" s="293"/>
      <c r="BA1" s="293"/>
      <c r="BB1" s="293"/>
      <c r="BC1" s="293"/>
      <c r="BD1" s="293"/>
      <c r="BE1" s="293"/>
      <c r="BF1" s="293"/>
      <c r="BG1" s="293"/>
      <c r="BH1" s="293"/>
      <c r="BI1" s="293"/>
      <c r="BJ1" s="293"/>
      <c r="BK1" s="293"/>
    </row>
    <row r="2" spans="2:63" hidden="1">
      <c r="B2" s="53" t="s">
        <v>19</v>
      </c>
      <c r="C2" s="53" t="s">
        <v>20</v>
      </c>
      <c r="D2" s="53" t="s">
        <v>21</v>
      </c>
      <c r="E2" s="53" t="s">
        <v>22</v>
      </c>
      <c r="H2" s="53" t="s">
        <v>23</v>
      </c>
      <c r="I2" s="53">
        <v>1</v>
      </c>
      <c r="J2" s="63">
        <v>1</v>
      </c>
      <c r="K2" s="63">
        <v>1</v>
      </c>
      <c r="P2" s="1">
        <v>0</v>
      </c>
      <c r="Q2" t="s">
        <v>14</v>
      </c>
      <c r="R2" s="1"/>
      <c r="S2" s="1"/>
      <c r="T2" s="1"/>
      <c r="U2" s="1"/>
      <c r="V2" s="1"/>
      <c r="W2" s="1"/>
      <c r="X2" s="1"/>
      <c r="Y2" s="1"/>
      <c r="Z2" s="1"/>
      <c r="AA2" s="1"/>
      <c r="AB2" s="1"/>
      <c r="AC2" s="1"/>
      <c r="AD2" s="17" t="str">
        <f>IF(AE2="","",MAX($AD$1:AD1)+1)</f>
        <v/>
      </c>
      <c r="AE2" s="103"/>
      <c r="AF2" s="1"/>
      <c r="AG2" s="1"/>
      <c r="AL2" s="155" t="str">
        <f>$C$69</f>
        <v>業務、服展、北富銀</v>
      </c>
      <c r="AU2" s="294"/>
      <c r="AV2" s="294"/>
      <c r="AW2" s="295"/>
      <c r="AX2" s="295"/>
      <c r="AY2" s="295"/>
      <c r="AZ2" s="295"/>
      <c r="BA2" s="296"/>
      <c r="BB2" s="295"/>
      <c r="BC2" s="295"/>
      <c r="BD2" s="295"/>
      <c r="BE2" s="295"/>
      <c r="BF2" s="295"/>
      <c r="BG2" s="295"/>
      <c r="BH2" s="295"/>
      <c r="BI2" s="295"/>
      <c r="BJ2" s="295"/>
      <c r="BK2" s="295"/>
    </row>
    <row r="3" spans="2:63" hidden="1">
      <c r="B3" s="53">
        <f>IF(C4=0,0,VALUE(MID(C4,IF(LEN(C4)=7,4,3),2)))</f>
        <v>7</v>
      </c>
      <c r="C3" s="54">
        <f ca="1">IF(TODAY()&lt;DATE(2026,1,1),DATE(2026,1,1),TODAY())</f>
        <v>46023</v>
      </c>
      <c r="D3" s="54">
        <f>IF(C4=0,0,DATE(LEFT(C4,IF(LEN(C4)=7,3,2))+1911,MID(C4,IF(LEN(C4)=7,4,3),2),RIGHT(C4,2)))</f>
        <v>45839</v>
      </c>
      <c r="E3" s="55">
        <f>N(DAY(DATE(LEFT(C4,IF(LEN(C4)=7,3,2))+1911,MID(C4,IF(LEN(C4)=7,4,3),2)+1,0)))</f>
        <v>31</v>
      </c>
      <c r="H3" s="53" t="s">
        <v>25</v>
      </c>
      <c r="I3" s="53">
        <v>1</v>
      </c>
      <c r="J3" s="63">
        <v>1</v>
      </c>
      <c r="K3" s="63">
        <v>1</v>
      </c>
      <c r="P3" s="17">
        <f>IF(Q3="","",MAX($P$2:P2)+1)</f>
        <v>1</v>
      </c>
      <c r="Q3" s="26" t="str">
        <f>IF(AND(C46=0,C47=0),"","‧上表年度實繳保費已扣除保費折扣，繳費期內如不符保費折扣條件，上表將不適用。")</f>
        <v>‧上表年度實繳保費已扣除保費折扣，繳費期內如不符保費折扣條件，上表將不適用。</v>
      </c>
      <c r="R3" s="1"/>
      <c r="S3" s="1"/>
      <c r="T3" s="1"/>
      <c r="U3" s="1"/>
      <c r="V3" s="1"/>
      <c r="W3" s="1"/>
      <c r="X3" s="1"/>
      <c r="Y3" s="1"/>
      <c r="Z3" s="1"/>
      <c r="AA3" s="1"/>
      <c r="AB3" s="1"/>
      <c r="AC3" s="1"/>
      <c r="AD3" s="17" t="str">
        <f>IF(AE3="","",MAX($AD$1:AD2)+1)</f>
        <v/>
      </c>
      <c r="AE3" s="103"/>
      <c r="AF3" s="1"/>
      <c r="AG3" s="1"/>
      <c r="AL3" s="156" t="s">
        <v>275</v>
      </c>
      <c r="AM3" s="156" t="s">
        <v>276</v>
      </c>
      <c r="AN3" s="156" t="s">
        <v>109</v>
      </c>
      <c r="AO3" s="156" t="s">
        <v>277</v>
      </c>
      <c r="AP3" s="156" t="s">
        <v>278</v>
      </c>
      <c r="AQ3" s="156"/>
      <c r="AR3" s="156"/>
      <c r="AU3" s="297"/>
      <c r="AV3" s="297"/>
      <c r="AW3" s="298"/>
      <c r="AX3" s="298"/>
      <c r="AY3" s="298"/>
      <c r="AZ3" s="299"/>
      <c r="BA3" s="300"/>
      <c r="BB3" s="298"/>
      <c r="BC3" s="298"/>
      <c r="BD3" s="298"/>
      <c r="BE3" s="298"/>
      <c r="BF3" s="298"/>
      <c r="BG3" s="298"/>
      <c r="BH3" s="298"/>
      <c r="BI3" s="298"/>
      <c r="BJ3" s="298"/>
      <c r="BK3" s="298"/>
    </row>
    <row r="4" spans="2:63" hidden="1">
      <c r="B4" s="53" t="s">
        <v>21</v>
      </c>
      <c r="C4" s="55">
        <f>IF(C9=1,C10,IF(C9=2,VALUE(C11&amp;TEXT(C12,"00")&amp;TEXT(C13,"00")),""))</f>
        <v>1140701</v>
      </c>
      <c r="D4" s="56">
        <f ca="1">DATE(YEAR(C3)-$C$15,MONTH(C3)-6,DAY(C3))</f>
        <v>27576</v>
      </c>
      <c r="E4" s="95" t="str">
        <f>IF(OR(B3&lt;1,B3&gt;12),1,"")</f>
        <v/>
      </c>
      <c r="F4" s="121">
        <f ca="1">YEAR($D$4)-1911</f>
        <v>64</v>
      </c>
      <c r="H4" s="53" t="s">
        <v>26</v>
      </c>
      <c r="I4" s="53">
        <v>1</v>
      </c>
      <c r="J4" s="63">
        <v>1</v>
      </c>
      <c r="K4" s="63">
        <v>1</v>
      </c>
      <c r="P4" s="17">
        <f>IF(Q4="","",MAX($P$2:P3)+1)</f>
        <v>2</v>
      </c>
      <c r="Q4" s="26" t="s">
        <v>228</v>
      </c>
      <c r="R4" s="1"/>
      <c r="S4" s="1"/>
      <c r="T4" s="1"/>
      <c r="U4" s="1"/>
      <c r="V4" s="1"/>
      <c r="W4" s="1"/>
      <c r="X4" s="1"/>
      <c r="Y4" s="1"/>
      <c r="Z4" s="1"/>
      <c r="AA4" s="1"/>
      <c r="AB4" s="1"/>
      <c r="AC4" s="1"/>
      <c r="AD4" s="17" t="str">
        <f>IF(AE4="","",MAX($AD$1:AD3)+1)</f>
        <v/>
      </c>
      <c r="AE4" s="103"/>
      <c r="AF4" s="1"/>
      <c r="AG4" s="1"/>
      <c r="AK4" s="157">
        <f>IF(OR($AL4="",COUNTIF($AL$3:$AR$3,$AL$2)=0),"",MAX($AK$3:AK3)+1)</f>
        <v>1</v>
      </c>
      <c r="AL4" s="157" t="s">
        <v>250</v>
      </c>
      <c r="AU4" s="297"/>
      <c r="AV4" s="297"/>
      <c r="AW4" s="298"/>
      <c r="AX4" s="298"/>
      <c r="AY4" s="298"/>
      <c r="AZ4" s="299"/>
      <c r="BA4" s="300"/>
      <c r="BB4" s="298"/>
      <c r="BC4" s="298"/>
      <c r="BD4" s="298"/>
      <c r="BE4" s="298"/>
      <c r="BF4" s="298"/>
      <c r="BG4" s="298"/>
      <c r="BH4" s="298"/>
      <c r="BI4" s="298"/>
      <c r="BJ4" s="298"/>
      <c r="BK4" s="298"/>
    </row>
    <row r="5" spans="2:63" hidden="1">
      <c r="B5" s="53" t="s">
        <v>27</v>
      </c>
      <c r="C5" s="57" t="s">
        <v>28</v>
      </c>
      <c r="D5" s="57">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0</v>
      </c>
      <c r="E5" s="95" t="str">
        <f>IF(OR(VALUE(RIGHT(C4,2))&lt;1,VALUE(RIGHT(C4,2))&gt;E3),1,"")</f>
        <v/>
      </c>
      <c r="F5" s="121">
        <f ca="1">MONTH($D$4)</f>
        <v>7</v>
      </c>
      <c r="H5" s="53" t="s">
        <v>29</v>
      </c>
      <c r="I5" s="53">
        <v>0.52</v>
      </c>
      <c r="J5" s="63">
        <v>0.5</v>
      </c>
      <c r="K5" s="63">
        <v>2</v>
      </c>
      <c r="P5" s="17">
        <f>IF(Q5="","",MAX($P$2:P4)+1)</f>
        <v>3</v>
      </c>
      <c r="Q5" s="112" t="s">
        <v>229</v>
      </c>
      <c r="R5" s="1"/>
      <c r="S5" s="1"/>
      <c r="T5" s="1"/>
      <c r="U5" s="1"/>
      <c r="V5" s="1"/>
      <c r="W5" s="1"/>
      <c r="X5" s="1"/>
      <c r="Y5" s="1"/>
      <c r="Z5" s="1"/>
      <c r="AA5" s="1"/>
      <c r="AB5" s="1"/>
      <c r="AC5" s="1"/>
      <c r="AD5" s="17" t="str">
        <f>IF(AE5="","",MAX($AD$1:AD4)+1)</f>
        <v/>
      </c>
      <c r="AE5" s="103"/>
      <c r="AF5" s="1"/>
      <c r="AG5" s="1"/>
      <c r="AK5" s="157">
        <f>IF(OR($AL5="",COUNTIF($AL$3:$AR$3,$AL$2)=0),"",MAX($AK$3:AK4)+1)</f>
        <v>2</v>
      </c>
      <c r="AL5" s="157" t="s">
        <v>251</v>
      </c>
      <c r="AU5" s="297"/>
      <c r="AV5" s="297"/>
      <c r="AW5" s="298"/>
      <c r="AX5" s="298"/>
      <c r="AY5" s="298"/>
      <c r="AZ5" s="299"/>
      <c r="BA5" s="300"/>
      <c r="BB5" s="298"/>
      <c r="BC5" s="298"/>
      <c r="BD5" s="298"/>
      <c r="BE5" s="298"/>
      <c r="BF5" s="298"/>
      <c r="BG5" s="298"/>
      <c r="BH5" s="298"/>
      <c r="BI5" s="298"/>
      <c r="BJ5" s="298"/>
      <c r="BK5" s="298"/>
    </row>
    <row r="6" spans="2:63" hidden="1">
      <c r="B6" s="53"/>
      <c r="C6" s="57" t="s">
        <v>30</v>
      </c>
      <c r="D6" s="57">
        <f ca="1">IF(SUM(E6,D10:D13)&gt;=1,"生日格式錯誤",IF(D3&gt;C3,"被保險人未出生",DATEDIF(D3,C3,"y")))</f>
        <v>0</v>
      </c>
      <c r="E6" s="120" t="str">
        <f>IF(OR(E4=1,E5=1),1,"")</f>
        <v/>
      </c>
      <c r="F6" s="121">
        <f ca="1">DAY($D$4)</f>
        <v>1</v>
      </c>
      <c r="H6" s="53" t="s">
        <v>31</v>
      </c>
      <c r="I6" s="53">
        <v>0.26200000000000001</v>
      </c>
      <c r="J6" s="63">
        <v>0.25</v>
      </c>
      <c r="K6" s="63">
        <v>4</v>
      </c>
      <c r="P6" s="17">
        <f>IF(Q6="","",MAX($P$2:P5)+1)</f>
        <v>4</v>
      </c>
      <c r="Q6" s="26" t="s">
        <v>230</v>
      </c>
      <c r="R6" s="1"/>
      <c r="S6" s="1"/>
      <c r="T6" s="1"/>
      <c r="U6" s="1"/>
      <c r="V6" s="1"/>
      <c r="W6" s="1"/>
      <c r="X6" s="1"/>
      <c r="Y6" s="1"/>
      <c r="Z6" s="1"/>
      <c r="AA6" s="1"/>
      <c r="AB6" s="1"/>
      <c r="AC6" s="1"/>
      <c r="AD6" s="17" t="str">
        <f>IF(AE6="","",MAX($AD$1:AD5)+1)</f>
        <v/>
      </c>
      <c r="AE6" s="103"/>
      <c r="AG6" s="1"/>
      <c r="AK6" s="157">
        <f>IF(OR($AL6="",COUNTIF($AL$3:$AR$3,$AL$2)=0),"",MAX($AK$3:AK5)+1)</f>
        <v>3</v>
      </c>
      <c r="AL6" s="157" t="s">
        <v>252</v>
      </c>
      <c r="AU6" s="297"/>
      <c r="AV6" s="297"/>
      <c r="AW6" s="298"/>
      <c r="AX6" s="298"/>
      <c r="AY6" s="298"/>
      <c r="AZ6" s="299"/>
      <c r="BA6" s="300"/>
      <c r="BB6" s="298"/>
      <c r="BC6" s="298"/>
      <c r="BD6" s="298"/>
      <c r="BE6" s="298"/>
      <c r="BF6" s="298"/>
      <c r="BG6" s="298"/>
      <c r="BH6" s="298"/>
      <c r="BI6" s="298"/>
      <c r="BJ6" s="298"/>
      <c r="BK6" s="298"/>
    </row>
    <row r="7" spans="2:63" hidden="1">
      <c r="F7" s="121" t="str">
        <f ca="1">F4&amp;TEXT(F5,"00")&amp;TEXT(F6,"00")</f>
        <v>640701</v>
      </c>
      <c r="H7" s="53" t="s">
        <v>32</v>
      </c>
      <c r="I7" s="53">
        <v>8.7999999999999995E-2</v>
      </c>
      <c r="J7" s="63">
        <v>8.3333329999999997E-2</v>
      </c>
      <c r="K7" s="63">
        <v>12</v>
      </c>
      <c r="P7" s="17">
        <f>IF(Q7="","",MAX($P$2:P6)+1)</f>
        <v>5</v>
      </c>
      <c r="Q7" s="26" t="s">
        <v>95</v>
      </c>
      <c r="R7" s="1"/>
      <c r="S7" s="1"/>
      <c r="T7" s="1"/>
      <c r="U7" s="1"/>
      <c r="V7" s="1"/>
      <c r="W7" s="1"/>
      <c r="X7" s="1"/>
      <c r="Y7" s="1"/>
      <c r="Z7" s="1"/>
      <c r="AA7" s="1"/>
      <c r="AB7" s="1"/>
      <c r="AC7" s="1"/>
      <c r="AD7" s="17" t="str">
        <f>IF(AE7="","",MAX($AD$1:AD6)+1)</f>
        <v/>
      </c>
      <c r="AE7" s="103"/>
      <c r="AF7" s="1"/>
      <c r="AG7" s="1"/>
      <c r="AK7" s="157">
        <f>IF(OR($AL7="",COUNTIF($AL$3:$AR$3,$AL$2)=0),"",MAX($AK$3:AK6)+1)</f>
        <v>4</v>
      </c>
      <c r="AL7" s="157" t="s">
        <v>253</v>
      </c>
      <c r="AU7" s="297"/>
      <c r="AV7" s="297"/>
      <c r="AW7" s="298"/>
      <c r="AX7" s="298"/>
      <c r="AY7" s="298"/>
      <c r="AZ7" s="299"/>
      <c r="BA7" s="300"/>
      <c r="BB7" s="298"/>
      <c r="BC7" s="298"/>
      <c r="BD7" s="298"/>
      <c r="BE7" s="298"/>
      <c r="BF7" s="298"/>
      <c r="BG7" s="298"/>
      <c r="BH7" s="298"/>
      <c r="BI7" s="298"/>
      <c r="BJ7" s="298"/>
      <c r="BK7" s="298"/>
    </row>
    <row r="8" spans="2:63" hidden="1">
      <c r="K8" s="58" t="s">
        <v>245</v>
      </c>
      <c r="L8" s="58" t="s">
        <v>246</v>
      </c>
      <c r="M8" s="58">
        <f>COUNTA(L11:L12)</f>
        <v>2</v>
      </c>
      <c r="N8" s="1"/>
      <c r="P8" s="17">
        <f>IF(Q8="","",MAX($P$2:P7)+1)</f>
        <v>6</v>
      </c>
      <c r="Q8" s="26" t="s">
        <v>312</v>
      </c>
      <c r="R8" s="1"/>
      <c r="S8" s="1"/>
      <c r="T8" s="1"/>
      <c r="U8" s="1"/>
      <c r="V8" s="1"/>
      <c r="W8" s="1"/>
      <c r="X8" s="1"/>
      <c r="Y8" s="1"/>
      <c r="Z8" s="1"/>
      <c r="AA8" s="1"/>
      <c r="AB8" s="1"/>
      <c r="AC8" s="1"/>
      <c r="AD8" s="17" t="str">
        <f>IF(AE8="","",MAX($AD$1:AD7)+1)</f>
        <v/>
      </c>
      <c r="AE8" s="103"/>
      <c r="AF8" s="1"/>
      <c r="AG8" s="1"/>
      <c r="AK8" s="157">
        <f>IF(OR($AL8="",COUNTIF($AL$3:$AR$3,$AL$2)=0),"",MAX($AK$3:AK7)+1)</f>
        <v>5</v>
      </c>
      <c r="AL8" s="157" t="s">
        <v>254</v>
      </c>
      <c r="AU8" s="297"/>
      <c r="AV8" s="297"/>
      <c r="AW8" s="298"/>
      <c r="AX8" s="298"/>
      <c r="AY8" s="298"/>
      <c r="AZ8" s="299"/>
      <c r="BA8" s="300"/>
      <c r="BB8" s="298"/>
      <c r="BC8" s="298"/>
      <c r="BD8" s="298"/>
      <c r="BE8" s="298"/>
      <c r="BF8" s="298"/>
      <c r="BG8" s="298"/>
      <c r="BH8" s="298"/>
      <c r="BI8" s="298"/>
      <c r="BJ8" s="298"/>
      <c r="BK8" s="298"/>
    </row>
    <row r="9" spans="2:63" hidden="1">
      <c r="B9" s="61" t="s">
        <v>33</v>
      </c>
      <c r="C9" s="64">
        <v>1</v>
      </c>
      <c r="D9" s="61" t="s">
        <v>34</v>
      </c>
      <c r="H9" s="63" t="s">
        <v>234</v>
      </c>
      <c r="I9" s="63" t="s">
        <v>235</v>
      </c>
      <c r="J9" s="63" t="s">
        <v>236</v>
      </c>
      <c r="K9" s="63" t="str">
        <f>K10&amp;M10&amp;K11&amp;M11&amp;K12&amp;M12&amp;K13&amp;M13&amp;"。"&amp;D47</f>
        <v>首、續期繳費方式 1%折扣。</v>
      </c>
      <c r="L9" s="63" t="str">
        <f>L10&amp;M10&amp;L11&amp;M11&amp;L12&amp;M12&amp;L13&amp;"折扣"</f>
        <v>繳費方式折扣</v>
      </c>
      <c r="P9" s="17">
        <f>IF(Q9="","",MAX($P$2:P8)+1)</f>
        <v>7</v>
      </c>
      <c r="Q9" s="112" t="s">
        <v>106</v>
      </c>
      <c r="R9" s="1"/>
      <c r="S9" s="1"/>
      <c r="T9" s="1"/>
      <c r="U9" s="1"/>
      <c r="V9" s="1"/>
      <c r="W9" s="1"/>
      <c r="X9" s="1"/>
      <c r="Y9" s="1"/>
      <c r="Z9" s="1"/>
      <c r="AA9" s="1"/>
      <c r="AB9" s="1"/>
      <c r="AC9" s="1"/>
      <c r="AD9" s="17" t="str">
        <f>IF(AE9="","",MAX($AD$1:AD8)+1)</f>
        <v/>
      </c>
      <c r="AE9" s="103"/>
      <c r="AF9" s="1"/>
      <c r="AG9" s="1"/>
      <c r="AK9" s="157">
        <f>IF(OR($AL9="",COUNTIF($AL$3:$AR$3,$AL$2)=0),"",MAX($AK$3:AK8)+1)</f>
        <v>6</v>
      </c>
      <c r="AL9" s="157" t="s">
        <v>255</v>
      </c>
      <c r="AU9" s="297"/>
      <c r="AV9" s="297"/>
      <c r="AW9" s="298"/>
      <c r="AX9" s="298"/>
      <c r="AY9" s="298"/>
      <c r="AZ9" s="299"/>
      <c r="BA9" s="300"/>
      <c r="BB9" s="298"/>
      <c r="BC9" s="298"/>
      <c r="BD9" s="298"/>
      <c r="BE9" s="298"/>
      <c r="BF9" s="298"/>
      <c r="BG9" s="298"/>
      <c r="BH9" s="298"/>
      <c r="BI9" s="298"/>
      <c r="BJ9" s="298"/>
      <c r="BK9" s="298"/>
    </row>
    <row r="10" spans="2:63" hidden="1">
      <c r="B10" s="61" t="s">
        <v>35</v>
      </c>
      <c r="C10" s="57">
        <f>BD</f>
        <v>1140701</v>
      </c>
      <c r="D10" s="65" t="str">
        <f>IF(AND($C$9=1,OR(C10="",C10=0)),1,"")</f>
        <v/>
      </c>
      <c r="G10" s="58">
        <v>1</v>
      </c>
      <c r="H10" s="141" t="s">
        <v>237</v>
      </c>
      <c r="I10" s="142">
        <f>$C$42</f>
        <v>0.01</v>
      </c>
      <c r="J10" s="142">
        <f>$C$44</f>
        <v>0.01</v>
      </c>
      <c r="K10" s="63" t="str">
        <f>IF(AND(I10&gt;0,J10&gt;0),"首、續期"&amp;H10&amp;TEXT(I10," 0%")&amp;"折扣",IF(AND(I10&gt;0,J10=0),"首期"&amp;H10&amp;TEXT(I10," 0%")&amp;"折扣",IF(AND(I10=0,J10&gt;0),"續期"&amp;H10&amp;TEXT(J10," 0%")&amp;"折扣","")))</f>
        <v>首、續期繳費方式 1%折扣</v>
      </c>
      <c r="L10" s="63" t="str">
        <f>IF(SUM(I10:J10)&gt;0,H10,"")</f>
        <v>繳費方式</v>
      </c>
      <c r="M10" s="63" t="str">
        <f>IF(L10="","",IF(SUM(N11:N13)&gt;=2,"、",IF(SUM(N11:N13)=1,"及","")))</f>
        <v/>
      </c>
      <c r="N10" s="58">
        <f>IF(L10&lt;&gt;"",1,0)</f>
        <v>1</v>
      </c>
      <c r="P10" s="17" t="str">
        <f>IF(Q10="","",MAX($P$2:P9)+1)</f>
        <v/>
      </c>
      <c r="Q10"/>
      <c r="R10" s="1"/>
      <c r="S10" s="1"/>
      <c r="T10" s="1"/>
      <c r="U10" s="1"/>
      <c r="V10" s="1"/>
      <c r="W10" s="1"/>
      <c r="X10" s="1"/>
      <c r="Y10" s="1"/>
      <c r="Z10" s="1"/>
      <c r="AA10" s="1"/>
      <c r="AB10" s="1"/>
      <c r="AC10" s="1"/>
      <c r="AD10" s="17" t="str">
        <f>IF(AE10="","",MAX($AD$1:AD9)+1)</f>
        <v/>
      </c>
      <c r="AE10" s="103"/>
      <c r="AF10" s="1"/>
      <c r="AG10" s="1"/>
      <c r="AK10" s="157">
        <f>IF(OR($AL10="",COUNTIF($AL$3:$AR$3,$AL$2)=0),"",MAX($AK$3:AK9)+1)</f>
        <v>7</v>
      </c>
      <c r="AL10" s="157" t="s">
        <v>256</v>
      </c>
      <c r="AU10" s="297"/>
      <c r="AV10" s="297"/>
      <c r="AW10" s="298"/>
      <c r="AX10" s="298"/>
      <c r="AY10" s="298"/>
      <c r="AZ10" s="299"/>
      <c r="BA10" s="300"/>
      <c r="BB10" s="298"/>
      <c r="BC10" s="298"/>
      <c r="BD10" s="298"/>
      <c r="BE10" s="298"/>
      <c r="BF10" s="298"/>
      <c r="BG10" s="298"/>
      <c r="BH10" s="298"/>
      <c r="BI10" s="298"/>
      <c r="BJ10" s="298"/>
      <c r="BK10" s="298"/>
    </row>
    <row r="11" spans="2:63" hidden="1">
      <c r="B11" s="61" t="s">
        <v>36</v>
      </c>
      <c r="C11" s="57"/>
      <c r="D11" s="65" t="str">
        <f>IF(AND($C$9=2,OR(C11="",C11=0)),1,"")</f>
        <v/>
      </c>
      <c r="G11" s="58">
        <v>2</v>
      </c>
      <c r="H11" s="63" t="s">
        <v>238</v>
      </c>
      <c r="I11" s="142">
        <f>$C$37</f>
        <v>0</v>
      </c>
      <c r="J11" s="142">
        <f>$C$37</f>
        <v>0</v>
      </c>
      <c r="K11" s="63" t="str">
        <f>IF(AND(I11&gt;0,J11&gt;0),"首、續期"&amp;H11&amp;TEXT(I11," 0%")&amp;"折扣",IF(AND(I11&gt;0,J11=0),"首期"&amp;H11&amp;TEXT(I11," 0%")&amp;"折扣",IF(AND(I11=0,J11&gt;0),"續期"&amp;H11&amp;TEXT(J11," 0%")&amp;"折扣","")))</f>
        <v/>
      </c>
      <c r="L11" s="63" t="str">
        <f>IF(SUM(I11:J11)&gt;0,H11,"")</f>
        <v/>
      </c>
      <c r="M11" s="63" t="str">
        <f>IF(L11="","",IF(SUM(N12:N14)&gt;=2,"、",IF(SUM(N12:N14)=1,"及","")))</f>
        <v/>
      </c>
      <c r="N11" s="58">
        <f>IF(L11&lt;&gt;"",1,0)</f>
        <v>0</v>
      </c>
      <c r="P11" s="17" t="str">
        <f>IF(Q11="","",MAX($P$2:P10)+1)</f>
        <v/>
      </c>
      <c r="Q11"/>
      <c r="R11" s="1"/>
      <c r="S11" s="1"/>
      <c r="T11" s="1"/>
      <c r="U11" s="1"/>
      <c r="V11" s="1"/>
      <c r="W11" s="1"/>
      <c r="X11" s="1"/>
      <c r="Y11" s="1"/>
      <c r="Z11" s="1"/>
      <c r="AA11" s="1"/>
      <c r="AB11" s="1"/>
      <c r="AC11" s="1"/>
      <c r="AD11" s="17" t="str">
        <f>IF(AE11="","",MAX($AD$1:AD10)+1)</f>
        <v/>
      </c>
      <c r="AE11" s="103"/>
      <c r="AF11" s="1"/>
      <c r="AG11" s="1"/>
      <c r="AK11" s="157">
        <f>IF(OR($AL11="",COUNTIF($AL$3:$AR$3,$AL$2)=0),"",MAX($AK$3:AK10)+1)</f>
        <v>8</v>
      </c>
      <c r="AL11" s="157" t="s">
        <v>257</v>
      </c>
      <c r="AU11" s="297"/>
      <c r="AV11" s="297"/>
      <c r="AW11" s="298"/>
      <c r="AX11" s="298"/>
      <c r="AY11" s="298"/>
      <c r="AZ11" s="299"/>
      <c r="BA11" s="300"/>
      <c r="BB11" s="298"/>
      <c r="BC11" s="298"/>
      <c r="BD11" s="298"/>
      <c r="BE11" s="298"/>
      <c r="BF11" s="298"/>
      <c r="BG11" s="298"/>
      <c r="BH11" s="298"/>
      <c r="BI11" s="298"/>
      <c r="BJ11" s="298"/>
      <c r="BK11" s="298"/>
    </row>
    <row r="12" spans="2:63" hidden="1">
      <c r="C12" s="57"/>
      <c r="D12" s="65" t="str">
        <f>IF(AND($C$9=2,OR(C12="",C12&lt;1,C12&gt;12)),1,"")</f>
        <v/>
      </c>
      <c r="G12" s="58">
        <v>3</v>
      </c>
      <c r="H12" s="63" t="s">
        <v>247</v>
      </c>
      <c r="I12" s="142">
        <f>$C$38</f>
        <v>0</v>
      </c>
      <c r="J12" s="142">
        <f>$C$39</f>
        <v>0</v>
      </c>
      <c r="K12" s="63" t="str">
        <f>IF(AND(I12&gt;0,J12&gt;0),"首、續期"&amp;H12&amp;TEXT(I12," 0%")&amp;"折扣",IF(AND(I12&gt;0,J12=0),"首期"&amp;H12&amp;TEXT(I12," 0%")&amp;"折扣",IF(AND(I12=0,J12&gt;0),"續期"&amp;H12&amp;TEXT(J12," 0%")&amp;"折扣","")))</f>
        <v/>
      </c>
      <c r="L12" s="63" t="str">
        <f>IF(SUM(I12:J12)&gt;0,H12,"")</f>
        <v/>
      </c>
      <c r="M12" s="63" t="str">
        <f>IF(L12="","",IF(SUM(N13:N15)&gt;=2,"、",IF(SUM(N13:N15)=1,"及","")))</f>
        <v/>
      </c>
      <c r="N12" s="58">
        <f>IF(L12&lt;&gt;"",1,0)</f>
        <v>0</v>
      </c>
      <c r="P12" s="17" t="str">
        <f>IF(Q12="","",MAX($P$2:P11)+1)</f>
        <v/>
      </c>
      <c r="Q12"/>
      <c r="R12" s="1"/>
      <c r="S12" s="1"/>
      <c r="T12" s="1"/>
      <c r="U12" s="1"/>
      <c r="V12" s="2"/>
      <c r="W12" s="1"/>
      <c r="X12" s="1"/>
      <c r="Y12" s="1"/>
      <c r="Z12" s="1"/>
      <c r="AA12" s="1"/>
      <c r="AB12" s="1"/>
      <c r="AC12" s="1"/>
      <c r="AD12" s="17" t="str">
        <f>IF(AE12="","",MAX($AD$1:AD11)+1)</f>
        <v/>
      </c>
      <c r="AE12" s="103"/>
      <c r="AG12" s="1"/>
      <c r="AK12" s="157">
        <f>IF(OR($AL12="",COUNTIF($AL$3:$AR$3,$AL$2)=0),"",MAX($AK$3:AK11)+1)</f>
        <v>9</v>
      </c>
      <c r="AL12" s="157" t="s">
        <v>258</v>
      </c>
      <c r="AU12" s="297"/>
      <c r="AV12" s="297"/>
      <c r="AW12" s="298"/>
      <c r="AX12" s="298"/>
      <c r="AY12" s="298"/>
      <c r="AZ12" s="299"/>
      <c r="BA12" s="300"/>
      <c r="BB12" s="298"/>
      <c r="BC12" s="298"/>
      <c r="BD12" s="298"/>
      <c r="BE12" s="298"/>
      <c r="BF12" s="298"/>
      <c r="BG12" s="298"/>
      <c r="BH12" s="298"/>
      <c r="BI12" s="298"/>
      <c r="BJ12" s="298"/>
      <c r="BK12" s="298"/>
    </row>
    <row r="13" spans="2:63" hidden="1">
      <c r="C13" s="68"/>
      <c r="D13" s="69" t="str">
        <f>IF(AND($C$9=2,OR(C13="",C13&lt;1,C13&gt;E3)),1,"")</f>
        <v/>
      </c>
      <c r="G13" s="58">
        <v>4</v>
      </c>
      <c r="H13" s="63" t="s">
        <v>239</v>
      </c>
      <c r="I13" s="142">
        <f>$C$40</f>
        <v>0</v>
      </c>
      <c r="J13" s="142">
        <f>$C$40</f>
        <v>0</v>
      </c>
      <c r="K13" s="63" t="str">
        <f>IF(AND(I13&gt;0,J13&gt;0),"首、續期"&amp;H13&amp;TEXT(I13," 0%")&amp;"折扣",IF(AND(I13&gt;0,J13=0),"首期"&amp;H13&amp;TEXT(I13," 0%")&amp;"折扣",IF(AND(I13=0,J13&gt;0),"續期"&amp;H13&amp;TEXT(J13," 0%")&amp;"折扣","")))</f>
        <v/>
      </c>
      <c r="L13" s="63" t="str">
        <f>IF(SUM(I13:J13)&gt;0,H13,"")</f>
        <v/>
      </c>
      <c r="M13" s="63" t="str">
        <f>IF(L13="","",IF(SUM(N14:N16)&gt;=2,"、",IF(SUM(N14:N16)=1,"及","")))</f>
        <v/>
      </c>
      <c r="N13" s="58">
        <f>IF(L13&lt;&gt;"",1,0)</f>
        <v>0</v>
      </c>
      <c r="P13" s="17" t="str">
        <f>IF(Q13="","",MAX($P$2:P12)+1)</f>
        <v/>
      </c>
      <c r="Q13"/>
      <c r="R13" s="1"/>
      <c r="S13" s="1"/>
      <c r="T13" s="1"/>
      <c r="U13" s="1"/>
      <c r="V13" s="2"/>
      <c r="W13" s="1"/>
      <c r="X13" s="1"/>
      <c r="Y13" s="1"/>
      <c r="Z13" s="1"/>
      <c r="AA13" s="1"/>
      <c r="AB13" s="1"/>
      <c r="AC13" s="1"/>
      <c r="AD13" s="17" t="str">
        <f>IF(AE13="","",MAX($AD$1:AD12)+1)</f>
        <v/>
      </c>
      <c r="AE13" s="103"/>
      <c r="AG13" s="1"/>
      <c r="AK13" s="157">
        <f>IF(OR($AL13="",COUNTIF($AL$3:$AR$3,$AL$2)=0),"",MAX($AK$3:AK12)+1)</f>
        <v>10</v>
      </c>
      <c r="AL13" s="157" t="s">
        <v>259</v>
      </c>
      <c r="AU13" s="297"/>
      <c r="AV13" s="297"/>
      <c r="AW13" s="298"/>
      <c r="AX13" s="298"/>
      <c r="AY13" s="298"/>
      <c r="AZ13" s="299"/>
      <c r="BA13" s="300"/>
      <c r="BB13" s="298"/>
      <c r="BC13" s="298"/>
      <c r="BD13" s="298"/>
      <c r="BE13" s="298"/>
      <c r="BF13" s="298"/>
      <c r="BG13" s="298"/>
      <c r="BH13" s="298"/>
      <c r="BI13" s="298"/>
      <c r="BJ13" s="298"/>
      <c r="BK13" s="298"/>
    </row>
    <row r="14" spans="2:63" hidden="1">
      <c r="B14" s="70" t="s">
        <v>37</v>
      </c>
      <c r="C14" s="70"/>
      <c r="D14" s="71" t="str">
        <f>IF(SUM(E6,D10:D13)&gt;=1,"*日期空白或格式錯誤*","")</f>
        <v/>
      </c>
      <c r="H14" s="53"/>
      <c r="I14" s="66"/>
      <c r="J14" s="67"/>
      <c r="P14" s="17" t="str">
        <f>IF(Q14="","",MAX($P$2:P13)+1)</f>
        <v/>
      </c>
      <c r="Q14"/>
      <c r="R14" s="1"/>
      <c r="S14" s="1"/>
      <c r="T14" s="1"/>
      <c r="U14" s="1"/>
      <c r="V14" s="1"/>
      <c r="W14" s="1"/>
      <c r="X14" s="1"/>
      <c r="Y14" s="1"/>
      <c r="Z14" s="1"/>
      <c r="AA14" s="1"/>
      <c r="AB14" s="1"/>
      <c r="AC14" s="1"/>
      <c r="AD14" s="17" t="str">
        <f>IF(AE14="","",MAX($AD$1:AD13)+1)</f>
        <v/>
      </c>
      <c r="AE14" s="103"/>
      <c r="AF14" s="49"/>
      <c r="AG14" s="1"/>
      <c r="AK14" s="157">
        <f>IF(OR($AL14="",COUNTIF($AL$3:$AR$3,$AL$2)=0),"",MAX($AK$3:AK13)+1)</f>
        <v>11</v>
      </c>
      <c r="AL14" s="157" t="s">
        <v>260</v>
      </c>
      <c r="AU14" s="297"/>
      <c r="AV14" s="297"/>
      <c r="AW14" s="298"/>
      <c r="AX14" s="298"/>
      <c r="AY14" s="298"/>
      <c r="AZ14" s="299"/>
      <c r="BA14" s="300"/>
      <c r="BB14" s="298"/>
      <c r="BC14" s="298"/>
      <c r="BD14" s="298"/>
      <c r="BE14" s="298"/>
      <c r="BF14" s="298"/>
      <c r="BG14" s="298"/>
      <c r="BH14" s="298"/>
      <c r="BI14" s="298"/>
      <c r="BJ14" s="298"/>
      <c r="BK14" s="298"/>
    </row>
    <row r="15" spans="2:63" hidden="1">
      <c r="B15" s="72" t="s">
        <v>38</v>
      </c>
      <c r="C15" s="64">
        <f>IF($C$22="",,VLOOKUP($C$24,$H$51:$J$54,3,FALSE))</f>
        <v>50</v>
      </c>
      <c r="D15" s="65" t="str">
        <f ca="1">IF(D5&gt;C15,1,"")</f>
        <v/>
      </c>
      <c r="H15" s="53"/>
      <c r="I15" s="66"/>
      <c r="J15" s="67"/>
      <c r="K15" s="58" t="s">
        <v>240</v>
      </c>
      <c r="P15" s="17" t="str">
        <f>IF(Q15="","",MAX($P$2:P14)+1)</f>
        <v/>
      </c>
      <c r="Q15"/>
      <c r="R15" s="1"/>
      <c r="S15" s="1"/>
      <c r="T15" s="1"/>
      <c r="U15" s="1"/>
      <c r="V15" s="1"/>
      <c r="W15" s="1"/>
      <c r="X15" s="1"/>
      <c r="Y15" s="1"/>
      <c r="Z15" s="1"/>
      <c r="AA15" s="1"/>
      <c r="AB15" s="1"/>
      <c r="AC15" s="1"/>
      <c r="AD15" s="17" t="str">
        <f>IF(AE15="","",MAX($AD$1:AD14)+1)</f>
        <v/>
      </c>
      <c r="AE15" s="103"/>
      <c r="AF15"/>
      <c r="AG15" s="1"/>
      <c r="AK15" s="157">
        <f>IF(OR($AL15="",COUNTIF($AL$3:$AR$3,$AL$2)=0),"",MAX($AK$3:AK14)+1)</f>
        <v>12</v>
      </c>
      <c r="AL15" s="157" t="s">
        <v>307</v>
      </c>
      <c r="AU15" s="297"/>
      <c r="AV15" s="297"/>
      <c r="AW15" s="301"/>
      <c r="AX15" s="301"/>
      <c r="AY15" s="301"/>
      <c r="AZ15" s="302"/>
      <c r="BA15" s="300"/>
      <c r="BB15" s="301"/>
      <c r="BC15" s="301"/>
      <c r="BD15" s="301"/>
      <c r="BE15" s="301"/>
      <c r="BF15" s="301"/>
      <c r="BG15" s="301"/>
      <c r="BH15" s="301"/>
      <c r="BI15" s="301"/>
      <c r="BJ15" s="301"/>
      <c r="BK15" s="301"/>
    </row>
    <row r="16" spans="2:63" hidden="1">
      <c r="B16" s="73" t="str">
        <f>"最低承保"&amp;IF(E16=1,"(足歲)","(保險年齡)")</f>
        <v>最低承保(保險年齡)</v>
      </c>
      <c r="C16" s="64">
        <f>IF($C$22="",,VLOOKUP($C$24,H51:J54,2,FALSE))</f>
        <v>0</v>
      </c>
      <c r="D16" s="65" t="str">
        <f ca="1">IF(IF(E16=1,D6,IF(E16=2,D5,0))&lt;C16,1,"")</f>
        <v/>
      </c>
      <c r="E16" s="64">
        <v>2</v>
      </c>
      <c r="K16" s="58" t="s">
        <v>241</v>
      </c>
      <c r="P16" s="17" t="str">
        <f>IF(Q16="","",MAX($P$2:P15)+1)</f>
        <v/>
      </c>
      <c r="Q16"/>
      <c r="R16" s="1"/>
      <c r="S16" s="1"/>
      <c r="T16" s="1"/>
      <c r="U16" s="1"/>
      <c r="V16" s="1"/>
      <c r="W16" s="1"/>
      <c r="X16" s="1"/>
      <c r="Y16" s="1"/>
      <c r="Z16" s="1"/>
      <c r="AA16" s="1"/>
      <c r="AB16" s="1"/>
      <c r="AC16" s="1"/>
      <c r="AD16" s="17" t="str">
        <f>IF(AE16="","",MAX($AD$1:AD15)+1)</f>
        <v/>
      </c>
      <c r="AE16" s="113"/>
      <c r="AF16" s="49"/>
      <c r="AG16" s="1"/>
      <c r="AK16" s="157">
        <f>IF(OR($AL16="",COUNTIF($AL$3:$AR$3,$AL$2)=0),"",MAX($AK$3:AK15)+1)</f>
        <v>13</v>
      </c>
      <c r="AL16" s="157" t="s">
        <v>308</v>
      </c>
      <c r="AU16" s="297"/>
      <c r="AV16" s="297"/>
      <c r="AW16" s="301"/>
      <c r="AX16" s="301"/>
      <c r="AY16" s="301"/>
      <c r="AZ16" s="302"/>
      <c r="BA16" s="300"/>
      <c r="BB16" s="301"/>
      <c r="BC16" s="301"/>
      <c r="BD16" s="301"/>
      <c r="BE16" s="301"/>
      <c r="BF16" s="301"/>
      <c r="BG16" s="301"/>
      <c r="BH16" s="301"/>
      <c r="BI16" s="301"/>
      <c r="BJ16" s="301"/>
      <c r="BK16" s="301"/>
    </row>
    <row r="17" spans="2:65" hidden="1">
      <c r="B17" s="70" t="s">
        <v>39</v>
      </c>
      <c r="C17" s="70"/>
      <c r="D17" s="71" t="str">
        <f ca="1">IF(SUM(D15:D16)&gt;=1,"*年齡不符專案投保區間*","")</f>
        <v/>
      </c>
      <c r="H17" s="57" t="str">
        <f>IF($C$24=1,"躉繳","躉繳")</f>
        <v>躉繳</v>
      </c>
      <c r="I17" s="53"/>
      <c r="J17" s="53"/>
      <c r="K17" s="58" t="s">
        <v>242</v>
      </c>
      <c r="P17" s="17" t="str">
        <f>IF(Q17="","",MAX($P$2:P16)+1)</f>
        <v/>
      </c>
      <c r="Q17"/>
      <c r="R17" s="1"/>
      <c r="S17" s="1"/>
      <c r="T17" s="1"/>
      <c r="U17" s="1"/>
      <c r="V17" s="1"/>
      <c r="W17" s="1"/>
      <c r="X17" s="1"/>
      <c r="Y17" s="1"/>
      <c r="Z17" s="1"/>
      <c r="AA17" s="1"/>
      <c r="AB17" s="1"/>
      <c r="AC17" s="1"/>
      <c r="AD17" s="17" t="str">
        <f>IF(AE17="","",MAX($AD$1:AD16)+1)</f>
        <v/>
      </c>
      <c r="AE17" s="103"/>
      <c r="AF17" s="49"/>
      <c r="AG17" s="1"/>
      <c r="AK17" s="157">
        <f>IF(OR($AL17="",COUNTIF($AL$3:$AR$3,$AL$2)=0),"",MAX($AK$3:AK16)+1)</f>
        <v>14</v>
      </c>
      <c r="AL17" s="157" t="s">
        <v>261</v>
      </c>
      <c r="AU17" s="297"/>
      <c r="AV17" s="297"/>
      <c r="AW17" s="301"/>
      <c r="AX17" s="301"/>
      <c r="AY17" s="301"/>
      <c r="AZ17" s="302"/>
      <c r="BA17" s="300"/>
      <c r="BB17" s="301"/>
      <c r="BC17" s="301"/>
      <c r="BD17" s="301"/>
      <c r="BE17" s="301"/>
      <c r="BF17" s="301"/>
      <c r="BG17" s="301"/>
      <c r="BH17" s="301"/>
      <c r="BI17" s="301"/>
      <c r="BJ17" s="301"/>
      <c r="BK17" s="301"/>
    </row>
    <row r="18" spans="2:65" hidden="1">
      <c r="B18" s="61" t="s">
        <v>40</v>
      </c>
      <c r="C18" s="74">
        <f>IF(輸入頁!$K$5="男",1,IF(輸入頁!$K$5="女",2,0))</f>
        <v>1</v>
      </c>
      <c r="D18" s="75" t="str">
        <f>IF(OR(C18="",C18&lt;=0,C18&gt;=3),1,"")</f>
        <v/>
      </c>
      <c r="H18" s="57" t="str">
        <f>IF($C$24=1,"年繳","年繳")</f>
        <v>年繳</v>
      </c>
      <c r="I18" s="53"/>
      <c r="J18" s="53"/>
      <c r="K18" s="58" t="s">
        <v>243</v>
      </c>
      <c r="P18" s="17" t="str">
        <f>IF(Q18="","",MAX($P$2:P17)+1)</f>
        <v/>
      </c>
      <c r="Q18" s="76"/>
      <c r="V18" s="1"/>
      <c r="W18" s="1"/>
      <c r="X18" s="1"/>
      <c r="Y18" s="1"/>
      <c r="Z18" s="1"/>
      <c r="AA18" s="1"/>
      <c r="AB18" s="1"/>
      <c r="AC18" s="1"/>
      <c r="AD18" s="17" t="str">
        <f>IF(AE18="","",MAX($AD$1:AD17)+1)</f>
        <v/>
      </c>
      <c r="AE18" s="103"/>
      <c r="AF18" s="1"/>
      <c r="AG18" s="1"/>
      <c r="AK18" s="157">
        <f>IF(OR($AL18="",COUNTIF($AL$3:$AR$3,$AL$2)=0),"",MAX($AK$3:AK17)+1)</f>
        <v>15</v>
      </c>
      <c r="AL18" s="157" t="s">
        <v>809</v>
      </c>
      <c r="AU18" s="297"/>
      <c r="AV18" s="297"/>
      <c r="AW18" s="301"/>
      <c r="AX18" s="301"/>
      <c r="AY18" s="301"/>
      <c r="AZ18" s="302"/>
      <c r="BA18" s="300"/>
      <c r="BB18" s="301"/>
      <c r="BC18" s="301"/>
      <c r="BD18" s="301"/>
      <c r="BE18" s="301"/>
      <c r="BF18" s="301"/>
      <c r="BG18" s="301"/>
      <c r="BH18" s="301"/>
      <c r="BI18" s="301"/>
      <c r="BJ18" s="301"/>
      <c r="BK18" s="301"/>
    </row>
    <row r="19" spans="2:65" hidden="1">
      <c r="B19" s="77" t="s">
        <v>41</v>
      </c>
      <c r="C19" s="77"/>
      <c r="D19" s="78" t="str">
        <f>IF(D18=1,"*性別輸入錯誤*","")</f>
        <v/>
      </c>
      <c r="H19" s="57" t="str">
        <f>IF($C$24=1,"半年繳","半年繳")</f>
        <v>半年繳</v>
      </c>
      <c r="I19" s="53"/>
      <c r="J19" s="67"/>
      <c r="K19" s="58" t="s">
        <v>244</v>
      </c>
      <c r="P19" s="17" t="str">
        <f>IF(Q19="","",MAX($P$2:P18)+1)</f>
        <v/>
      </c>
      <c r="Q19" s="25"/>
      <c r="V19" s="1"/>
      <c r="W19" s="1"/>
      <c r="X19" s="1"/>
      <c r="Y19" s="1"/>
      <c r="Z19" s="1"/>
      <c r="AA19" s="1"/>
      <c r="AB19" s="1"/>
      <c r="AC19" s="1"/>
      <c r="AD19" s="17" t="str">
        <f>IF(AE19="","",MAX($AD$1:AD18)+1)</f>
        <v/>
      </c>
      <c r="AE19" s="103"/>
      <c r="AF19" s="1"/>
      <c r="AG19" s="1"/>
      <c r="AK19" s="157">
        <f>IF(OR($AL19="",COUNTIF($AL$3:$AR$3,$AL$2)=0),"",MAX($AK$3:AK18)+1)</f>
        <v>16</v>
      </c>
      <c r="AL19" s="157" t="s">
        <v>810</v>
      </c>
      <c r="AU19" s="297"/>
      <c r="AV19" s="297"/>
      <c r="AW19" s="301"/>
      <c r="AX19" s="301"/>
      <c r="AY19" s="301"/>
      <c r="AZ19" s="302"/>
      <c r="BA19" s="300"/>
      <c r="BB19" s="301"/>
      <c r="BC19" s="301"/>
      <c r="BD19" s="301"/>
      <c r="BE19" s="301"/>
      <c r="BF19" s="301"/>
      <c r="BG19" s="301"/>
      <c r="BH19" s="301"/>
      <c r="BI19" s="301"/>
      <c r="BJ19" s="301"/>
      <c r="BK19" s="301"/>
    </row>
    <row r="20" spans="2:65" hidden="1">
      <c r="B20" s="77" t="s">
        <v>42</v>
      </c>
      <c r="C20" s="77"/>
      <c r="D20" s="65" t="str">
        <f>IF(SUM(E6,D10:D13,D18)&gt;=1,1,"")</f>
        <v/>
      </c>
      <c r="H20" s="57" t="str">
        <f>IF($C$24=1,"季繳","季繳")</f>
        <v>季繳</v>
      </c>
      <c r="I20" s="53"/>
      <c r="J20" s="67"/>
      <c r="P20" s="17" t="str">
        <f>IF(Q20="","",MAX($P$2:P19)+1)</f>
        <v/>
      </c>
      <c r="Q20" s="26"/>
      <c r="V20" s="1"/>
      <c r="W20" s="1"/>
      <c r="X20" s="1"/>
      <c r="Y20" s="1"/>
      <c r="Z20" s="1"/>
      <c r="AA20" s="1"/>
      <c r="AB20" s="1"/>
      <c r="AC20" s="1"/>
      <c r="AD20" s="17" t="str">
        <f>IF(AE20="","",MAX($AD$1:AD19)+1)</f>
        <v/>
      </c>
      <c r="AE20" s="103"/>
      <c r="AF20" s="1"/>
      <c r="AG20" s="1"/>
      <c r="AK20" s="157">
        <f>IF(OR($AL20="",COUNTIF($AL$3:$AR$3,$AL$2)=0),"",MAX($AK$3:AK19)+1)</f>
        <v>17</v>
      </c>
      <c r="AL20" s="157" t="s">
        <v>811</v>
      </c>
      <c r="AU20" s="297"/>
      <c r="AV20" s="297"/>
      <c r="AW20" s="301"/>
      <c r="AX20" s="301"/>
      <c r="AY20" s="301"/>
      <c r="AZ20" s="302"/>
      <c r="BA20" s="300"/>
      <c r="BB20" s="301"/>
      <c r="BC20" s="301"/>
      <c r="BD20" s="301"/>
      <c r="BE20" s="301"/>
      <c r="BF20" s="301"/>
      <c r="BG20" s="301"/>
      <c r="BH20" s="301"/>
      <c r="BI20" s="301"/>
      <c r="BJ20" s="301"/>
      <c r="BK20" s="301"/>
    </row>
    <row r="21" spans="2:65" hidden="1">
      <c r="B21" s="61" t="s">
        <v>43</v>
      </c>
      <c r="C21" s="64">
        <v>1</v>
      </c>
      <c r="D21" s="65" t="str">
        <f>IF(OR(C21="",C21&lt;=0,C21&gt;=3),1,"")</f>
        <v/>
      </c>
      <c r="E21" s="241" t="s">
        <v>759</v>
      </c>
      <c r="H21" s="57" t="str">
        <f>IF($C$24=1,"月繳","月繳")</f>
        <v>月繳</v>
      </c>
      <c r="I21" s="53"/>
      <c r="J21" s="67"/>
      <c r="P21" s="17" t="str">
        <f>IF(Q21="","",MAX($P$2:P20)+1)</f>
        <v/>
      </c>
      <c r="Q21" s="27"/>
      <c r="V21" s="1"/>
      <c r="W21" s="1"/>
      <c r="X21" s="1"/>
      <c r="Y21" s="1"/>
      <c r="Z21" s="1"/>
      <c r="AA21" s="1"/>
      <c r="AB21" s="1"/>
      <c r="AC21" s="1"/>
      <c r="AD21" s="17" t="str">
        <f>IF(AE21="","",MAX($AD$1:AD20)+1)</f>
        <v/>
      </c>
      <c r="AE21" s="103"/>
      <c r="AF21" s="1"/>
      <c r="AG21" s="1"/>
      <c r="AK21" s="157">
        <f>IF(OR($AL21="",COUNTIF($AL$3:$AR$3,$AL$2)=0),"",MAX($AK$3:AK20)+1)</f>
        <v>18</v>
      </c>
      <c r="AL21" s="157" t="s">
        <v>812</v>
      </c>
      <c r="AU21" s="297"/>
      <c r="AV21" s="297"/>
      <c r="AW21" s="301"/>
      <c r="AX21" s="301"/>
      <c r="AY21" s="301"/>
      <c r="AZ21" s="302"/>
      <c r="BA21" s="300"/>
      <c r="BB21" s="301"/>
      <c r="BC21" s="301"/>
      <c r="BD21" s="301"/>
      <c r="BE21" s="301"/>
      <c r="BF21" s="301"/>
      <c r="BG21" s="301"/>
      <c r="BH21" s="301"/>
      <c r="BI21" s="301"/>
      <c r="BJ21" s="301"/>
      <c r="BK21" s="301"/>
    </row>
    <row r="22" spans="2:65" hidden="1">
      <c r="B22" s="61" t="s">
        <v>44</v>
      </c>
      <c r="C22" s="64" t="str">
        <f>IF(YPN&lt;&gt;I58,"",YPN)</f>
        <v>SDJ</v>
      </c>
      <c r="D22" s="65" t="str">
        <f>IF(OR(C22="",C22=0,AND(C22&lt;&gt;K39,C22&lt;&gt;K40)),1,"")</f>
        <v/>
      </c>
      <c r="H22" s="53"/>
      <c r="I22" s="53"/>
      <c r="J22" s="67"/>
      <c r="P22" s="17" t="str">
        <f>IF(Q22="","",MAX($P$2:P21)+1)</f>
        <v/>
      </c>
      <c r="Q22" s="26"/>
      <c r="V22" s="1"/>
      <c r="W22" s="1"/>
      <c r="X22" s="1"/>
      <c r="Y22" s="1"/>
      <c r="Z22" s="1"/>
      <c r="AA22" s="1"/>
      <c r="AB22" s="1"/>
      <c r="AC22" s="1"/>
      <c r="AD22" s="17" t="str">
        <f>IF(AE22="","",MAX($AD$1:AD21)+1)</f>
        <v/>
      </c>
      <c r="AE22" s="103"/>
      <c r="AF22" s="1"/>
      <c r="AG22" s="1"/>
      <c r="AK22" s="157" t="str">
        <f>IF(OR($AL22="",COUNTIF($AL$3:$AR$3,$AL$2)=0),"",MAX($AK$3:AK21)+1)</f>
        <v/>
      </c>
      <c r="AL22" s="157"/>
      <c r="AU22" s="297"/>
      <c r="AV22" s="297"/>
      <c r="AW22" s="301"/>
      <c r="AX22" s="301"/>
      <c r="AY22" s="301"/>
      <c r="AZ22" s="302"/>
      <c r="BA22" s="300"/>
      <c r="BB22" s="301"/>
      <c r="BC22" s="301"/>
      <c r="BD22" s="301"/>
      <c r="BE22" s="301"/>
      <c r="BF22" s="301"/>
      <c r="BG22" s="301"/>
      <c r="BH22" s="301"/>
      <c r="BI22" s="301"/>
      <c r="BJ22" s="301"/>
      <c r="BK22" s="301"/>
    </row>
    <row r="23" spans="2:65" hidden="1">
      <c r="B23" s="61" t="s">
        <v>45</v>
      </c>
      <c r="C23" s="64" t="s">
        <v>1013</v>
      </c>
      <c r="D23" s="65"/>
      <c r="E23" s="58" t="s">
        <v>198</v>
      </c>
      <c r="H23" s="53"/>
      <c r="I23" s="53"/>
      <c r="J23" s="67"/>
      <c r="P23" s="1"/>
      <c r="Q23" s="26"/>
      <c r="R23" s="1"/>
      <c r="S23" s="1"/>
      <c r="T23" s="1"/>
      <c r="U23" s="1"/>
      <c r="V23" s="1"/>
      <c r="W23" s="1"/>
      <c r="X23" s="1"/>
      <c r="Y23" s="1"/>
      <c r="Z23" s="1"/>
      <c r="AA23" s="1"/>
      <c r="AB23" s="1"/>
      <c r="AC23" s="1"/>
      <c r="AD23" s="17" t="str">
        <f>IF(AE23="","",MAX($AD$1:AD22)+1)</f>
        <v/>
      </c>
      <c r="AE23" s="103"/>
      <c r="AF23" s="1"/>
      <c r="AG23" s="1"/>
      <c r="AK23" s="157">
        <f>IF(OR($AL23="",COUNTIF($AL$3:$AR$3,$AL$2)=0),"",MAX($AK$3:AK22)+1)</f>
        <v>19</v>
      </c>
      <c r="AL23" s="157" t="s">
        <v>262</v>
      </c>
      <c r="AU23" s="297"/>
      <c r="AV23" s="297"/>
      <c r="AW23" s="301"/>
      <c r="AX23" s="301"/>
      <c r="AY23" s="301"/>
      <c r="AZ23" s="302"/>
      <c r="BA23" s="300"/>
      <c r="BB23" s="301"/>
      <c r="BC23" s="301"/>
      <c r="BD23" s="301"/>
      <c r="BE23" s="301"/>
      <c r="BF23" s="301"/>
      <c r="BG23" s="301"/>
      <c r="BH23" s="301"/>
      <c r="BI23" s="301"/>
      <c r="BJ23" s="301"/>
      <c r="BK23" s="301"/>
    </row>
    <row r="24" spans="2:65" hidden="1">
      <c r="B24" s="61" t="s">
        <v>46</v>
      </c>
      <c r="C24" s="57">
        <f>IF($C$22="",,輸入頁!$D$33)</f>
        <v>20</v>
      </c>
      <c r="D24" s="65" t="str">
        <f>IF(OR(C24="",C24=0,COUNTIF(H39:J41,C24)=0),1,"")</f>
        <v/>
      </c>
      <c r="E24" s="57" t="str">
        <f>IF($C$22="",,IF(OP!C24=1,"(躉繳)",IF(OP!$C$24&gt;40,"繳費至"&amp;OP!$C$24&amp;"歲滿期","繳費"&amp;OP!$C$24&amp;"年")))</f>
        <v>繳費20年</v>
      </c>
      <c r="P24" s="1"/>
      <c r="Q24" s="79"/>
      <c r="R24" s="1"/>
      <c r="S24" s="1"/>
      <c r="T24" s="1"/>
      <c r="U24" s="1"/>
      <c r="V24" s="1"/>
      <c r="W24" s="1"/>
      <c r="X24" s="1"/>
      <c r="Y24" s="1"/>
      <c r="Z24" s="1"/>
      <c r="AA24" s="1"/>
      <c r="AB24" s="1"/>
      <c r="AC24" s="1"/>
      <c r="AD24" s="17" t="str">
        <f>IF(AE24="","",MAX($AD$1:AD23)+1)</f>
        <v/>
      </c>
      <c r="AE24" s="103"/>
      <c r="AF24" s="1"/>
      <c r="AG24" s="1"/>
      <c r="AK24" s="157">
        <f>IF(OR($AL24="",COUNTIF($AL$3:$AR$3,$AL$2)=0),"",MAX($AK$3:AK23)+1)</f>
        <v>20</v>
      </c>
      <c r="AL24" s="157" t="s">
        <v>263</v>
      </c>
      <c r="AU24" s="297"/>
      <c r="AV24" s="297"/>
      <c r="AW24" s="301"/>
      <c r="AX24" s="301"/>
      <c r="AY24" s="301"/>
      <c r="AZ24" s="302"/>
      <c r="BA24" s="300"/>
      <c r="BB24" s="301"/>
      <c r="BC24" s="301"/>
      <c r="BD24" s="301"/>
      <c r="BE24" s="301"/>
      <c r="BF24" s="301"/>
      <c r="BG24" s="301"/>
      <c r="BH24" s="301"/>
      <c r="BI24" s="301"/>
      <c r="BJ24" s="301"/>
      <c r="BK24" s="301"/>
    </row>
    <row r="25" spans="2:65" hidden="1">
      <c r="B25" s="77" t="s">
        <v>47</v>
      </c>
      <c r="C25" s="80"/>
      <c r="D25" s="71" t="str">
        <f>IF(SUM(D24)&gt;=1,"*年期選擇錯誤*","")</f>
        <v/>
      </c>
      <c r="E25" s="58">
        <f>COUNTIF(H39:J41,C24)</f>
        <v>1</v>
      </c>
      <c r="H25" s="53" t="str">
        <f>輸入頁!$E$20</f>
        <v>無</v>
      </c>
      <c r="I25" s="162">
        <f>VLOOKUP(H25,H26:I28,2,0)</f>
        <v>1</v>
      </c>
      <c r="J25" s="53"/>
      <c r="P25" s="1"/>
      <c r="Q25" s="79"/>
      <c r="R25" s="1"/>
      <c r="S25" s="1"/>
      <c r="T25" s="1"/>
      <c r="U25" s="1"/>
      <c r="V25" s="1"/>
      <c r="W25" s="1"/>
      <c r="X25" s="1"/>
      <c r="Y25" s="1"/>
      <c r="Z25" s="1"/>
      <c r="AA25" s="1"/>
      <c r="AB25" s="1"/>
      <c r="AC25" s="1"/>
      <c r="AD25" s="17" t="str">
        <f>IF(AE25="","",MAX($AD$1:AD24)+1)</f>
        <v/>
      </c>
      <c r="AE25" s="103"/>
      <c r="AF25" s="1"/>
      <c r="AG25" s="1"/>
      <c r="AK25" s="157">
        <f>IF(OR($AL25="",COUNTIF($AL$3:$AR$3,$AL$2)=0),"",MAX($AK$3:AK24)+1)</f>
        <v>21</v>
      </c>
      <c r="AL25" s="157" t="s">
        <v>264</v>
      </c>
      <c r="AU25" s="297"/>
      <c r="AV25" s="297"/>
      <c r="AW25" s="301"/>
      <c r="AX25" s="301"/>
      <c r="AY25" s="301"/>
      <c r="AZ25" s="302"/>
      <c r="BA25" s="300"/>
      <c r="BB25" s="301"/>
      <c r="BC25" s="301"/>
      <c r="BD25" s="301"/>
      <c r="BE25" s="301"/>
      <c r="BF25" s="301"/>
      <c r="BG25" s="301"/>
      <c r="BH25" s="301"/>
      <c r="BI25" s="301"/>
      <c r="BJ25" s="301"/>
      <c r="BK25" s="301"/>
    </row>
    <row r="26" spans="2:65" hidden="1">
      <c r="B26" s="61" t="s">
        <v>48</v>
      </c>
      <c r="C26" s="64">
        <f>IF($C$22="",,VLOOKUP($C$24,$H$61:$L$64,$H$58+1,FALSE))</f>
        <v>10</v>
      </c>
      <c r="D26" s="81"/>
      <c r="H26" s="53" t="s">
        <v>279</v>
      </c>
      <c r="I26" s="53">
        <v>1</v>
      </c>
      <c r="J26" s="53"/>
      <c r="P26" s="1"/>
      <c r="Q26" s="79"/>
      <c r="R26" s="1"/>
      <c r="S26" s="1"/>
      <c r="T26" s="1"/>
      <c r="U26" s="1"/>
      <c r="V26" s="1"/>
      <c r="W26" s="1"/>
      <c r="X26" s="1"/>
      <c r="Y26" s="1"/>
      <c r="Z26" s="1"/>
      <c r="AA26" s="1"/>
      <c r="AB26" s="1"/>
      <c r="AC26" s="1"/>
      <c r="AD26" s="17" t="str">
        <f>IF(AE26="","",MAX($AD$1:AD25)+1)</f>
        <v/>
      </c>
      <c r="AE26" s="103"/>
      <c r="AF26" s="1"/>
      <c r="AG26" s="1"/>
      <c r="AK26" s="157">
        <f>IF(OR($AL26="",COUNTIF($AL$3:$AR$3,$AL$2)=0),"",MAX($AK$3:AK25)+1)</f>
        <v>22</v>
      </c>
      <c r="AL26" s="157" t="s">
        <v>265</v>
      </c>
      <c r="AU26" s="297"/>
      <c r="AV26" s="297"/>
      <c r="AW26" s="301"/>
      <c r="AX26" s="301"/>
      <c r="AY26" s="301"/>
      <c r="AZ26" s="302"/>
      <c r="BA26" s="300"/>
      <c r="BB26" s="301"/>
      <c r="BC26" s="301"/>
      <c r="BD26" s="301"/>
      <c r="BE26" s="301"/>
      <c r="BF26" s="301"/>
      <c r="BG26" s="301"/>
      <c r="BH26" s="301"/>
      <c r="BI26" s="301"/>
      <c r="BJ26" s="301"/>
      <c r="BK26" s="301"/>
    </row>
    <row r="27" spans="2:65" hidden="1">
      <c r="B27" s="61" t="s">
        <v>49</v>
      </c>
      <c r="C27" s="64">
        <f ca="1">IF($C$22="",,VLOOKUP($C$24,$H$61:$L$64,$H$58+2,FALSE))</f>
        <v>500</v>
      </c>
      <c r="D27" s="82"/>
      <c r="E27" s="58" t="s">
        <v>758</v>
      </c>
      <c r="H27" s="53" t="s">
        <v>280</v>
      </c>
      <c r="I27" s="53">
        <v>2</v>
      </c>
      <c r="J27" s="67"/>
      <c r="P27" s="1"/>
      <c r="Q27" s="79"/>
      <c r="R27" s="1"/>
      <c r="S27" s="1"/>
      <c r="T27" s="1"/>
      <c r="U27" s="1"/>
      <c r="V27" s="1"/>
      <c r="W27" s="1"/>
      <c r="X27" s="1"/>
      <c r="Y27" s="1"/>
      <c r="Z27" s="1"/>
      <c r="AA27" s="1"/>
      <c r="AB27" s="1"/>
      <c r="AC27" s="1"/>
      <c r="AD27" s="17" t="str">
        <f>IF(AE27="","",MAX($AD$1:AD26)+1)</f>
        <v/>
      </c>
      <c r="AE27" s="103"/>
      <c r="AF27" s="1"/>
      <c r="AG27" s="1"/>
      <c r="AK27" s="157">
        <f>IF(OR($AL27="",COUNTIF($AL$3:$AR$3,$AL$2)=0),"",MAX($AK$3:AK26)+1)</f>
        <v>23</v>
      </c>
      <c r="AL27" s="157" t="s">
        <v>266</v>
      </c>
      <c r="AU27" s="293"/>
      <c r="AV27" s="293"/>
    </row>
    <row r="28" spans="2:65" hidden="1">
      <c r="B28" s="61" t="s">
        <v>50</v>
      </c>
      <c r="C28" s="185">
        <f>ROUND(輸入頁!J35,1)</f>
        <v>10</v>
      </c>
      <c r="D28" s="65" t="str">
        <f ca="1">IF(OR(C28="",C28=0,C28&lt;C26,C28&gt;C27),1,"")</f>
        <v/>
      </c>
      <c r="E28" s="156">
        <v>1</v>
      </c>
      <c r="H28" s="53" t="s">
        <v>239</v>
      </c>
      <c r="I28" s="53">
        <v>3</v>
      </c>
      <c r="J28" s="67"/>
      <c r="P28" s="1"/>
      <c r="Q28" s="79"/>
      <c r="R28" s="1"/>
      <c r="S28" s="1"/>
      <c r="T28" s="1"/>
      <c r="U28" s="1"/>
      <c r="V28" s="1"/>
      <c r="W28" s="1"/>
      <c r="X28" s="1"/>
      <c r="Y28" s="1"/>
      <c r="Z28" s="1"/>
      <c r="AA28" s="1"/>
      <c r="AB28" s="1"/>
      <c r="AC28" s="1"/>
      <c r="AD28" s="17" t="str">
        <f>IF(AE28="","",MAX($AD$1:AD27)+1)</f>
        <v/>
      </c>
      <c r="AE28" s="103"/>
      <c r="AG28" s="1"/>
      <c r="AK28" s="157">
        <f>IF(OR($AL28="",COUNTIF($AL$3:$AR$3,$AL$2)=0),"",MAX($AK$3:AK27)+1)</f>
        <v>24</v>
      </c>
      <c r="AL28" s="157" t="s">
        <v>267</v>
      </c>
      <c r="AU28" s="293"/>
      <c r="AV28" s="293"/>
    </row>
    <row r="29" spans="2:65" hidden="1">
      <c r="B29" s="77" t="s">
        <v>51</v>
      </c>
      <c r="C29" s="77"/>
      <c r="D29" s="71" t="str">
        <f ca="1">IF(SUM(D28)&gt;=1,"*保額錯誤*","")</f>
        <v/>
      </c>
      <c r="P29" s="1"/>
      <c r="Q29" s="79"/>
      <c r="R29" s="1"/>
      <c r="S29" s="1"/>
      <c r="T29" s="1"/>
      <c r="U29" s="1"/>
      <c r="V29" s="1"/>
      <c r="W29" s="1"/>
      <c r="X29" s="1"/>
      <c r="Y29" s="1"/>
      <c r="Z29" s="1"/>
      <c r="AA29" s="1"/>
      <c r="AB29" s="1"/>
      <c r="AC29" s="1"/>
      <c r="AD29" s="17" t="str">
        <f>IF(AE29="","",MAX($AD$1:AD28)+1)</f>
        <v/>
      </c>
      <c r="AE29" s="103"/>
      <c r="AG29" s="1"/>
      <c r="AK29" s="157">
        <f>IF(OR($AL29="",COUNTIF($AL$3:$AR$3,$AL$2)=0),"",MAX($AK$3:AK28)+1)</f>
        <v>25</v>
      </c>
      <c r="AL29" s="157" t="s">
        <v>268</v>
      </c>
      <c r="AU29" s="293"/>
      <c r="AV29" s="293"/>
    </row>
    <row r="30" spans="2:65" ht="17.25" hidden="1" thickBot="1">
      <c r="B30" s="61" t="s">
        <v>52</v>
      </c>
      <c r="C30" s="83">
        <f ca="1">IF(OR(C18=0,C22=0,D28=1),0,IF(ISNA(VLOOKUP($C$55,GP,2,0)),0,VLOOKUP($C$55,GP,2,0)))</f>
        <v>239</v>
      </c>
      <c r="H30" s="84" t="s">
        <v>53</v>
      </c>
      <c r="I30" s="53" t="s">
        <v>54</v>
      </c>
      <c r="L30" s="63" t="s">
        <v>227</v>
      </c>
      <c r="M30" s="63" t="s">
        <v>13</v>
      </c>
      <c r="P30" s="1"/>
      <c r="Q30" s="79"/>
      <c r="R30" s="1"/>
      <c r="S30" s="1"/>
      <c r="T30" s="1"/>
      <c r="U30" s="1"/>
      <c r="V30" s="1"/>
      <c r="W30" s="1"/>
      <c r="X30" s="1"/>
      <c r="Y30" s="1"/>
      <c r="Z30" s="1"/>
      <c r="AA30" s="1"/>
      <c r="AB30" s="1"/>
      <c r="AC30" s="1"/>
      <c r="AD30" s="17" t="str">
        <f>IF(AE30="","",MAX($AD$1:AD29)+1)</f>
        <v/>
      </c>
      <c r="AE30" s="103"/>
      <c r="AG30" s="1"/>
      <c r="AK30" s="157">
        <f>IF(OR($AL30="",COUNTIF($AL$3:$AR$3,$AL$2)=0),"",MAX($AK$3:AK29)+1)</f>
        <v>26</v>
      </c>
      <c r="AL30" s="157" t="s">
        <v>269</v>
      </c>
      <c r="AU30" s="293"/>
      <c r="AW30" s="303"/>
      <c r="AX30" s="303"/>
      <c r="AY30" s="303"/>
      <c r="AZ30" s="303"/>
      <c r="BA30" s="303"/>
      <c r="BB30" s="303"/>
      <c r="BC30" s="303"/>
      <c r="BD30" s="303"/>
      <c r="BE30" s="303"/>
      <c r="BF30" s="303"/>
      <c r="BG30" s="297"/>
      <c r="BH30" s="297"/>
      <c r="BI30" s="297"/>
      <c r="BJ30" s="297"/>
      <c r="BK30" s="297"/>
      <c r="BL30" s="109"/>
      <c r="BM30" s="109"/>
    </row>
    <row r="31" spans="2:65" ht="17.25" hidden="1" thickTop="1">
      <c r="B31" s="61" t="s">
        <v>55</v>
      </c>
      <c r="C31" s="83">
        <f ca="1">IF($C$21=1,ROUND($C28*BGP,1),IF(C21=2,ROUND($C28*BGP,1),""))</f>
        <v>2390</v>
      </c>
      <c r="D31" s="85"/>
      <c r="H31" s="86" t="s">
        <v>56</v>
      </c>
      <c r="I31" s="87">
        <f>IF($C$24=1,0,1%)</f>
        <v>0.01</v>
      </c>
      <c r="J31" s="58" t="s">
        <v>57</v>
      </c>
      <c r="L31" s="63" t="s">
        <v>56</v>
      </c>
      <c r="M31" s="63" t="str">
        <f>IF($C$24=1,"","金融機構轉帳")</f>
        <v>金融機構轉帳</v>
      </c>
      <c r="P31" s="1"/>
      <c r="Q31" s="79"/>
      <c r="R31" s="1"/>
      <c r="S31" s="1"/>
      <c r="T31" s="1"/>
      <c r="U31" s="1"/>
      <c r="V31" s="1"/>
      <c r="W31" s="1"/>
      <c r="X31" s="1"/>
      <c r="Y31" s="1"/>
      <c r="Z31" s="1"/>
      <c r="AA31" s="1"/>
      <c r="AB31" s="1"/>
      <c r="AC31" s="1"/>
      <c r="AD31" s="17" t="str">
        <f>IF(AE31="","",MAX($AD$1:AD30)+1)</f>
        <v/>
      </c>
      <c r="AE31" s="103"/>
      <c r="AG31" s="1"/>
      <c r="AK31" s="157">
        <f>IF(OR($AL31="",COUNTIF($AL$3:$AR$3,$AL$2)=0),"",MAX($AK$3:AK30)+1)</f>
        <v>27</v>
      </c>
      <c r="AL31" s="157" t="s">
        <v>270</v>
      </c>
      <c r="AU31" s="293"/>
      <c r="AW31" s="292"/>
      <c r="AX31" s="292"/>
      <c r="AY31" s="292"/>
      <c r="AZ31" s="292"/>
      <c r="BA31" s="292"/>
      <c r="BB31" s="292"/>
      <c r="BC31" s="292"/>
      <c r="BD31" s="292"/>
      <c r="BE31" s="292"/>
      <c r="BF31" s="292"/>
      <c r="BG31" s="297"/>
      <c r="BH31" s="297"/>
      <c r="BI31" s="297"/>
      <c r="BJ31" s="297"/>
      <c r="BK31" s="297"/>
      <c r="BL31" s="109"/>
      <c r="BM31" s="109"/>
    </row>
    <row r="32" spans="2:65" hidden="1">
      <c r="B32" s="61" t="s">
        <v>53</v>
      </c>
      <c r="C32" s="64" t="str">
        <f>IF(PM="","",PM)</f>
        <v>年繳</v>
      </c>
      <c r="D32" s="65" t="str">
        <f>IF(OR(C32="",C32=0,COUNTIF(繳,$C$32)&lt;1),1,"")</f>
        <v/>
      </c>
      <c r="E32" s="58" t="str">
        <f>IF($D$32=1,"繳別錯誤","")</f>
        <v/>
      </c>
      <c r="H32" s="88" t="s">
        <v>93</v>
      </c>
      <c r="I32" s="87">
        <f>IF($C$24=1,0,1%)</f>
        <v>0.01</v>
      </c>
      <c r="J32" s="89" t="s">
        <v>58</v>
      </c>
      <c r="L32" s="63" t="s">
        <v>93</v>
      </c>
      <c r="M32" s="63" t="str">
        <f>IF($C$24=1,"","富邦信用卡")</f>
        <v>富邦信用卡</v>
      </c>
      <c r="P32" s="1"/>
      <c r="Q32" s="79"/>
      <c r="R32" s="1"/>
      <c r="S32" s="1"/>
      <c r="T32" s="1"/>
      <c r="U32" s="1"/>
      <c r="V32" s="1"/>
      <c r="W32" s="1"/>
      <c r="X32" s="1"/>
      <c r="Y32" s="1"/>
      <c r="Z32" s="1"/>
      <c r="AA32" s="1"/>
      <c r="AB32" s="1"/>
      <c r="AC32" s="1"/>
      <c r="AD32" s="17" t="str">
        <f>IF(AE32="","",MAX($AD$1:AD31)+1)</f>
        <v/>
      </c>
      <c r="AE32" s="103"/>
      <c r="AG32" s="1"/>
      <c r="AK32" s="157">
        <f>IF(OR($AL32="",COUNTIF($AL$3:$AR$3,$AL$2)=0),"",MAX($AK$3:AK31)+1)</f>
        <v>28</v>
      </c>
      <c r="AL32" s="157" t="s">
        <v>813</v>
      </c>
      <c r="AU32" s="293"/>
      <c r="AW32" s="292"/>
      <c r="AX32" s="292"/>
      <c r="AY32" s="292"/>
      <c r="AZ32" s="292"/>
      <c r="BA32" s="292"/>
      <c r="BB32" s="292"/>
      <c r="BC32" s="292"/>
      <c r="BD32" s="292"/>
      <c r="BE32" s="292"/>
      <c r="BF32" s="292"/>
      <c r="BG32" s="297"/>
      <c r="BH32" s="297"/>
      <c r="BI32" s="297"/>
      <c r="BJ32" s="297"/>
      <c r="BK32" s="297"/>
      <c r="BL32" s="109"/>
      <c r="BM32" s="109"/>
    </row>
    <row r="33" spans="2:65" hidden="1">
      <c r="B33" s="61" t="s">
        <v>59</v>
      </c>
      <c r="C33" s="64">
        <v>1</v>
      </c>
      <c r="D33" s="65" t="str">
        <f>IF(OR(C33="",C33=0),1,"")</f>
        <v/>
      </c>
      <c r="H33" s="90" t="s">
        <v>60</v>
      </c>
      <c r="I33" s="87">
        <f>IF($C$24=1,0,1%)</f>
        <v>0.01</v>
      </c>
      <c r="L33" s="63" t="str">
        <f>IF($C$24=1,"支票","富邦信用卡")</f>
        <v>富邦信用卡</v>
      </c>
      <c r="M33" s="63" t="str">
        <f>IF($C$24=1,"","一般信用卡")</f>
        <v>一般信用卡</v>
      </c>
      <c r="P33" s="1"/>
      <c r="Q33" s="79"/>
      <c r="R33" s="1"/>
      <c r="S33" s="1"/>
      <c r="T33" s="1"/>
      <c r="U33" s="1"/>
      <c r="V33" s="1"/>
      <c r="W33" s="1"/>
      <c r="X33" s="1"/>
      <c r="Y33" s="1"/>
      <c r="Z33" s="1"/>
      <c r="AA33" s="1"/>
      <c r="AB33" s="1"/>
      <c r="AC33" s="1"/>
      <c r="AD33" s="17" t="str">
        <f>IF(AE33="","",MAX($AD$1:AD32)+1)</f>
        <v/>
      </c>
      <c r="AE33" s="103"/>
      <c r="AF33" s="1"/>
      <c r="AK33" s="157" t="str">
        <f>IF(OR($AL33="",COUNTIF($AL$3:$AR$3,$AL$2)=0),"",MAX($AK$3:AK32)+1)</f>
        <v/>
      </c>
      <c r="AL33" s="157"/>
      <c r="AU33" s="293"/>
      <c r="AW33" s="292"/>
      <c r="AX33" s="289"/>
      <c r="AY33" s="289"/>
      <c r="AZ33" s="289"/>
      <c r="BA33" s="289"/>
      <c r="BB33" s="289"/>
      <c r="BC33" s="289"/>
      <c r="BD33" s="289"/>
      <c r="BE33" s="289"/>
      <c r="BF33" s="292"/>
      <c r="BG33" s="297"/>
      <c r="BH33" s="297"/>
      <c r="BI33" s="297"/>
      <c r="BJ33" s="297"/>
      <c r="BK33" s="297"/>
      <c r="BL33" s="109"/>
      <c r="BM33" s="109"/>
    </row>
    <row r="34" spans="2:65" hidden="1">
      <c r="B34" s="61" t="s">
        <v>61</v>
      </c>
      <c r="C34" s="61">
        <f>IF(D32=1,,VLOOKUP(C32,H2:K7,1+C33,FALSE))</f>
        <v>1</v>
      </c>
      <c r="D34" s="91"/>
      <c r="H34" s="114" t="s">
        <v>94</v>
      </c>
      <c r="I34" s="115">
        <f>IF($C$24=1,0,0%)</f>
        <v>0</v>
      </c>
      <c r="J34" s="58" t="s">
        <v>62</v>
      </c>
      <c r="L34" s="63" t="str">
        <f>IF($C$24=1,"","一般信用卡")</f>
        <v>一般信用卡</v>
      </c>
      <c r="M34" s="63" t="str">
        <f>IF($C$24=1,"","收費")</f>
        <v>收費</v>
      </c>
      <c r="P34" s="1"/>
      <c r="Q34" s="79"/>
      <c r="R34" s="1"/>
      <c r="S34" s="1"/>
      <c r="T34" s="1"/>
      <c r="U34" s="1"/>
      <c r="V34" s="1"/>
      <c r="W34" s="1"/>
      <c r="X34" s="1"/>
      <c r="Y34" s="1"/>
      <c r="Z34" s="1"/>
      <c r="AA34" s="1"/>
      <c r="AB34" s="1"/>
      <c r="AC34" s="1"/>
      <c r="AD34" s="17" t="str">
        <f>IF(AE34="","",MAX($AD$1:AD33)+1)</f>
        <v/>
      </c>
      <c r="AE34" s="103"/>
      <c r="AF34" s="1"/>
      <c r="AK34" s="157">
        <f>IF(OR($AL34="",COUNTIF($AL$3:$AR$3,$AL$2)=0),"",MAX($AK$3:AK33)+1)</f>
        <v>29</v>
      </c>
      <c r="AL34" s="157" t="s">
        <v>814</v>
      </c>
      <c r="AW34" s="292"/>
      <c r="AX34" s="289"/>
      <c r="AY34" s="290"/>
      <c r="AZ34" s="290"/>
      <c r="BA34" s="290"/>
      <c r="BB34" s="290"/>
      <c r="BC34" s="290"/>
      <c r="BD34" s="290"/>
      <c r="BE34" s="290"/>
      <c r="BF34" s="292"/>
      <c r="BG34" s="297"/>
      <c r="BH34" s="297"/>
      <c r="BI34" s="297"/>
      <c r="BJ34" s="297"/>
      <c r="BK34" s="297"/>
      <c r="BL34" s="109"/>
      <c r="BM34" s="109"/>
    </row>
    <row r="35" spans="2:65" hidden="1">
      <c r="B35" s="61" t="s">
        <v>63</v>
      </c>
      <c r="C35" s="83">
        <f ca="1">IF($C$21=1,ROUND(C31*C34,0),IF($C$21=2,ROUNDDOWN(C31*C34,0),""))</f>
        <v>2390</v>
      </c>
      <c r="D35" s="58">
        <f ca="1">IF($C$50=12,$C$35*2,$C$35*1)</f>
        <v>2390</v>
      </c>
      <c r="E35" s="58" t="s">
        <v>802</v>
      </c>
      <c r="H35" s="63" t="s">
        <v>226</v>
      </c>
      <c r="I35" s="67">
        <f>IF($C$24=1,0,0%)</f>
        <v>0</v>
      </c>
      <c r="L35" s="63" t="str">
        <f>IF($C$24=1,"","支票")</f>
        <v>支票</v>
      </c>
      <c r="M35" s="63" t="str">
        <f>IF($C$24=1,"","自行繳費")</f>
        <v>自行繳費</v>
      </c>
      <c r="P35" s="1"/>
      <c r="Q35" s="79"/>
      <c r="R35" s="1"/>
      <c r="S35" s="1"/>
      <c r="T35" s="1"/>
      <c r="U35" s="1"/>
      <c r="V35" s="1"/>
      <c r="W35" s="1"/>
      <c r="X35" s="1"/>
      <c r="Y35" s="1"/>
      <c r="Z35" s="1"/>
      <c r="AA35" s="1"/>
      <c r="AB35" s="1"/>
      <c r="AC35" s="1"/>
      <c r="AD35" s="17" t="str">
        <f>IF(AE35="","",MAX($AD$1:AD34)+1)</f>
        <v/>
      </c>
      <c r="AE35" s="103"/>
      <c r="AF35" s="1"/>
      <c r="AK35" s="157">
        <f>IF(OR($AL35="",COUNTIF($AL$3:$AR$3,$AL$2)=0),"",MAX($AK$3:AK34)+1)</f>
        <v>30</v>
      </c>
      <c r="AL35" s="157" t="s">
        <v>271</v>
      </c>
      <c r="AW35" s="292"/>
      <c r="AX35" s="289"/>
      <c r="AY35" s="290"/>
      <c r="AZ35" s="290"/>
      <c r="BA35" s="290"/>
      <c r="BB35" s="290"/>
      <c r="BC35" s="290"/>
      <c r="BD35" s="290"/>
      <c r="BE35" s="290"/>
      <c r="BF35" s="292"/>
      <c r="BG35" s="297"/>
      <c r="BH35" s="297"/>
      <c r="BI35" s="297"/>
      <c r="BJ35" s="297"/>
      <c r="BK35" s="304"/>
      <c r="BL35" s="110"/>
      <c r="BM35" s="110"/>
    </row>
    <row r="36" spans="2:65" hidden="1">
      <c r="B36" s="61" t="s">
        <v>65</v>
      </c>
      <c r="C36" s="92"/>
      <c r="D36" s="58" t="s">
        <v>66</v>
      </c>
      <c r="H36" s="116" t="s">
        <v>64</v>
      </c>
      <c r="I36" s="117">
        <f>IF($C$24=1,0,1%)</f>
        <v>0.01</v>
      </c>
      <c r="J36" s="89" t="s">
        <v>68</v>
      </c>
      <c r="L36" s="63"/>
      <c r="M36" s="63"/>
      <c r="P36" s="1"/>
      <c r="Q36" s="79"/>
      <c r="R36" s="1"/>
      <c r="S36" s="1"/>
      <c r="T36" s="1"/>
      <c r="U36" s="1"/>
      <c r="V36" s="1"/>
      <c r="W36" s="1"/>
      <c r="X36" s="1"/>
      <c r="Y36" s="1"/>
      <c r="Z36" s="1"/>
      <c r="AA36" s="1"/>
      <c r="AB36" s="1"/>
      <c r="AC36" s="1"/>
      <c r="AD36" s="17" t="str">
        <f>IF(AE36="","",MAX($AD$1:AD35)+1)</f>
        <v/>
      </c>
      <c r="AE36" s="103"/>
      <c r="AF36" s="1"/>
      <c r="AK36" s="157">
        <f>IF(OR($AL36="",COUNTIF($AL$3:$AR$3,$AL$2)=0),"",MAX($AK$3:AK35)+1)</f>
        <v>31</v>
      </c>
      <c r="AL36" s="157" t="s">
        <v>272</v>
      </c>
      <c r="AW36" s="292"/>
      <c r="AX36" s="289"/>
      <c r="AY36" s="290"/>
      <c r="AZ36" s="290"/>
      <c r="BA36" s="290"/>
      <c r="BB36" s="290"/>
      <c r="BC36" s="290"/>
      <c r="BD36" s="290"/>
      <c r="BE36" s="290"/>
      <c r="BF36" s="292"/>
      <c r="BK36" s="297"/>
      <c r="BL36" s="109"/>
      <c r="BM36" s="109"/>
    </row>
    <row r="37" spans="2:65" ht="17.25" hidden="1" thickBot="1">
      <c r="B37" s="61" t="s">
        <v>69</v>
      </c>
      <c r="C37" s="118">
        <v>0</v>
      </c>
      <c r="H37" s="93" t="s">
        <v>67</v>
      </c>
      <c r="I37" s="87">
        <f>IF($C$24=1,0,0%)</f>
        <v>0</v>
      </c>
      <c r="L37" s="63"/>
      <c r="M37" s="63"/>
      <c r="P37" s="1"/>
      <c r="Q37" s="79"/>
      <c r="R37" s="1"/>
      <c r="S37" s="1"/>
      <c r="T37" s="1"/>
      <c r="U37" s="1"/>
      <c r="V37" s="1"/>
      <c r="W37" s="1"/>
      <c r="X37" s="1"/>
      <c r="Y37" s="1"/>
      <c r="Z37" s="1"/>
      <c r="AA37" s="1"/>
      <c r="AB37" s="1"/>
      <c r="AC37" s="1"/>
      <c r="AD37" s="17" t="str">
        <f>IF(AE37="","",MAX($AD$1:AD36)+1)</f>
        <v/>
      </c>
      <c r="AE37" s="103"/>
      <c r="AF37" s="1"/>
      <c r="AK37" s="157" t="str">
        <f>IF(OR($AL37="",COUNTIF($AL$3:$AR$3,$AL$2)=0),"",MAX($AK$3:AK36)+1)</f>
        <v/>
      </c>
      <c r="AL37" s="157"/>
      <c r="AW37" s="292"/>
      <c r="AX37" s="289"/>
      <c r="AY37" s="290"/>
      <c r="AZ37" s="290"/>
      <c r="BA37" s="290"/>
      <c r="BB37" s="290"/>
      <c r="BC37" s="290"/>
      <c r="BD37" s="290"/>
      <c r="BE37" s="290"/>
      <c r="BF37" s="292"/>
      <c r="BG37" s="297"/>
      <c r="BK37" s="297"/>
      <c r="BL37" s="109"/>
      <c r="BM37" s="109"/>
    </row>
    <row r="38" spans="2:65" ht="17.25" hidden="1" thickTop="1">
      <c r="B38" s="61" t="s">
        <v>232</v>
      </c>
      <c r="C38" s="92">
        <f>IF(AND($C$24&lt;&gt;1,$I$25=2,OR(AND(OR(C41=H31,C41=H35),OR(C43=H32,C43=H33,C43=H34,C43=H36)),$C$41=$H$32,$C$41=$H$33,$C$41=$H$34)),2%,0%)</f>
        <v>0</v>
      </c>
      <c r="D38" s="63" t="str">
        <f>IF(C38&gt;0,"本主約首期保費享有 "&amp;TEXT(C38,"0%")&amp;" 集體彙繳折扣","")</f>
        <v/>
      </c>
      <c r="E38" s="140"/>
      <c r="H38" s="63" t="s">
        <v>46</v>
      </c>
      <c r="K38" s="53" t="s">
        <v>70</v>
      </c>
      <c r="P38" s="1"/>
      <c r="Q38" s="79"/>
      <c r="R38" s="1"/>
      <c r="S38" s="1"/>
      <c r="T38" s="1"/>
      <c r="U38" s="1"/>
      <c r="V38" s="1"/>
      <c r="W38" s="1"/>
      <c r="X38" s="1"/>
      <c r="Y38" s="1"/>
      <c r="Z38" s="1"/>
      <c r="AA38" s="1"/>
      <c r="AB38" s="1"/>
      <c r="AC38" s="1"/>
      <c r="AD38" s="17" t="str">
        <f>IF(AE38="","",MAX($AD$1:AD37)+1)</f>
        <v/>
      </c>
      <c r="AE38" s="103"/>
      <c r="AG38" s="1"/>
      <c r="AK38" s="157" t="str">
        <f>IF(OR($AL38="",COUNTIF($AL$3:$AR$3,$AL$2)=0),"",MAX($AK$3:AK37)+1)</f>
        <v/>
      </c>
      <c r="AL38" s="157"/>
      <c r="AW38" s="292"/>
      <c r="AX38" s="289"/>
      <c r="AY38" s="291"/>
      <c r="AZ38" s="291"/>
      <c r="BA38" s="291"/>
      <c r="BB38" s="291"/>
      <c r="BC38" s="291"/>
      <c r="BD38" s="291"/>
      <c r="BE38" s="291"/>
      <c r="BF38" s="292"/>
      <c r="BG38" s="297"/>
      <c r="BK38" s="297"/>
      <c r="BL38" s="109"/>
      <c r="BM38" s="109"/>
    </row>
    <row r="39" spans="2:65" hidden="1">
      <c r="B39" s="61" t="s">
        <v>233</v>
      </c>
      <c r="C39" s="92">
        <f>IF(AND($C$24&lt;&gt;1,$I$25=2,OR($C$43=$H$32,$C$43=$H$33,$C$43=$H$34,$C$43=$H$36)),2%,0%)</f>
        <v>0</v>
      </c>
      <c r="D39" s="63" t="str">
        <f>IF(C39&gt;0,"本主約續期保費享有 "&amp;TEXT(C39,"0%")&amp;" 集體彙繳折扣","")</f>
        <v/>
      </c>
      <c r="E39" s="63" t="str">
        <f>IF(C24=1,"",IF(AND(I25=3,OR(C41&lt;&gt;H32,AND(C43&lt;&gt;H32,C43&lt;&gt;H36))),1,""))</f>
        <v/>
      </c>
      <c r="F39" s="58" t="str">
        <f>IF($E$39=1,"已選定員工轉帳件資格，請確認繳費方式是否符合規定","")</f>
        <v/>
      </c>
      <c r="H39" s="53">
        <v>20</v>
      </c>
      <c r="I39" s="94"/>
      <c r="J39" s="95"/>
      <c r="K39" s="53" t="s">
        <v>1011</v>
      </c>
      <c r="P39" s="1"/>
      <c r="Q39" s="79"/>
      <c r="R39" s="1"/>
      <c r="S39" s="1"/>
      <c r="T39" s="1"/>
      <c r="U39" s="1"/>
      <c r="V39" s="1"/>
      <c r="W39" s="1"/>
      <c r="X39" s="1"/>
      <c r="Y39" s="1"/>
      <c r="Z39" s="1"/>
      <c r="AA39" s="1"/>
      <c r="AB39" s="1"/>
      <c r="AC39" s="1"/>
      <c r="AD39" s="17" t="str">
        <f>IF(AE39="","",MAX($AD$1:AD38)+1)</f>
        <v/>
      </c>
      <c r="AE39" s="103"/>
      <c r="AG39" s="1"/>
      <c r="AK39" s="157" t="str">
        <f>IF(OR($AL39="",COUNTIF($AL$3:$AR$3,$AL$2)=0),"",MAX($AK$3:AK38)+1)</f>
        <v/>
      </c>
      <c r="AL39" s="157"/>
      <c r="AW39" s="292"/>
      <c r="AX39" s="289"/>
      <c r="AY39" s="291"/>
      <c r="AZ39" s="291"/>
      <c r="BA39" s="291"/>
      <c r="BB39" s="291"/>
      <c r="BC39" s="291"/>
      <c r="BD39" s="291"/>
      <c r="BE39" s="291"/>
      <c r="BF39" s="292"/>
      <c r="BG39" s="297"/>
      <c r="BK39" s="297"/>
      <c r="BL39" s="109"/>
      <c r="BM39" s="109"/>
    </row>
    <row r="40" spans="2:65" hidden="1">
      <c r="B40" s="61" t="s">
        <v>107</v>
      </c>
      <c r="C40" s="92">
        <f>IF(AND($I$25=3,C41=H32,OR(C43=H32,C43=H36)),IF($C$24=10,5%,IF(OR($C$24=15,$C$24=20),5%,5%)),0%)</f>
        <v>0</v>
      </c>
      <c r="D40" s="63" t="str">
        <f>IF(C40&gt;0,"本保件享有 "&amp;TEXT(C40,"0%")&amp;" 員工轉帳件折扣","")</f>
        <v/>
      </c>
      <c r="H40" s="53"/>
      <c r="I40" s="53"/>
      <c r="J40" s="95"/>
      <c r="K40" s="53"/>
      <c r="P40" s="1"/>
      <c r="Q40" s="79"/>
      <c r="R40" s="1"/>
      <c r="S40" s="1"/>
      <c r="T40" s="1"/>
      <c r="U40" s="1"/>
      <c r="V40" s="1"/>
      <c r="W40" s="1"/>
      <c r="X40" s="1"/>
      <c r="Y40" s="1"/>
      <c r="Z40" s="1"/>
      <c r="AA40" s="1"/>
      <c r="AB40" s="1"/>
      <c r="AC40" s="1"/>
      <c r="AD40" s="17" t="str">
        <f>IF(AE40="","",MAX($AD$1:AD39)+1)</f>
        <v/>
      </c>
      <c r="AE40" s="103"/>
      <c r="AF40" s="1"/>
      <c r="AG40" s="1"/>
      <c r="AK40" s="157" t="str">
        <f>IF(OR($AL40="",COUNTIF($AL$3:$AR$3,$AL$2)=0),"",MAX($AK$3:AK39)+1)</f>
        <v/>
      </c>
      <c r="AL40" s="157"/>
      <c r="AW40" s="292"/>
      <c r="AX40" s="289"/>
      <c r="AY40" s="291"/>
      <c r="AZ40" s="291"/>
      <c r="BA40" s="291"/>
      <c r="BB40" s="291"/>
      <c r="BC40" s="291"/>
      <c r="BD40" s="291"/>
      <c r="BE40" s="291"/>
      <c r="BF40" s="292"/>
      <c r="BG40" s="297"/>
      <c r="BK40" s="297"/>
      <c r="BL40" s="109"/>
      <c r="BM40" s="109"/>
    </row>
    <row r="41" spans="2:65" hidden="1">
      <c r="B41" s="61" t="s">
        <v>71</v>
      </c>
      <c r="C41" s="64" t="str">
        <f>輸入頁!Q17</f>
        <v>匯款</v>
      </c>
      <c r="D41" s="65"/>
      <c r="H41" s="53"/>
      <c r="I41" s="53"/>
      <c r="J41" s="95"/>
      <c r="K41" s="53"/>
      <c r="P41" s="1"/>
      <c r="Q41" s="79"/>
      <c r="R41" s="1"/>
      <c r="S41" s="1"/>
      <c r="T41" s="1"/>
      <c r="U41" s="1"/>
      <c r="V41" s="1"/>
      <c r="W41" s="1"/>
      <c r="X41" s="1"/>
      <c r="Y41" s="1"/>
      <c r="Z41" s="1"/>
      <c r="AA41" s="1"/>
      <c r="AB41" s="1"/>
      <c r="AC41" s="1"/>
      <c r="AD41" s="17" t="str">
        <f>IF(AE41="","",MAX($AD$1:AD40)+1)</f>
        <v/>
      </c>
      <c r="AE41" s="103"/>
      <c r="AF41" s="1"/>
      <c r="AG41" s="1"/>
      <c r="AK41" s="157" t="str">
        <f>IF(OR($AL41="",COUNTIF($AL$3:$AR$3,$AL$2)=0),"",MAX($AK$3:AK40)+1)</f>
        <v/>
      </c>
      <c r="AL41" s="157"/>
      <c r="AW41" s="292"/>
      <c r="AX41" s="289"/>
      <c r="AY41" s="291"/>
      <c r="AZ41" s="291"/>
      <c r="BA41" s="291"/>
      <c r="BB41" s="291"/>
      <c r="BC41" s="291"/>
      <c r="BD41" s="291"/>
      <c r="BE41" s="291"/>
      <c r="BF41" s="292"/>
      <c r="BG41" s="297"/>
      <c r="BK41" s="297"/>
      <c r="BL41" s="109"/>
      <c r="BM41" s="109"/>
    </row>
    <row r="42" spans="2:65" hidden="1">
      <c r="B42" s="61" t="s">
        <v>72</v>
      </c>
      <c r="C42" s="92">
        <f>IF(OR(ISNA(VLOOKUP(C41,$H$30:$I$37,2,FALSE)),$C$40&gt;0),0,VLOOKUP(C41,$H$30:$I$37,2,FALSE))</f>
        <v>0.01</v>
      </c>
      <c r="D42" s="96" t="str">
        <f>IF(C42&gt;0,"-首期享有1%繳別折扣-","")</f>
        <v>-首期享有1%繳別折扣-</v>
      </c>
      <c r="H42" s="424" t="s">
        <v>198</v>
      </c>
      <c r="I42" s="424" t="s">
        <v>943</v>
      </c>
      <c r="J42" s="434"/>
      <c r="Q42" s="79"/>
      <c r="AD42" s="17" t="str">
        <f>IF(AE42="","",MAX($AD$1:AD41)+1)</f>
        <v/>
      </c>
      <c r="AE42" s="60"/>
      <c r="AK42" s="157" t="str">
        <f>IF(OR($AL42="",COUNTIF($AL$3:$AR$3,$AL$2)=0),"",MAX($AK$3:AK41)+1)</f>
        <v/>
      </c>
      <c r="AL42" s="157"/>
      <c r="AW42" s="292"/>
      <c r="AX42" s="292"/>
      <c r="AY42" s="292"/>
      <c r="AZ42" s="292"/>
      <c r="BA42" s="292"/>
      <c r="BB42" s="292"/>
      <c r="BC42" s="292"/>
      <c r="BD42" s="292"/>
      <c r="BE42" s="292"/>
      <c r="BF42" s="292"/>
      <c r="BG42" s="304"/>
      <c r="BK42" s="297"/>
      <c r="BL42" s="109"/>
      <c r="BM42" s="109"/>
    </row>
    <row r="43" spans="2:65" hidden="1">
      <c r="B43" s="61" t="s">
        <v>73</v>
      </c>
      <c r="C43" s="64" t="str">
        <f>輸入頁!Q19</f>
        <v>金融機構轉帳</v>
      </c>
      <c r="D43" s="65"/>
      <c r="H43" s="424">
        <v>20</v>
      </c>
      <c r="I43" s="424"/>
      <c r="J43" s="434"/>
      <c r="L43" s="246" t="s">
        <v>628</v>
      </c>
      <c r="M43" s="63" t="s">
        <v>1012</v>
      </c>
      <c r="N43" s="63" t="str">
        <f>"SDJ續年度折扣後實繳保費"&amp;IF($C$47&gt;0,"(含續期繳費方式折扣"&amp;TEXT($C$47,"0%")&amp;")","")</f>
        <v>SDJ續年度折扣後實繳保費(含續期繳費方式折扣1%)</v>
      </c>
      <c r="Q43" s="79"/>
      <c r="AD43" s="17" t="str">
        <f>IF(AE43="","",MAX($AD$1:AD42)+1)</f>
        <v/>
      </c>
      <c r="AE43" s="60"/>
      <c r="AK43" s="157" t="str">
        <f>IF(OR($AL43="",COUNTIF($AL$3:$AR$3,$AL$2)=0),"",MAX($AK$3:AK42)+1)</f>
        <v/>
      </c>
      <c r="AL43" s="157"/>
      <c r="AW43" s="292"/>
      <c r="AX43" s="292"/>
      <c r="AY43" s="292"/>
      <c r="AZ43" s="292"/>
      <c r="BA43" s="292"/>
      <c r="BB43" s="292"/>
      <c r="BC43" s="292"/>
      <c r="BD43" s="292"/>
      <c r="BE43" s="292"/>
      <c r="BF43" s="292"/>
      <c r="BG43" s="297"/>
      <c r="BK43" s="297"/>
      <c r="BL43" s="109"/>
      <c r="BM43" s="109"/>
    </row>
    <row r="44" spans="2:65" hidden="1">
      <c r="B44" s="61" t="s">
        <v>74</v>
      </c>
      <c r="C44" s="92">
        <f>IF(OR(ISNA(VLOOKUP(C43,$H$30:$I$37,2,FALSE)),$C$40&gt;0),0,VLOOKUP(C43,$H$30:$I$37,2,FALSE))</f>
        <v>0.01</v>
      </c>
      <c r="D44" s="96" t="str">
        <f>IF(C44&gt;0,"-續期享有1%繳別折扣-","")</f>
        <v>-續期享有1%繳別折扣-</v>
      </c>
      <c r="H44" s="424"/>
      <c r="I44" s="424"/>
      <c r="J44" s="434"/>
      <c r="L44" s="356" t="s">
        <v>766</v>
      </c>
      <c r="M44" s="359">
        <v>0.01</v>
      </c>
      <c r="N44" s="63">
        <f ca="1">ROUND($C$35*(1-($C$47+$M$44)),0)</f>
        <v>2342</v>
      </c>
      <c r="AD44" s="17" t="str">
        <f>IF(AE44="","",MAX($AD$1:AD43)+1)</f>
        <v/>
      </c>
      <c r="AE44" s="60"/>
      <c r="AK44" s="157" t="str">
        <f>IF(OR($AL44="",COUNTIF($AL$3:$AR$3,$AL$2)=0),"",MAX($AK$3:AK43)+1)</f>
        <v/>
      </c>
      <c r="AL44" s="157"/>
      <c r="AW44" s="292"/>
      <c r="AX44" s="292"/>
      <c r="AY44" s="292"/>
      <c r="AZ44" s="292"/>
      <c r="BA44" s="292"/>
      <c r="BB44" s="292"/>
      <c r="BC44" s="292"/>
      <c r="BD44" s="292"/>
      <c r="BE44" s="292"/>
      <c r="BF44" s="292"/>
      <c r="BG44" s="297"/>
    </row>
    <row r="45" spans="2:65" hidden="1">
      <c r="B45" s="61" t="s">
        <v>75</v>
      </c>
      <c r="C45" s="97">
        <f>IF($I$25=3,IF($C$24=10,5%,IF(OR($C$24=15,$C$24=20),5%,5%)),1%)</f>
        <v>0.01</v>
      </c>
      <c r="D45" s="65" t="str">
        <f>IF(OR(C45="",),1,"")</f>
        <v/>
      </c>
      <c r="H45" s="424"/>
      <c r="I45" s="424"/>
      <c r="J45" s="434"/>
      <c r="L45" s="63"/>
      <c r="M45" s="359"/>
      <c r="N45" s="63"/>
      <c r="AD45" s="17" t="str">
        <f>IF(AE45="","",MAX($AD$1:AD44)+1)</f>
        <v/>
      </c>
      <c r="AE45" s="60"/>
      <c r="AK45" s="157" t="str">
        <f>IF(OR($AL45="",COUNTIF($AL$3:$AR$3,$AL$2)=0),"",MAX($AK$3:AK44)+1)</f>
        <v/>
      </c>
      <c r="AL45" s="157"/>
      <c r="AW45" s="292"/>
      <c r="AX45" s="292"/>
      <c r="AY45" s="292"/>
      <c r="AZ45" s="292"/>
      <c r="BA45" s="292"/>
      <c r="BB45" s="292"/>
      <c r="BC45" s="292"/>
      <c r="BD45" s="292"/>
      <c r="BE45" s="292"/>
      <c r="BF45" s="292"/>
      <c r="BG45" s="297"/>
    </row>
    <row r="46" spans="2:65" hidden="1">
      <c r="B46" s="61" t="s">
        <v>76</v>
      </c>
      <c r="C46" s="98">
        <f>MIN(SUM(C36:C37,C38,C40,C42),C45)</f>
        <v>0.01</v>
      </c>
      <c r="D46" s="143" t="str">
        <f>IF(OR(C42&gt;0,C44&gt;0),"繳費方式折扣‧","")&amp;IF(C37&gt;0,"高保額折扣‧","")&amp;IF(OR(C38&gt;0,C39&gt;0),"集體彙繳件折扣‧","")&amp;IF(OR(C40&gt;0),"員工轉帳件折扣‧","")</f>
        <v>繳費方式折扣‧</v>
      </c>
      <c r="H46" s="435"/>
      <c r="I46" s="424"/>
      <c r="J46" s="434"/>
      <c r="L46" s="63"/>
      <c r="M46" s="359"/>
      <c r="N46" s="63"/>
      <c r="AD46" s="17" t="str">
        <f>IF(AE46="","",MAX($AD$1:AD45)+1)</f>
        <v/>
      </c>
      <c r="AE46" s="60"/>
      <c r="AL46" s="156" t="s">
        <v>273</v>
      </c>
      <c r="AM46" s="156" t="s">
        <v>305</v>
      </c>
      <c r="AN46" s="156" t="s">
        <v>792</v>
      </c>
      <c r="AO46" s="156"/>
      <c r="AP46" s="156"/>
      <c r="AQ46" s="156"/>
      <c r="AR46" s="156"/>
      <c r="BG46" s="297"/>
    </row>
    <row r="47" spans="2:65" hidden="1">
      <c r="B47" s="61" t="s">
        <v>77</v>
      </c>
      <c r="C47" s="98">
        <f>MIN(SUM(C37,C39,C40,C44),C45)</f>
        <v>0.01</v>
      </c>
      <c r="D47" s="143" t="str">
        <f>IF(OR(C37+C38+C40+C42&gt;C45,C37+C39+C44&gt;C45),"本商品折扣率上限"&amp;TEXT($C$45,"0%。"),"")</f>
        <v/>
      </c>
      <c r="H47" s="434"/>
      <c r="I47" s="434"/>
      <c r="J47" s="434"/>
      <c r="L47" s="63"/>
      <c r="M47" s="359"/>
      <c r="N47" s="63"/>
      <c r="AD47" s="17" t="str">
        <f>IF(AE47="","",MAX($AD$1:AD46)+1)</f>
        <v/>
      </c>
      <c r="AE47" s="60"/>
      <c r="AK47" s="157" t="str">
        <f>IF(OR($AL47="",COUNTIF($AL$46:$AR$46,$AL$2)=0),"",MAX($AK$3:AK46)+1)</f>
        <v/>
      </c>
      <c r="AL47" s="157" t="s">
        <v>250</v>
      </c>
      <c r="AW47" s="292"/>
      <c r="AX47" s="292"/>
      <c r="AY47" s="292"/>
      <c r="AZ47" s="292"/>
      <c r="BA47" s="292"/>
      <c r="BB47" s="305"/>
      <c r="BG47" s="297"/>
    </row>
    <row r="48" spans="2:65" hidden="1">
      <c r="B48" s="61" t="s">
        <v>78</v>
      </c>
      <c r="C48" s="83">
        <f ca="1">ROUND(MGP*(1-C46),0)</f>
        <v>2366</v>
      </c>
      <c r="D48" s="71"/>
      <c r="H48" s="63"/>
      <c r="I48" s="63"/>
      <c r="J48" s="63"/>
      <c r="L48" s="63"/>
      <c r="M48" s="359"/>
      <c r="N48" s="63"/>
      <c r="AD48" s="17" t="str">
        <f>IF(AE48="","",MAX($AD$1:AD47)+1)</f>
        <v/>
      </c>
      <c r="AE48" s="60"/>
      <c r="AK48" s="157" t="str">
        <f>IF(OR($AL48="",COUNTIF($AL$46:$AR$46,$AL$2)=0),"",MAX($AK$3:AK47)+1)</f>
        <v/>
      </c>
      <c r="AL48" s="157" t="s">
        <v>251</v>
      </c>
      <c r="AW48" s="292"/>
      <c r="AX48" s="292"/>
      <c r="AY48" s="292"/>
      <c r="AZ48" s="292"/>
      <c r="BA48" s="292"/>
      <c r="BB48" s="305"/>
      <c r="BG48" s="297"/>
    </row>
    <row r="49" spans="2:59" hidden="1">
      <c r="B49" s="61" t="s">
        <v>79</v>
      </c>
      <c r="C49" s="83">
        <f ca="1">ROUND(MGP*(1-C47),0)</f>
        <v>2366</v>
      </c>
      <c r="D49" s="71" t="str">
        <f>IF($C$50=12,"-月繳首期須繳 2個月 "&amp;TEXT($C$48*2,"#,##0 元-"),"")</f>
        <v/>
      </c>
      <c r="L49" s="63"/>
      <c r="M49" s="359"/>
      <c r="N49" s="63"/>
      <c r="AD49" s="17" t="str">
        <f>IF(AE49="","",MAX($AD$1:AD48)+1)</f>
        <v/>
      </c>
      <c r="AE49" s="60"/>
      <c r="AK49" s="157" t="str">
        <f>IF(OR($AL49="",COUNTIF($AL$46:$AR$46,$AL$2)=0),"",MAX($AK$3:AK48)+1)</f>
        <v/>
      </c>
      <c r="AL49" s="157" t="s">
        <v>252</v>
      </c>
      <c r="AW49" s="306"/>
      <c r="AX49" s="292"/>
      <c r="AY49" s="292"/>
      <c r="AZ49" s="292"/>
      <c r="BA49" s="292"/>
      <c r="BB49" s="307"/>
      <c r="BG49" s="297"/>
    </row>
    <row r="50" spans="2:59" hidden="1">
      <c r="B50" s="61" t="s">
        <v>80</v>
      </c>
      <c r="C50" s="61">
        <f>IF(D32=1,,VLOOKUP(C32,H2:K7,4,FALSE))</f>
        <v>1</v>
      </c>
      <c r="D50" s="65"/>
      <c r="E50" s="58" t="s">
        <v>81</v>
      </c>
      <c r="H50" s="424" t="s">
        <v>198</v>
      </c>
      <c r="I50" s="63" t="s">
        <v>82</v>
      </c>
      <c r="J50" s="63" t="s">
        <v>83</v>
      </c>
      <c r="AD50" s="17" t="str">
        <f>IF(AE50="","",MAX($AD$1:AD49)+1)</f>
        <v/>
      </c>
      <c r="AE50" s="99"/>
      <c r="AK50" s="157" t="str">
        <f>IF(OR($AL50="",COUNTIF($AL$46:$AR$46,$AL$2)=0),"",MAX($AK$3:AK49)+1)</f>
        <v/>
      </c>
      <c r="AL50" s="157" t="s">
        <v>253</v>
      </c>
      <c r="AW50" s="292"/>
      <c r="AX50" s="292"/>
      <c r="AY50" s="292"/>
      <c r="AZ50" s="306"/>
      <c r="BA50" s="292"/>
      <c r="BB50" s="305"/>
      <c r="BG50" s="297"/>
    </row>
    <row r="51" spans="2:59" hidden="1">
      <c r="B51" s="61" t="s">
        <v>84</v>
      </c>
      <c r="C51" s="83">
        <f ca="1">IF(C50=12,C48*2+C49*10,C48*1+C49*(C50-1))</f>
        <v>2366</v>
      </c>
      <c r="D51" s="108">
        <v>40831</v>
      </c>
      <c r="H51" s="53">
        <v>20</v>
      </c>
      <c r="I51" s="53">
        <v>0</v>
      </c>
      <c r="J51" s="53">
        <v>50</v>
      </c>
      <c r="AD51" s="17" t="str">
        <f>IF(AE51="","",MAX($AD$1:AD50)+1)</f>
        <v/>
      </c>
      <c r="AE51" s="99"/>
      <c r="AK51" s="157" t="str">
        <f>IF(OR($AL51="",COUNTIF($AL$46:$AR$46,$AL$2)=0),"",MAX($AK$3:AK50)+1)</f>
        <v/>
      </c>
      <c r="AL51" s="157" t="s">
        <v>254</v>
      </c>
      <c r="AW51" s="292"/>
      <c r="AX51" s="292"/>
      <c r="AY51" s="292"/>
      <c r="AZ51" s="306"/>
      <c r="BA51" s="292"/>
      <c r="BB51" s="305"/>
    </row>
    <row r="52" spans="2:59" hidden="1">
      <c r="B52" s="61" t="s">
        <v>85</v>
      </c>
      <c r="C52" s="83">
        <f ca="1">C49*C50</f>
        <v>2366</v>
      </c>
      <c r="H52" s="53"/>
      <c r="I52" s="53"/>
      <c r="J52" s="53"/>
      <c r="AD52" s="17" t="str">
        <f>IF(AE52="","",MAX($AD$1:AD51)+1)</f>
        <v/>
      </c>
      <c r="AE52" s="99"/>
      <c r="AK52" s="157" t="str">
        <f>IF(OR($AL52="",COUNTIF($AL$46:$AR$46,$AL$2)=0),"",MAX($AK$3:AK51)+1)</f>
        <v/>
      </c>
      <c r="AL52" s="157" t="s">
        <v>255</v>
      </c>
      <c r="AW52" s="292"/>
      <c r="AX52" s="292"/>
      <c r="AY52" s="292"/>
      <c r="AZ52" s="306"/>
      <c r="BA52" s="292"/>
      <c r="BB52" s="305"/>
    </row>
    <row r="53" spans="2:59" hidden="1">
      <c r="B53" s="77" t="s">
        <v>86</v>
      </c>
      <c r="C53" s="77"/>
      <c r="D53" s="65" t="str">
        <f ca="1">IF(SUM(D15:D16,D28,D32:D33,D40:D41,D43,D45,D50,D24,D64,E39)&gt;=1,1,"")</f>
        <v/>
      </c>
      <c r="H53" s="53"/>
      <c r="I53" s="53"/>
      <c r="J53" s="53"/>
      <c r="AD53" s="17" t="str">
        <f>IF(AE53="","",MAX($AD$1:AD52)+1)</f>
        <v/>
      </c>
      <c r="AE53" s="99"/>
      <c r="AK53" s="157" t="str">
        <f>IF(OR($AL53="",COUNTIF($AL$46:$AR$46,$AL$2)=0),"",MAX($AK$3:AK52)+1)</f>
        <v/>
      </c>
      <c r="AL53" s="157" t="s">
        <v>256</v>
      </c>
      <c r="AW53" s="292"/>
      <c r="AX53" s="292"/>
      <c r="AY53" s="292"/>
      <c r="AZ53" s="306"/>
      <c r="BA53" s="292"/>
      <c r="BB53" s="305"/>
    </row>
    <row r="54" spans="2:59" hidden="1">
      <c r="B54" s="61" t="s">
        <v>87</v>
      </c>
      <c r="C54" s="100" t="s">
        <v>1047</v>
      </c>
      <c r="H54" s="435"/>
      <c r="I54" s="424"/>
      <c r="J54" s="424"/>
      <c r="AD54" s="17" t="str">
        <f>IF(AE54="","",MAX($AD$1:AD53)+1)</f>
        <v/>
      </c>
      <c r="AE54" s="99"/>
      <c r="AK54" s="157" t="str">
        <f>IF(OR($AL54="",COUNTIF($AL$46:$AR$46,$AL$2)=0),"",MAX($AK$3:AK53)+1)</f>
        <v/>
      </c>
      <c r="AL54" s="157" t="s">
        <v>257</v>
      </c>
      <c r="AW54" s="292"/>
      <c r="AX54" s="292"/>
      <c r="AY54" s="292"/>
      <c r="AZ54" s="306"/>
      <c r="BA54" s="292"/>
      <c r="BB54" s="305"/>
    </row>
    <row r="55" spans="2:59" hidden="1">
      <c r="B55" s="61" t="s">
        <v>24</v>
      </c>
      <c r="C55" s="61" t="str">
        <f ca="1">$C$22&amp;$C$24&amp;TEXT($C$18,"00")&amp;TEXT($D$5,"00")</f>
        <v>SDJ200100</v>
      </c>
      <c r="D55" s="58" t="s">
        <v>88</v>
      </c>
      <c r="H55" s="434"/>
      <c r="I55" s="434"/>
      <c r="J55" s="434"/>
      <c r="AD55" s="17" t="str">
        <f>IF(AE55="","",MAX($AD$1:AD54)+1)</f>
        <v/>
      </c>
      <c r="AE55" s="99"/>
      <c r="AK55" s="157" t="str">
        <f>IF(OR($AL55="",COUNTIF($AL$46:$AR$46,$AL$2)=0),"",MAX($AK$3:AK54)+1)</f>
        <v/>
      </c>
      <c r="AL55" s="157" t="s">
        <v>258</v>
      </c>
      <c r="AW55" s="292"/>
      <c r="AX55" s="292"/>
      <c r="AY55" s="292"/>
      <c r="AZ55" s="306"/>
      <c r="BA55" s="292"/>
      <c r="BB55" s="305"/>
    </row>
    <row r="56" spans="2:59" hidden="1">
      <c r="B56" s="61" t="s">
        <v>89</v>
      </c>
      <c r="C56" s="61" t="str">
        <f>IF($C$24=1,$C$22,C22&amp;TEXT($C$24,"00"))</f>
        <v>SDJ20</v>
      </c>
      <c r="D56" s="101" t="s">
        <v>90</v>
      </c>
      <c r="H56" s="434"/>
      <c r="I56" s="434"/>
      <c r="J56" s="434"/>
      <c r="AD56" s="17" t="str">
        <f>IF(AE56="","",MAX($AD$1:AD55)+1)</f>
        <v/>
      </c>
      <c r="AE56" s="99"/>
      <c r="AK56" s="157" t="str">
        <f>IF(OR($AL56="",COUNTIF($AL$46:$AR$46,$AL$2)=0),"",MAX($AK$3:AK55)+1)</f>
        <v/>
      </c>
      <c r="AL56" s="157" t="s">
        <v>259</v>
      </c>
      <c r="AW56" s="292"/>
      <c r="AX56" s="292"/>
      <c r="AY56" s="292"/>
      <c r="AZ56" s="306"/>
      <c r="BA56" s="292"/>
      <c r="BB56" s="305"/>
    </row>
    <row r="57" spans="2:59" hidden="1">
      <c r="B57" s="61" t="s">
        <v>98</v>
      </c>
      <c r="C57" s="61">
        <f ca="1">$F$57+1-D5</f>
        <v>85</v>
      </c>
      <c r="D57" s="279"/>
      <c r="E57" s="58" t="s">
        <v>1014</v>
      </c>
      <c r="F57" s="476">
        <v>84</v>
      </c>
      <c r="AD57" s="17" t="str">
        <f>IF(AE57="","",MAX($AD$1:AD56)+1)</f>
        <v/>
      </c>
      <c r="AE57" s="99"/>
      <c r="AK57" s="157" t="str">
        <f>IF(OR($AL57="",COUNTIF($AL$46:$AR$46,$AL$2)=0),"",MAX($AK$3:AK56)+1)</f>
        <v/>
      </c>
      <c r="AL57" s="157" t="s">
        <v>260</v>
      </c>
      <c r="AW57" s="292"/>
      <c r="AX57" s="292"/>
      <c r="AY57" s="292"/>
      <c r="AZ57" s="306"/>
      <c r="BA57" s="292"/>
      <c r="BB57" s="305"/>
    </row>
    <row r="58" spans="2:59" hidden="1">
      <c r="H58" s="57">
        <f>IF(C22=I58,1,3)</f>
        <v>1</v>
      </c>
      <c r="I58" s="63" t="s">
        <v>1011</v>
      </c>
      <c r="J58" s="63"/>
      <c r="K58" s="63"/>
      <c r="L58" s="63"/>
      <c r="AD58" s="17" t="str">
        <f>IF(AE58="","",MAX($AD$1:AD57)+1)</f>
        <v/>
      </c>
      <c r="AE58" s="99"/>
      <c r="AK58" s="157" t="str">
        <f>IF(OR($AL58="",COUNTIF($AL$46:$AR$46,$AL$2)=0),"",MAX($AK$3:AK57)+1)</f>
        <v/>
      </c>
      <c r="AL58" s="157" t="s">
        <v>307</v>
      </c>
      <c r="AW58" s="292"/>
      <c r="AX58" s="292"/>
      <c r="AY58" s="292"/>
      <c r="AZ58" s="306"/>
      <c r="BA58" s="292"/>
      <c r="BB58" s="305"/>
    </row>
    <row r="59" spans="2:59" hidden="1">
      <c r="AD59" s="17" t="str">
        <f>IF(AE59="","",MAX($AD$1:AD58)+1)</f>
        <v/>
      </c>
      <c r="AE59" s="99"/>
      <c r="AK59" s="157" t="str">
        <f>IF(OR($AL59="",COUNTIF($AL$46:$AR$46,$AL$2)=0),"",MAX($AK$3:AK58)+1)</f>
        <v/>
      </c>
      <c r="AL59" s="157" t="s">
        <v>308</v>
      </c>
      <c r="AW59" s="292"/>
      <c r="AX59" s="292"/>
      <c r="AY59" s="292"/>
      <c r="AZ59" s="306"/>
      <c r="BA59" s="292"/>
      <c r="BB59" s="305"/>
    </row>
    <row r="60" spans="2:59" hidden="1">
      <c r="H60" s="424" t="s">
        <v>198</v>
      </c>
      <c r="I60" s="63" t="s">
        <v>48</v>
      </c>
      <c r="J60" s="63" t="s">
        <v>49</v>
      </c>
      <c r="K60" s="63"/>
      <c r="L60" s="63"/>
      <c r="AD60" s="17" t="str">
        <f>IF(AE60="","",MAX($AD$1:AD59)+1)</f>
        <v/>
      </c>
      <c r="AE60" s="99"/>
      <c r="AK60" s="157" t="str">
        <f>IF(OR($AL60="",COUNTIF($AL$46:$AR$46,$AL$2)=0),"",MAX($AK$3:AK59)+1)</f>
        <v/>
      </c>
      <c r="AL60" s="157" t="s">
        <v>261</v>
      </c>
      <c r="AW60" s="292"/>
      <c r="AX60" s="292"/>
      <c r="AY60" s="292"/>
      <c r="AZ60" s="306"/>
      <c r="BA60" s="292"/>
      <c r="BB60" s="305"/>
    </row>
    <row r="61" spans="2:59" hidden="1">
      <c r="B61" s="424" t="s">
        <v>821</v>
      </c>
      <c r="C61" s="424">
        <f>輸入頁!$E$48</f>
        <v>50000</v>
      </c>
      <c r="H61" s="53">
        <v>20</v>
      </c>
      <c r="I61" s="53">
        <v>10</v>
      </c>
      <c r="J61" s="53">
        <f ca="1">IF($D$16=1,0,VLOOKUP($D$5,$H$72:$I$146,2,0))</f>
        <v>500</v>
      </c>
      <c r="K61" s="53"/>
      <c r="L61" s="53"/>
      <c r="AD61" s="17" t="str">
        <f>IF(AE61="","",MAX($AD$1:AD60)+1)</f>
        <v/>
      </c>
      <c r="AE61" s="99"/>
      <c r="AK61" s="157" t="str">
        <f>IF(OR($AL61="",COUNTIF($AL$46:$AR$46,$AL$2)=0),"",MAX($AK$3:AK60)+1)</f>
        <v/>
      </c>
      <c r="AL61" s="157" t="s">
        <v>809</v>
      </c>
      <c r="AW61" s="292"/>
      <c r="AX61" s="292"/>
      <c r="AY61" s="292"/>
      <c r="AZ61" s="306"/>
      <c r="BA61" s="292"/>
      <c r="BB61" s="305"/>
    </row>
    <row r="62" spans="2:59" hidden="1">
      <c r="B62" s="424" t="s">
        <v>822</v>
      </c>
      <c r="C62" s="424">
        <f ca="1">ROUNDDOWN(C61/C30,$E$28)</f>
        <v>209.2</v>
      </c>
      <c r="H62" s="53"/>
      <c r="I62" s="53"/>
      <c r="J62" s="53"/>
      <c r="K62" s="53"/>
      <c r="L62" s="53"/>
      <c r="AD62" s="17" t="str">
        <f>IF(AE62="","",MAX($AD$1:AD61)+1)</f>
        <v/>
      </c>
      <c r="AE62" s="99"/>
      <c r="AK62" s="157" t="str">
        <f>IF(OR($AL62="",COUNTIF($AL$46:$AR$46,$AL$2)=0),"",MAX($AK$3:AK61)+1)</f>
        <v/>
      </c>
      <c r="AL62" s="157" t="s">
        <v>810</v>
      </c>
      <c r="AW62" s="292"/>
      <c r="AX62" s="292"/>
      <c r="AY62" s="292"/>
      <c r="AZ62" s="306"/>
      <c r="BA62" s="292"/>
      <c r="BB62" s="305"/>
    </row>
    <row r="63" spans="2:59" hidden="1">
      <c r="B63" s="424" t="s">
        <v>823</v>
      </c>
      <c r="C63" s="424">
        <f ca="1">ROUNDDOWN((C61*(1+C46))/C30,$E$28)</f>
        <v>211.2</v>
      </c>
      <c r="H63" s="53"/>
      <c r="I63" s="53"/>
      <c r="J63" s="53"/>
      <c r="K63" s="53"/>
      <c r="L63" s="53"/>
      <c r="AD63" s="17" t="str">
        <f>IF(AE63="","",MAX($AD$1:AD62)+1)</f>
        <v/>
      </c>
      <c r="AE63" s="99"/>
      <c r="AK63" s="157" t="str">
        <f>IF(OR($AL63="",COUNTIF($AL$46:$AR$46,$AL$2)=0),"",MAX($AK$3:AK62)+1)</f>
        <v/>
      </c>
      <c r="AL63" s="157" t="s">
        <v>811</v>
      </c>
      <c r="AW63" s="292"/>
      <c r="AX63" s="292"/>
      <c r="AY63" s="292"/>
      <c r="AZ63" s="306"/>
      <c r="BA63" s="292"/>
      <c r="BB63" s="305"/>
    </row>
    <row r="64" spans="2:59" hidden="1">
      <c r="B64" s="425" t="s">
        <v>824</v>
      </c>
      <c r="C64" s="426">
        <f>輸入頁!$J$35</f>
        <v>10</v>
      </c>
      <c r="D64" s="427" t="str">
        <f>IF(ROUND($C$64,$E$28)&lt;&gt;$C$64,1,"")</f>
        <v/>
      </c>
      <c r="E64" s="427" t="str">
        <f>IF(D64=1,"保額輸入"&amp;C64&amp;"不符投保規則，請重新輸入","")</f>
        <v/>
      </c>
      <c r="H64" s="433"/>
      <c r="I64" s="53"/>
      <c r="J64" s="53"/>
      <c r="K64" s="63"/>
      <c r="L64" s="63"/>
      <c r="AD64" s="17" t="str">
        <f>IF(AE64="","",MAX($AD$1:AD63)+1)</f>
        <v/>
      </c>
      <c r="AE64" s="99"/>
      <c r="AK64" s="157" t="str">
        <f>IF(OR($AL64="",COUNTIF($AL$46:$AR$46,$AL$2)=0),"",MAX($AK$3:AK63)+1)</f>
        <v/>
      </c>
      <c r="AL64" s="157" t="s">
        <v>274</v>
      </c>
      <c r="AW64" s="292"/>
      <c r="AX64" s="292"/>
      <c r="AY64" s="292"/>
      <c r="AZ64" s="306"/>
      <c r="BA64" s="292"/>
      <c r="BB64" s="305"/>
    </row>
    <row r="65" spans="2:63" hidden="1">
      <c r="H65" s="434"/>
      <c r="I65" s="434"/>
      <c r="J65" s="434"/>
      <c r="K65" s="434"/>
      <c r="L65" s="434"/>
      <c r="AD65" s="17" t="str">
        <f>IF(AE65="","",MAX($AD$1:AD64)+1)</f>
        <v/>
      </c>
      <c r="AK65" s="157" t="str">
        <f>IF(OR($AL65="",COUNTIF($AL$46:$AR$46,$AL$2)=0),"",MAX($AK$3:AK64)+1)</f>
        <v/>
      </c>
      <c r="AL65" s="157" t="s">
        <v>262</v>
      </c>
      <c r="AW65" s="292"/>
      <c r="AX65" s="292"/>
      <c r="AY65" s="292"/>
      <c r="AZ65" s="306"/>
      <c r="BA65" s="292"/>
      <c r="BB65" s="305"/>
    </row>
    <row r="66" spans="2:63" hidden="1">
      <c r="H66" s="434"/>
      <c r="I66" s="434"/>
      <c r="J66" s="434"/>
      <c r="K66" s="434"/>
      <c r="L66" s="434"/>
      <c r="AD66" s="17" t="str">
        <f>IF(AE66="","",MAX($AD$1:AD65)+1)</f>
        <v/>
      </c>
      <c r="AK66" s="157" t="str">
        <f>IF(OR($AL66="",COUNTIF($AL$46:$AR$46,$AL$2)=0),"",MAX($AK$3:AK65)+1)</f>
        <v/>
      </c>
      <c r="AL66" s="157" t="s">
        <v>263</v>
      </c>
      <c r="AW66" s="292"/>
      <c r="AX66" s="292"/>
      <c r="AY66" s="292"/>
      <c r="AZ66" s="306"/>
      <c r="BA66" s="292"/>
      <c r="BB66" s="305"/>
    </row>
    <row r="67" spans="2:63" hidden="1">
      <c r="H67" s="424"/>
      <c r="I67" s="424"/>
      <c r="J67" s="434"/>
      <c r="K67" s="434"/>
      <c r="L67" s="434"/>
      <c r="AD67" s="17" t="str">
        <f>IF(AE67="","",MAX($AD$1:AD66)+1)</f>
        <v/>
      </c>
      <c r="AK67" s="157" t="str">
        <f>IF(OR($AL67="",COUNTIF($AL$46:$AR$46,$AL$2)=0),"",MAX($AK$3:AK66)+1)</f>
        <v/>
      </c>
      <c r="AL67" s="157" t="s">
        <v>264</v>
      </c>
      <c r="AW67" s="292"/>
      <c r="AX67" s="292"/>
      <c r="AY67" s="292"/>
      <c r="AZ67" s="306"/>
      <c r="BA67" s="292"/>
      <c r="BB67" s="305"/>
    </row>
    <row r="68" spans="2:63" hidden="1">
      <c r="AD68" s="17" t="str">
        <f>IF(AE68="","",MAX($AD$1:AD67)+1)</f>
        <v/>
      </c>
      <c r="AK68" s="157" t="str">
        <f>IF(OR($AL68="",COUNTIF($AL$46:$AR$46,$AL$2)=0),"",MAX($AK$3:AK67)+1)</f>
        <v/>
      </c>
      <c r="AL68" s="157" t="s">
        <v>265</v>
      </c>
      <c r="AW68" s="292"/>
      <c r="AX68" s="292"/>
      <c r="AY68" s="292"/>
      <c r="AZ68" s="306"/>
      <c r="BA68" s="292"/>
      <c r="BB68" s="305"/>
    </row>
    <row r="69" spans="2:63" hidden="1">
      <c r="B69" s="53" t="s">
        <v>249</v>
      </c>
      <c r="C69" s="147" t="s">
        <v>793</v>
      </c>
      <c r="D69" s="58" t="s">
        <v>366</v>
      </c>
      <c r="E69" s="278"/>
      <c r="F69" s="58" t="s">
        <v>367</v>
      </c>
      <c r="AD69" s="17" t="str">
        <f>IF(AE69="","",MAX($AD$1:AD68)+1)</f>
        <v/>
      </c>
      <c r="AK69" s="157" t="str">
        <f>IF(OR($AL69="",COUNTIF($AL$46:$AR$46,$AL$2)=0),"",MAX($AK$3:AK68)+1)</f>
        <v/>
      </c>
      <c r="AL69" s="157" t="s">
        <v>266</v>
      </c>
      <c r="AW69" s="292"/>
      <c r="AX69" s="292"/>
      <c r="AY69" s="292"/>
      <c r="AZ69" s="306"/>
      <c r="BA69" s="292"/>
      <c r="BB69" s="305"/>
    </row>
    <row r="70" spans="2:63" hidden="1">
      <c r="AK70" s="157" t="str">
        <f>IF(OR($AL70="",COUNTIF($AL$46:$AR$46,$AL$2)=0),"",MAX($AK$3:AK69)+1)</f>
        <v/>
      </c>
      <c r="AL70" s="157" t="s">
        <v>267</v>
      </c>
    </row>
    <row r="71" spans="2:63" hidden="1">
      <c r="B71" s="195" t="s">
        <v>287</v>
      </c>
      <c r="C71" s="195"/>
      <c r="D71" s="195"/>
      <c r="E71" s="195"/>
      <c r="H71" s="309" t="s">
        <v>377</v>
      </c>
      <c r="I71" s="310" t="s">
        <v>378</v>
      </c>
      <c r="AK71" s="157" t="str">
        <f>IF(OR($AL71="",COUNTIF($AL$46:$AR$46,$AL$2)=0),"",MAX($AK$3:AK70)+1)</f>
        <v/>
      </c>
      <c r="AL71" s="157" t="s">
        <v>268</v>
      </c>
      <c r="AW71" s="295"/>
      <c r="AX71" s="295"/>
      <c r="AY71" s="295"/>
      <c r="AZ71" s="295"/>
      <c r="BA71" s="295"/>
      <c r="BB71" s="295"/>
      <c r="BC71" s="295"/>
      <c r="BD71" s="295"/>
      <c r="BE71" s="295"/>
      <c r="BF71" s="295"/>
      <c r="BG71" s="295"/>
      <c r="BH71" s="295"/>
      <c r="BI71" s="295"/>
      <c r="BJ71" s="295"/>
      <c r="BK71" s="308"/>
    </row>
    <row r="72" spans="2:63" hidden="1">
      <c r="B72" s="195" t="s">
        <v>288</v>
      </c>
      <c r="C72" s="196" t="str">
        <f>IN</f>
        <v>客戶</v>
      </c>
      <c r="D72" s="195" t="s">
        <v>289</v>
      </c>
      <c r="E72" s="197">
        <v>0</v>
      </c>
      <c r="H72" s="63">
        <v>0</v>
      </c>
      <c r="I72" s="63">
        <v>500</v>
      </c>
      <c r="AK72" s="157" t="str">
        <f>IF(OR($AL72="",COUNTIF($AL$46:$AR$46,$AL$2)=0),"",MAX($AK$3:AK71)+1)</f>
        <v/>
      </c>
      <c r="AL72" s="157" t="s">
        <v>269</v>
      </c>
      <c r="AW72" s="298"/>
      <c r="AX72" s="298"/>
      <c r="AY72" s="298"/>
      <c r="AZ72" s="299"/>
      <c r="BA72" s="298"/>
      <c r="BB72" s="298"/>
      <c r="BC72" s="298"/>
      <c r="BD72" s="298"/>
      <c r="BE72" s="298"/>
      <c r="BF72" s="298"/>
      <c r="BG72" s="298"/>
      <c r="BH72" s="298"/>
      <c r="BI72" s="298"/>
      <c r="BJ72" s="298"/>
      <c r="BK72" s="301"/>
    </row>
    <row r="73" spans="2:63" hidden="1">
      <c r="B73" s="195" t="s">
        <v>290</v>
      </c>
      <c r="C73" s="198" t="str">
        <f>IF(E72=0,C72,IF(OR(E73=1,C72="",C72=0)," ",IF(AND(E82=0),C74&amp;MID(C72,7,50),IF(LEN(C72)=1,C72,LEFT(C72,LEN(C72)-2)&amp;"○"&amp;RIGHT(C72,1)))))</f>
        <v>客戶</v>
      </c>
      <c r="D73" s="199" t="s">
        <v>291</v>
      </c>
      <c r="E73" s="199"/>
      <c r="H73" s="63">
        <v>1</v>
      </c>
      <c r="I73" s="63">
        <v>500</v>
      </c>
      <c r="AK73" s="157" t="str">
        <f>IF(OR($AL73="",COUNTIF($AL$46:$AR$46,$AL$2)=0),"",MAX($AK$3:AK72)+1)</f>
        <v/>
      </c>
      <c r="AL73" s="157" t="s">
        <v>270</v>
      </c>
      <c r="AW73" s="298"/>
      <c r="AX73" s="298"/>
      <c r="AY73" s="298"/>
      <c r="AZ73" s="299"/>
      <c r="BA73" s="298"/>
      <c r="BB73" s="298"/>
      <c r="BC73" s="298"/>
      <c r="BD73" s="298"/>
      <c r="BE73" s="298"/>
      <c r="BF73" s="298"/>
      <c r="BG73" s="298"/>
      <c r="BH73" s="298"/>
      <c r="BI73" s="298"/>
      <c r="BJ73" s="298"/>
      <c r="BK73" s="301"/>
    </row>
    <row r="74" spans="2:63" hidden="1">
      <c r="B74" s="199" t="str">
        <f>IF(OR(E73=1,C72="",C72=0),"",IF(AND(E82=0),LEN(C72),""))</f>
        <v/>
      </c>
      <c r="C74" s="200" t="str">
        <f>IF(OR(B74=""),"",IF(ISERROR(VLOOKUP(B74,B75:C80,2,0)),C80,VLOOKUP(B74,B75:C80,2,0)))</f>
        <v/>
      </c>
      <c r="D74" s="201" t="s">
        <v>292</v>
      </c>
      <c r="E74" s="202">
        <f>IF(AND(ISNUMBER(C72),LEN(C72)=11),1,0)</f>
        <v>0</v>
      </c>
      <c r="H74" s="63">
        <v>2</v>
      </c>
      <c r="I74" s="63">
        <v>500</v>
      </c>
      <c r="AK74" s="157" t="str">
        <f>IF(OR($AL74="",COUNTIF($AL$46:$AR$46,$AL$2)=0),"",MAX($AK$3:AK73)+1)</f>
        <v/>
      </c>
      <c r="AL74" s="157" t="s">
        <v>813</v>
      </c>
      <c r="AW74" s="298"/>
      <c r="AX74" s="298"/>
      <c r="AY74" s="298"/>
      <c r="AZ74" s="299"/>
      <c r="BA74" s="298"/>
      <c r="BB74" s="298"/>
      <c r="BC74" s="298"/>
      <c r="BD74" s="298"/>
      <c r="BE74" s="298"/>
      <c r="BF74" s="298"/>
      <c r="BG74" s="298"/>
      <c r="BH74" s="298"/>
      <c r="BI74" s="298"/>
      <c r="BJ74" s="298"/>
      <c r="BK74" s="301"/>
    </row>
    <row r="75" spans="2:63" hidden="1">
      <c r="B75" s="203">
        <v>1</v>
      </c>
      <c r="C75" s="203" t="s">
        <v>293</v>
      </c>
      <c r="D75" s="201" t="s">
        <v>294</v>
      </c>
      <c r="E75" s="202">
        <f>IF(AND(LEN(C72)=10,ISTEXT(LEFT(C72,1)),ISNUMBER(RIGHT(C72,1)*1)),1,0)</f>
        <v>0</v>
      </c>
      <c r="H75" s="63">
        <v>3</v>
      </c>
      <c r="I75" s="63">
        <v>500</v>
      </c>
      <c r="AK75" s="157" t="str">
        <f>IF(OR($AL75="",COUNTIF($AL$46:$AR$46,$AL$2)=0),"",MAX($AK$3:AK74)+1)</f>
        <v/>
      </c>
      <c r="AL75" s="157"/>
      <c r="AW75" s="298"/>
      <c r="AX75" s="298"/>
      <c r="AY75" s="298"/>
      <c r="AZ75" s="299"/>
      <c r="BA75" s="298"/>
      <c r="BB75" s="298"/>
      <c r="BC75" s="298"/>
      <c r="BD75" s="298"/>
      <c r="BE75" s="298"/>
      <c r="BF75" s="298"/>
      <c r="BG75" s="298"/>
      <c r="BH75" s="298"/>
      <c r="BI75" s="298"/>
      <c r="BJ75" s="298"/>
      <c r="BK75" s="301"/>
    </row>
    <row r="76" spans="2:63" hidden="1">
      <c r="B76" s="203">
        <v>2</v>
      </c>
      <c r="C76" s="203" t="s">
        <v>295</v>
      </c>
      <c r="D76" s="201" t="s">
        <v>296</v>
      </c>
      <c r="E76" s="202">
        <f>IF(AND(ISNUMBER(C72),LEN(C72)=9),1,0)</f>
        <v>0</v>
      </c>
      <c r="H76" s="63">
        <v>4</v>
      </c>
      <c r="I76" s="63">
        <v>500</v>
      </c>
      <c r="AK76" s="157" t="str">
        <f>IF(OR($AL76="",COUNTIF($AL$46:$AR$46,$AL$2)=0),"",MAX($AK$3:AK75)+1)</f>
        <v/>
      </c>
      <c r="AL76" s="157" t="s">
        <v>814</v>
      </c>
      <c r="AW76" s="298"/>
      <c r="AX76" s="298"/>
      <c r="AY76" s="298"/>
      <c r="AZ76" s="299"/>
      <c r="BA76" s="298"/>
      <c r="BB76" s="298"/>
      <c r="BC76" s="298"/>
      <c r="BD76" s="298"/>
      <c r="BE76" s="298"/>
      <c r="BF76" s="298"/>
      <c r="BG76" s="298"/>
      <c r="BH76" s="298"/>
      <c r="BI76" s="298"/>
      <c r="BJ76" s="298"/>
      <c r="BK76" s="301"/>
    </row>
    <row r="77" spans="2:63" hidden="1">
      <c r="B77" s="203">
        <v>3</v>
      </c>
      <c r="C77" s="203" t="s">
        <v>297</v>
      </c>
      <c r="D77" s="202"/>
      <c r="E77" s="202"/>
      <c r="H77" s="63">
        <v>5</v>
      </c>
      <c r="I77" s="63">
        <v>500</v>
      </c>
      <c r="AK77" s="157" t="str">
        <f>IF(OR($AL77="",COUNTIF($AL$46:$AR$46,$AL$2)=0),"",MAX($AK$3:AK76)+1)</f>
        <v/>
      </c>
      <c r="AL77" s="157" t="s">
        <v>271</v>
      </c>
      <c r="AW77" s="298"/>
      <c r="AX77" s="298"/>
      <c r="AY77" s="298"/>
      <c r="AZ77" s="299"/>
      <c r="BA77" s="298"/>
      <c r="BB77" s="298"/>
      <c r="BC77" s="298"/>
      <c r="BD77" s="298"/>
      <c r="BE77" s="298"/>
      <c r="BF77" s="298"/>
      <c r="BG77" s="298"/>
      <c r="BH77" s="298"/>
      <c r="BI77" s="298"/>
      <c r="BJ77" s="298"/>
      <c r="BK77" s="301"/>
    </row>
    <row r="78" spans="2:63" hidden="1">
      <c r="B78" s="203">
        <v>4</v>
      </c>
      <c r="C78" s="203" t="s">
        <v>298</v>
      </c>
      <c r="D78" s="202"/>
      <c r="E78" s="202"/>
      <c r="H78" s="63">
        <v>6</v>
      </c>
      <c r="I78" s="63">
        <v>500</v>
      </c>
      <c r="AK78" s="157" t="str">
        <f>IF(OR($AL78="",COUNTIF($AL$46:$AR$46,$AL$2)=0),"",MAX($AK$3:AK77)+1)</f>
        <v/>
      </c>
      <c r="AL78" s="157" t="s">
        <v>272</v>
      </c>
      <c r="AW78" s="298"/>
      <c r="AX78" s="298"/>
      <c r="AY78" s="298"/>
      <c r="AZ78" s="299"/>
      <c r="BA78" s="298"/>
      <c r="BB78" s="298"/>
      <c r="BC78" s="298"/>
      <c r="BD78" s="298"/>
      <c r="BE78" s="298"/>
      <c r="BF78" s="298"/>
      <c r="BG78" s="298"/>
      <c r="BH78" s="298"/>
      <c r="BI78" s="298"/>
      <c r="BJ78" s="298"/>
      <c r="BK78" s="301"/>
    </row>
    <row r="79" spans="2:63" hidden="1">
      <c r="B79" s="203">
        <v>5</v>
      </c>
      <c r="C79" s="203" t="s">
        <v>299</v>
      </c>
      <c r="D79" s="202"/>
      <c r="E79" s="202"/>
      <c r="H79" s="63">
        <v>7</v>
      </c>
      <c r="I79" s="63">
        <v>500</v>
      </c>
      <c r="AK79" s="157" t="str">
        <f>IF(OR($AL79="",COUNTIF($AL$46:$AR$46,$AL$2)=0),"",MAX($AK$3:AK78)+1)</f>
        <v/>
      </c>
      <c r="AL79" s="157"/>
      <c r="AW79" s="298"/>
      <c r="AX79" s="298"/>
      <c r="AY79" s="298"/>
      <c r="AZ79" s="299"/>
      <c r="BA79" s="298"/>
      <c r="BB79" s="298"/>
      <c r="BC79" s="298"/>
      <c r="BD79" s="298"/>
      <c r="BE79" s="298"/>
      <c r="BF79" s="298"/>
      <c r="BG79" s="298"/>
      <c r="BH79" s="298"/>
      <c r="BI79" s="298"/>
      <c r="BJ79" s="298"/>
      <c r="BK79" s="301"/>
    </row>
    <row r="80" spans="2:63" hidden="1">
      <c r="B80" s="203">
        <v>6</v>
      </c>
      <c r="C80" s="203" t="s">
        <v>300</v>
      </c>
      <c r="D80" s="202"/>
      <c r="E80" s="202"/>
      <c r="H80" s="63">
        <v>8</v>
      </c>
      <c r="I80" s="63">
        <v>500</v>
      </c>
      <c r="AK80" s="157" t="str">
        <f>IF(OR($AL80="",COUNTIF($AL$46:$AR$46,$AL$2)=0),"",MAX($AK$3:AK79)+1)</f>
        <v/>
      </c>
      <c r="AL80" s="157"/>
      <c r="AW80" s="298"/>
      <c r="AX80" s="298"/>
      <c r="AY80" s="298"/>
      <c r="AZ80" s="299"/>
      <c r="BA80" s="298"/>
      <c r="BB80" s="298"/>
      <c r="BC80" s="298"/>
      <c r="BD80" s="298"/>
      <c r="BE80" s="298"/>
      <c r="BF80" s="298"/>
      <c r="BG80" s="298"/>
      <c r="BH80" s="298"/>
      <c r="BI80" s="298"/>
      <c r="BJ80" s="298"/>
      <c r="BK80" s="301"/>
    </row>
    <row r="81" spans="2:63" hidden="1">
      <c r="B81" s="204" t="s">
        <v>301</v>
      </c>
      <c r="C81" s="205" t="str">
        <f>IF(OR(ISERROR(SEARCH(" ",C72)),CODE(C72)&gt;255),"",SEARCH(" ",C72))</f>
        <v/>
      </c>
      <c r="D81" s="202"/>
      <c r="E81" s="202"/>
      <c r="H81" s="63">
        <v>9</v>
      </c>
      <c r="I81" s="63">
        <v>500</v>
      </c>
      <c r="AK81" s="157" t="str">
        <f>IF(OR($AL81="",COUNTIF($AL$46:$AR$46,$AL$2)=0),"",MAX($AK$3:AK80)+1)</f>
        <v/>
      </c>
      <c r="AL81" s="157"/>
      <c r="AW81" s="298"/>
      <c r="AX81" s="298"/>
      <c r="AY81" s="298"/>
      <c r="AZ81" s="299"/>
      <c r="BA81" s="298"/>
      <c r="BB81" s="298"/>
      <c r="BC81" s="298"/>
      <c r="BD81" s="298"/>
      <c r="BE81" s="298"/>
      <c r="BF81" s="298"/>
      <c r="BG81" s="298"/>
      <c r="BH81" s="298"/>
      <c r="BI81" s="298"/>
      <c r="BJ81" s="298"/>
      <c r="BK81" s="301"/>
    </row>
    <row r="82" spans="2:63" hidden="1">
      <c r="B82" s="204" t="s">
        <v>302</v>
      </c>
      <c r="C82" s="205" t="str">
        <f>IF(OR(ISERROR(SEARCH(" ",C72)),CODE(C72)&gt;255),"",UPPER(LEFT(C72,1)&amp;"."&amp;MID(C72,C81+1,1)))</f>
        <v/>
      </c>
      <c r="D82" s="199" t="s">
        <v>303</v>
      </c>
      <c r="E82" s="199">
        <f>IF(LEN(C72)*2=LENB(C72),1,0)</f>
        <v>1</v>
      </c>
      <c r="H82" s="63">
        <v>10</v>
      </c>
      <c r="I82" s="63">
        <v>500</v>
      </c>
      <c r="AK82" s="157" t="str">
        <f>IF(OR($AL82="",COUNTIF($AL$46:$AR$46,$AL$2)=0),"",MAX($AK$3:AK81)+1)</f>
        <v/>
      </c>
      <c r="AL82" s="157"/>
      <c r="AW82" s="298"/>
      <c r="AX82" s="298"/>
      <c r="AY82" s="298"/>
      <c r="AZ82" s="299"/>
      <c r="BA82" s="298"/>
      <c r="BB82" s="298"/>
      <c r="BC82" s="298"/>
      <c r="BD82" s="298"/>
      <c r="BE82" s="298"/>
      <c r="BF82" s="298"/>
      <c r="BG82" s="298"/>
      <c r="BH82" s="298"/>
      <c r="BI82" s="298"/>
      <c r="BJ82" s="298"/>
      <c r="BK82" s="301"/>
    </row>
    <row r="83" spans="2:63" hidden="1">
      <c r="H83" s="63">
        <v>11</v>
      </c>
      <c r="I83" s="63">
        <v>500</v>
      </c>
      <c r="AK83" s="157" t="str">
        <f>IF(OR($AL83="",COUNTIF($AL$46:$AR$46,$AL$2)=0),"",MAX($AK$3:AK82)+1)</f>
        <v/>
      </c>
      <c r="AL83" s="157"/>
      <c r="AW83" s="298"/>
      <c r="AX83" s="298"/>
      <c r="AY83" s="298"/>
      <c r="AZ83" s="299"/>
      <c r="BA83" s="298"/>
      <c r="BB83" s="298"/>
      <c r="BC83" s="298"/>
      <c r="BD83" s="298"/>
      <c r="BE83" s="298"/>
      <c r="BF83" s="298"/>
      <c r="BG83" s="298"/>
      <c r="BH83" s="298"/>
      <c r="BI83" s="298"/>
      <c r="BJ83" s="298"/>
      <c r="BK83" s="301"/>
    </row>
    <row r="84" spans="2:63" hidden="1">
      <c r="H84" s="63">
        <v>12</v>
      </c>
      <c r="I84" s="63">
        <v>500</v>
      </c>
      <c r="AK84" s="157" t="str">
        <f>IF(OR($AL84="",COUNTIF($AL$46:$AR$46,$AL$2)=0),"",MAX($AK$3:AK83)+1)</f>
        <v/>
      </c>
      <c r="AL84" s="157"/>
      <c r="AW84" s="301"/>
      <c r="AX84" s="301"/>
      <c r="AY84" s="301"/>
      <c r="AZ84" s="302"/>
      <c r="BA84" s="301"/>
      <c r="BB84" s="301"/>
      <c r="BC84" s="301"/>
      <c r="BD84" s="301"/>
      <c r="BE84" s="301"/>
      <c r="BF84" s="301"/>
      <c r="BG84" s="301"/>
      <c r="BH84" s="301"/>
      <c r="BI84" s="301"/>
      <c r="BJ84" s="301"/>
      <c r="BK84" s="301"/>
    </row>
    <row r="85" spans="2:63" hidden="1">
      <c r="B85" s="240" t="s">
        <v>319</v>
      </c>
      <c r="C85" s="241">
        <v>1</v>
      </c>
      <c r="D85" s="241">
        <v>0</v>
      </c>
      <c r="H85" s="63">
        <v>13</v>
      </c>
      <c r="I85" s="63">
        <v>500</v>
      </c>
      <c r="AK85" s="157" t="str">
        <f>IF(OR($AL85="",COUNTIF($AL$46:$AR$46,$AL$2)=0),"",MAX($AK$3:AK84)+1)</f>
        <v/>
      </c>
      <c r="AL85" s="157"/>
      <c r="AW85" s="301"/>
      <c r="AX85" s="301"/>
      <c r="AY85" s="301"/>
      <c r="AZ85" s="302"/>
      <c r="BA85" s="301"/>
      <c r="BB85" s="301"/>
      <c r="BC85" s="301"/>
      <c r="BD85" s="301"/>
      <c r="BE85" s="301"/>
      <c r="BF85" s="301"/>
      <c r="BG85" s="301"/>
      <c r="BH85" s="301"/>
      <c r="BI85" s="301"/>
      <c r="BJ85" s="301"/>
      <c r="BK85" s="301"/>
    </row>
    <row r="86" spans="2:63" hidden="1">
      <c r="B86" s="242" t="s">
        <v>320</v>
      </c>
      <c r="C86" s="243">
        <f ca="1">IF($D$53=1,"",DATE(YEAR($D$3)+$D$6,MONTH($D$3)+6,MIN(DAY($D$3),$E$86)+1))</f>
        <v>46024</v>
      </c>
      <c r="D86" s="244">
        <f>MONTH($D$3)+IF(MONTH($D$3)&lt;=6,6,-6)</f>
        <v>1</v>
      </c>
      <c r="E86" s="245">
        <f>IF(OR($D$86=1,$D$86=3,$D$86=5,$D$86=7,$D$86=8,$D$86=10,$D$86=12),31,IF(OR($D$86=4,$D$86=6,$D$86=9,$D$86=11),30,IF(AND($D$86=2,YEAR($C$3)/4=INT(YEAR($C$3)/4),YEAR($C$3)/400&lt;&gt;INT(YEAR($C$3)/400)),29,28)))</f>
        <v>31</v>
      </c>
      <c r="H86" s="63">
        <v>14</v>
      </c>
      <c r="I86" s="63">
        <v>500</v>
      </c>
      <c r="AK86" s="157" t="str">
        <f>IF(OR($AL86="",COUNTIF($AL$46:$AR$46,$AL$2)=0),"",MAX($AK$3:AK85)+1)</f>
        <v/>
      </c>
      <c r="AL86" s="157"/>
      <c r="AW86" s="301"/>
      <c r="AX86" s="301"/>
      <c r="AY86" s="301"/>
      <c r="AZ86" s="302"/>
      <c r="BA86" s="301"/>
      <c r="BB86" s="301"/>
      <c r="BC86" s="301"/>
      <c r="BD86" s="301"/>
      <c r="BE86" s="301"/>
      <c r="BF86" s="301"/>
      <c r="BG86" s="301"/>
      <c r="BH86" s="301"/>
      <c r="BI86" s="301"/>
      <c r="BJ86" s="301"/>
      <c r="BK86" s="301"/>
    </row>
    <row r="87" spans="2:63" hidden="1">
      <c r="B87" s="53"/>
      <c r="C87" s="245">
        <f ca="1">IF($D$53=1,"",IF(C86&lt;$C$3,"",C86-$C$3))</f>
        <v>1</v>
      </c>
      <c r="D87" s="245" t="str">
        <f ca="1">IF(C85=0,"",IF(OR($D$53=1,C87=""),"",IF(AND(C87&gt;=1,C87&lt;=30),"提醒您：被保險人將於 "&amp;MONTH(C86)&amp;" 月 "&amp;DAY(C86)&amp;" 日 ( "&amp;C87&amp;"天後 ) 保險年齡增加一歲"&amp;IF(D85=0,"。","，"&amp;$C$22&amp;$C$32&amp;"保險費"&amp;IF($C$32="躉繳","","每期")&amp;IF(E88&gt;=0,"增加 ","減少 ")&amp;TEXT(E88,"#,##0 元")&amp;"。"),"")))</f>
        <v>提醒您：被保險人將於 1 月 2 日 ( 1天後 ) 保險年齡增加一歲。</v>
      </c>
      <c r="E87" s="245"/>
      <c r="H87" s="63">
        <v>15</v>
      </c>
      <c r="I87" s="63">
        <v>500</v>
      </c>
      <c r="AK87" s="157" t="str">
        <f>IF(OR($AL87="",COUNTIF($AL$46:$AR$46,$AL$2)=0),"",MAX($AK$3:AK86)+1)</f>
        <v/>
      </c>
      <c r="AL87" s="157"/>
      <c r="AW87" s="301"/>
      <c r="AX87" s="301"/>
      <c r="AY87" s="301"/>
      <c r="AZ87" s="302"/>
      <c r="BA87" s="301"/>
      <c r="BB87" s="301"/>
      <c r="BC87" s="301"/>
      <c r="BD87" s="301"/>
      <c r="BE87" s="301"/>
      <c r="BF87" s="301"/>
      <c r="BG87" s="301"/>
      <c r="BH87" s="301"/>
      <c r="BI87" s="301"/>
      <c r="BJ87" s="301"/>
      <c r="BK87" s="301"/>
    </row>
    <row r="88" spans="2:63" hidden="1">
      <c r="B88" s="246" t="s">
        <v>321</v>
      </c>
      <c r="C88" s="245" t="str">
        <f ca="1">C22&amp;TEXT($C$24,"00")&amp;TEXT($C$18,"00")&amp;TEXT($D$5,"00")</f>
        <v>SDJ200100</v>
      </c>
      <c r="D88" s="247">
        <f ca="1">IF(ISNA(VLOOKUP(C88,GP,2,0)),0,ROUND((VLOOKUP(C88,GP,2,0)*$C$28)*$C$34,0))</f>
        <v>2390</v>
      </c>
      <c r="E88" s="247">
        <f ca="1">D88-$C$35</f>
        <v>0</v>
      </c>
      <c r="H88" s="63">
        <v>16</v>
      </c>
      <c r="I88" s="63">
        <v>500</v>
      </c>
      <c r="AK88" s="157" t="str">
        <f>IF(OR($AL88="",COUNTIF($AL$46:$AR$46,$AL$2)=0),"",MAX($AK$3:AK87)+1)</f>
        <v/>
      </c>
      <c r="AL88" s="157"/>
      <c r="AW88" s="301"/>
      <c r="AX88" s="301"/>
      <c r="AY88" s="301"/>
      <c r="AZ88" s="302"/>
      <c r="BA88" s="301"/>
      <c r="BB88" s="301"/>
      <c r="BC88" s="301"/>
      <c r="BD88" s="301"/>
      <c r="BE88" s="301"/>
      <c r="BF88" s="301"/>
      <c r="BG88" s="301"/>
      <c r="BH88" s="301"/>
      <c r="BI88" s="301"/>
      <c r="BJ88" s="301"/>
      <c r="BK88" s="301"/>
    </row>
    <row r="89" spans="2:63" hidden="1">
      <c r="B89"/>
      <c r="C89" s="248"/>
      <c r="H89" s="63">
        <v>17</v>
      </c>
      <c r="I89" s="63">
        <v>500</v>
      </c>
      <c r="AK89" s="157" t="str">
        <f>IF(OR($AL89="",COUNTIF($AL$46:$AR$46,$AL$2)=0),"",MAX($AK$3:AK88)+1)</f>
        <v/>
      </c>
      <c r="AL89" s="157"/>
    </row>
    <row r="90" spans="2:63" hidden="1">
      <c r="B90" s="249" t="s">
        <v>322</v>
      </c>
      <c r="C90" s="250" t="s">
        <v>323</v>
      </c>
      <c r="D90" s="251" t="s">
        <v>324</v>
      </c>
      <c r="E90" s="66" t="s">
        <v>325</v>
      </c>
      <c r="H90" s="63">
        <v>18</v>
      </c>
      <c r="I90" s="63">
        <v>500</v>
      </c>
      <c r="AK90" s="157" t="str">
        <f>IF(OR($AL90="",COUNTIF($AL$46:$AR$46,$AL$2)=0),"",MAX($AK$3:AK89)+1)</f>
        <v/>
      </c>
      <c r="AL90" s="157"/>
    </row>
    <row r="91" spans="2:63" hidden="1">
      <c r="B91" s="252" t="s">
        <v>326</v>
      </c>
      <c r="C91" s="53"/>
      <c r="D91" s="156" t="str">
        <f ca="1">IF(OR(OP!$D$53=1,AND(OP!C46=0,OP!C47=0)),"","本保件符合保費折扣條件："&amp;OP!$K$9)</f>
        <v>本保件符合保費折扣條件：首、續期繳費方式 1%折扣。</v>
      </c>
      <c r="E91" s="63"/>
      <c r="H91" s="63">
        <v>19</v>
      </c>
      <c r="I91" s="63">
        <v>500</v>
      </c>
    </row>
    <row r="92" spans="2:63" hidden="1">
      <c r="B92" s="252" t="s">
        <v>327</v>
      </c>
      <c r="C92" s="53"/>
      <c r="D92" s="156" t="str">
        <f ca="1">IF(OR(OP!$D$53=1),"",$C$32&amp;"總保費 "&amp;TEXT($C$35,"#,##0元")&amp;IF(AND($C$46=0,$C$47=0),"","，"&amp;IF($C$24=1,IF(OP!$C$46&gt;0,"躉繳折扣後保費 "&amp;TEXT($C$48,"#,##0 元"),""),IF($C$46&gt;0,"首期折扣後保費 "&amp;TEXT($C$48,"#,##0 元 "),"首期保費 "&amp;TEXT($C$48,"#,##0 元 "))&amp;"，"&amp;IF($C$47&gt;0,"續期折扣後保費 "&amp;TEXT($C$49,"#,##0 元 "),"續期保費 "&amp;TEXT($C$49,"#,##0 元 "))))&amp;$D$49)</f>
        <v xml:space="preserve">年繳總保費 2,390元，首期折扣後保費 2,366 元 ，續期折扣後保費 2,366 元 </v>
      </c>
      <c r="E92" s="63"/>
      <c r="H92" s="63">
        <v>20</v>
      </c>
      <c r="I92" s="63">
        <v>500</v>
      </c>
    </row>
    <row r="93" spans="2:63" hidden="1">
      <c r="B93" s="252" t="s">
        <v>328</v>
      </c>
      <c r="C93" s="53"/>
      <c r="D93" s="156" t="str">
        <f ca="1">IF(OP!$D$53=1,"",OP!$C$23&amp;IF(OP!C24=1,"(躉繳)",IF(OP!$C$24=65,"(繳費至"&amp;OP!$C$24&amp;"歲滿期)","(繳費"&amp;OP!$C$24&amp;"年)")))</f>
        <v>富邦人壽優卡安心重大傷病健康保險(繳費20年)</v>
      </c>
      <c r="E93" s="63"/>
      <c r="H93" s="63">
        <v>21</v>
      </c>
      <c r="I93" s="63">
        <v>500</v>
      </c>
    </row>
    <row r="94" spans="2:63" hidden="1">
      <c r="B94" s="252" t="s">
        <v>768</v>
      </c>
      <c r="C94" s="241" t="str">
        <f>$E$21</f>
        <v>新臺幣</v>
      </c>
      <c r="D94" s="261" t="str">
        <f>$B$94&amp;$C$94</f>
        <v>本保單計價幣別：新臺幣</v>
      </c>
      <c r="E94" s="63"/>
      <c r="H94" s="63">
        <v>22</v>
      </c>
      <c r="I94" s="63">
        <v>500</v>
      </c>
    </row>
    <row r="95" spans="2:63" hidden="1">
      <c r="B95" s="253" t="str">
        <f ca="1">IF(OP!$C$105="停售","宣告利率：",YEAR(OP!$C$3)-1911&amp;" / "&amp;MONTH(OP!$C$3)&amp;" 宣告利率：")</f>
        <v>115 / 1 宣告利率：</v>
      </c>
      <c r="C95" s="53"/>
      <c r="D95" s="254" t="str">
        <f ca="1">$B$95&amp;$C$95</f>
        <v>115 / 1 宣告利率：</v>
      </c>
      <c r="E95" s="63"/>
      <c r="H95" s="63">
        <v>23</v>
      </c>
      <c r="I95" s="63">
        <v>500</v>
      </c>
    </row>
    <row r="96" spans="2:63" hidden="1">
      <c r="B96" s="252" t="s">
        <v>329</v>
      </c>
      <c r="C96" s="53"/>
      <c r="D96" s="254" t="str">
        <f>$B$96&amp;$C$96</f>
        <v>增值回饋分享金給付方式：</v>
      </c>
      <c r="E96" s="63"/>
      <c r="H96" s="63">
        <v>24</v>
      </c>
      <c r="I96" s="63">
        <v>500</v>
      </c>
    </row>
    <row r="97" spans="2:9" hidden="1">
      <c r="B97" s="252" t="s">
        <v>330</v>
      </c>
      <c r="C97" s="53"/>
      <c r="D97" s="156" t="str">
        <f ca="1">$D$95&amp;"，"&amp;$D$96</f>
        <v>115 / 1 宣告利率：，增值回饋分享金給付方式：</v>
      </c>
      <c r="E97" s="53" t="s">
        <v>331</v>
      </c>
      <c r="H97" s="63">
        <v>25</v>
      </c>
      <c r="I97" s="63">
        <v>500</v>
      </c>
    </row>
    <row r="98" spans="2:9" hidden="1">
      <c r="B98" s="252" t="s">
        <v>330</v>
      </c>
      <c r="C98" s="53"/>
      <c r="D98" s="255" t="str">
        <f ca="1">$D$95&amp;"，"&amp;$C$98</f>
        <v>115 / 1 宣告利率：，</v>
      </c>
      <c r="E98" s="53" t="s">
        <v>332</v>
      </c>
      <c r="H98" s="63">
        <v>26</v>
      </c>
      <c r="I98" s="63">
        <v>500</v>
      </c>
    </row>
    <row r="99" spans="2:9" hidden="1">
      <c r="B99" s="53"/>
      <c r="C99" s="53"/>
      <c r="D99" s="63"/>
      <c r="E99" s="63"/>
      <c r="H99" s="63">
        <v>27</v>
      </c>
      <c r="I99" s="63">
        <v>500</v>
      </c>
    </row>
    <row r="100" spans="2:9" hidden="1">
      <c r="B100" s="252" t="s">
        <v>333</v>
      </c>
      <c r="C100" s="241" t="s">
        <v>368</v>
      </c>
      <c r="D100" s="156" t="str">
        <f>$B$100&amp;$C$100</f>
        <v>商品文號：105.11.14富壽商精字第 1050003499 號函備查、110.07.26富壽商精字第1100001366號函備查</v>
      </c>
      <c r="E100" s="63"/>
      <c r="H100" s="63">
        <v>28</v>
      </c>
      <c r="I100" s="63">
        <v>500</v>
      </c>
    </row>
    <row r="101" spans="2:9" hidden="1">
      <c r="B101" s="252" t="s">
        <v>334</v>
      </c>
      <c r="C101" s="241" t="s">
        <v>1034</v>
      </c>
      <c r="D101" s="156" t="str">
        <f>$C$101</f>
        <v>最高29.76%，最低17.98%</v>
      </c>
      <c r="E101" s="256"/>
      <c r="H101" s="63">
        <v>29</v>
      </c>
      <c r="I101" s="63">
        <v>500</v>
      </c>
    </row>
    <row r="102" spans="2:9" hidden="1">
      <c r="B102" s="53"/>
      <c r="C102" s="241"/>
      <c r="D102" s="156"/>
      <c r="E102" s="256"/>
      <c r="H102" s="63">
        <v>30</v>
      </c>
      <c r="I102" s="63">
        <v>500</v>
      </c>
    </row>
    <row r="103" spans="2:9" hidden="1">
      <c r="B103" s="259"/>
      <c r="C103" s="260"/>
      <c r="D103" s="63"/>
      <c r="E103" s="63"/>
      <c r="H103" s="63">
        <v>31</v>
      </c>
      <c r="I103" s="63">
        <v>500</v>
      </c>
    </row>
    <row r="104" spans="2:9" hidden="1">
      <c r="B104" s="259"/>
      <c r="C104" s="260"/>
      <c r="D104" s="63"/>
      <c r="E104" s="63"/>
      <c r="H104" s="63">
        <v>32</v>
      </c>
      <c r="I104" s="63">
        <v>500</v>
      </c>
    </row>
    <row r="105" spans="2:9" hidden="1">
      <c r="B105" s="252" t="s">
        <v>335</v>
      </c>
      <c r="C105" s="241" t="s">
        <v>785</v>
      </c>
      <c r="D105" s="156" t="str">
        <f ca="1">IF($C$105="停售","停售-","")&amp;OP!$C$54&amp;" 試算日："&amp;TEXT(YEAR(OP!$C$3)-1911,"000")&amp;TEXT(MONTH(OP!$C$3),"00")&amp;TEXT(DAY(OP!$C$3),"00")</f>
        <v>V1.2-1150101 試算日：1150101</v>
      </c>
      <c r="E105" s="63"/>
      <c r="H105" s="63">
        <v>33</v>
      </c>
      <c r="I105" s="63">
        <v>500</v>
      </c>
    </row>
    <row r="106" spans="2:9" hidden="1">
      <c r="B106" s="252" t="s">
        <v>336</v>
      </c>
      <c r="C106" s="261" t="s">
        <v>762</v>
      </c>
      <c r="D106" s="261" t="str">
        <f>$C$106</f>
        <v xml:space="preserve"> ※本契約條款樣張須於訂立契約前提供要保人至少三日審閱期間</v>
      </c>
      <c r="E106" s="256"/>
      <c r="H106" s="63">
        <v>34</v>
      </c>
      <c r="I106" s="63">
        <v>500</v>
      </c>
    </row>
    <row r="107" spans="2:9" hidden="1">
      <c r="B107" s="252" t="s">
        <v>337</v>
      </c>
      <c r="C107" s="261" t="s">
        <v>942</v>
      </c>
      <c r="D107" s="255" t="str">
        <f>$C$107</f>
        <v>本建議書僅供參考，詳細商品內容及其變更，應以投保當時保單條款內容及本公司核保、保全作業規定為準</v>
      </c>
      <c r="E107" s="256"/>
      <c r="H107" s="63">
        <v>35</v>
      </c>
      <c r="I107" s="63">
        <v>500</v>
      </c>
    </row>
    <row r="108" spans="2:9" hidden="1">
      <c r="B108" s="252"/>
      <c r="C108" s="53"/>
      <c r="D108" s="258"/>
      <c r="E108" s="256"/>
      <c r="H108" s="63">
        <v>36</v>
      </c>
      <c r="I108" s="63">
        <v>500</v>
      </c>
    </row>
    <row r="109" spans="2:9" hidden="1">
      <c r="B109" s="252"/>
      <c r="C109" s="53"/>
      <c r="D109" s="258"/>
      <c r="E109" s="256"/>
      <c r="H109" s="63">
        <v>37</v>
      </c>
      <c r="I109" s="63">
        <v>500</v>
      </c>
    </row>
    <row r="110" spans="2:9" hidden="1">
      <c r="B110" s="252"/>
      <c r="C110" s="257"/>
      <c r="D110" s="258"/>
      <c r="E110" s="256"/>
      <c r="H110" s="63">
        <v>38</v>
      </c>
      <c r="I110" s="63">
        <v>500</v>
      </c>
    </row>
    <row r="111" spans="2:9" hidden="1">
      <c r="B111"/>
      <c r="C111" s="248"/>
      <c r="H111" s="63">
        <v>39</v>
      </c>
      <c r="I111" s="63">
        <v>500</v>
      </c>
    </row>
    <row r="112" spans="2:9" hidden="1">
      <c r="B112" s="262" t="s">
        <v>338</v>
      </c>
      <c r="C112" s="250" t="s">
        <v>323</v>
      </c>
      <c r="D112" s="251" t="s">
        <v>324</v>
      </c>
      <c r="E112" s="66" t="s">
        <v>325</v>
      </c>
      <c r="H112" s="63">
        <v>40</v>
      </c>
      <c r="I112" s="63">
        <v>500</v>
      </c>
    </row>
    <row r="113" spans="2:9" hidden="1">
      <c r="B113" s="252" t="s">
        <v>339</v>
      </c>
      <c r="C113" s="63"/>
      <c r="D113" s="63" t="str">
        <f ca="1">IF(OP!$D$5&lt;15,IF(OP!$C$24=1,"16歲前限儲存生息","16歲前限抵繳保費後儲存生息"),"")</f>
        <v>16歲前限抵繳保費後儲存生息</v>
      </c>
      <c r="E113" s="63"/>
      <c r="H113" s="63">
        <v>41</v>
      </c>
      <c r="I113" s="63">
        <v>500</v>
      </c>
    </row>
    <row r="114" spans="2:9" hidden="1">
      <c r="B114" s="252" t="s">
        <v>340</v>
      </c>
      <c r="C114" s="263"/>
      <c r="D114" s="63" t="str">
        <f ca="1">IF(OP!$D$5&lt;15,"16歲前無保額以年度增值回饋分享金加總顯示","")</f>
        <v>16歲前無保額以年度增值回饋分享金加總顯示</v>
      </c>
      <c r="E114" s="63"/>
      <c r="H114" s="63">
        <v>42</v>
      </c>
      <c r="I114" s="63">
        <v>500</v>
      </c>
    </row>
    <row r="115" spans="2:9" hidden="1">
      <c r="B115" s="252" t="s">
        <v>341</v>
      </c>
      <c r="C115" s="263"/>
      <c r="D115" s="63" t="str">
        <f ca="1">IF(OP!$D$5&lt;15,"16歲前無保額以累計年度增值回饋分享金顯示","")</f>
        <v>16歲前無保額以累計年度增值回饋分享金顯示</v>
      </c>
      <c r="E115" s="63"/>
      <c r="H115" s="63">
        <v>43</v>
      </c>
      <c r="I115" s="63">
        <v>500</v>
      </c>
    </row>
    <row r="116" spans="2:9" hidden="1">
      <c r="B116" s="252"/>
      <c r="C116" s="263"/>
      <c r="D116" s="63"/>
      <c r="E116" s="63"/>
      <c r="H116" s="63">
        <v>44</v>
      </c>
      <c r="I116" s="63">
        <v>500</v>
      </c>
    </row>
    <row r="117" spans="2:9" hidden="1">
      <c r="B117" s="252"/>
      <c r="C117" s="263"/>
      <c r="D117" s="63"/>
      <c r="E117" s="63"/>
      <c r="H117" s="63">
        <v>45</v>
      </c>
      <c r="I117" s="63">
        <v>500</v>
      </c>
    </row>
    <row r="118" spans="2:9" hidden="1">
      <c r="B118" s="53"/>
      <c r="C118" s="263"/>
      <c r="D118" s="63"/>
      <c r="E118" s="63"/>
      <c r="H118" s="63">
        <v>46</v>
      </c>
      <c r="I118" s="63">
        <v>500</v>
      </c>
    </row>
    <row r="119" spans="2:9" hidden="1">
      <c r="H119" s="63">
        <v>47</v>
      </c>
      <c r="I119" s="63">
        <v>500</v>
      </c>
    </row>
    <row r="120" spans="2:9" hidden="1">
      <c r="B120" s="249" t="s">
        <v>342</v>
      </c>
      <c r="C120" s="250" t="s">
        <v>323</v>
      </c>
      <c r="D120" s="251" t="s">
        <v>324</v>
      </c>
      <c r="E120" s="66" t="s">
        <v>325</v>
      </c>
      <c r="H120" s="63">
        <v>48</v>
      </c>
      <c r="I120" s="63">
        <v>500</v>
      </c>
    </row>
    <row r="121" spans="2:9" hidden="1">
      <c r="B121" s="252" t="s">
        <v>343</v>
      </c>
      <c r="C121" s="53"/>
      <c r="D121" s="264" t="str">
        <f ca="1">TEXT(YEAR(OP!$C$3)-1911,"000")&amp;TEXT(MONTH(OP!$C$3),"00")&amp;TEXT(DAY(OP!$C$3),"00")</f>
        <v>1150101</v>
      </c>
      <c r="E121" s="63"/>
      <c r="H121" s="63">
        <v>49</v>
      </c>
      <c r="I121" s="63">
        <v>500</v>
      </c>
    </row>
    <row r="122" spans="2:9" hidden="1">
      <c r="B122" s="252" t="s">
        <v>344</v>
      </c>
      <c r="C122" s="261" t="s">
        <v>345</v>
      </c>
      <c r="D122" s="261" t="str">
        <f ca="1">IF($D$6&lt;15,$C$122,"")</f>
        <v xml:space="preserve"> </v>
      </c>
      <c r="E122" s="63"/>
      <c r="H122" s="63">
        <v>50</v>
      </c>
      <c r="I122" s="63">
        <v>500</v>
      </c>
    </row>
    <row r="123" spans="2:9" hidden="1">
      <c r="B123" s="53"/>
      <c r="C123" s="257"/>
      <c r="D123" s="63"/>
      <c r="E123" s="63"/>
      <c r="H123" s="63">
        <v>51</v>
      </c>
      <c r="I123" s="63"/>
    </row>
    <row r="124" spans="2:9" hidden="1">
      <c r="B124" s="53"/>
      <c r="C124" s="53"/>
      <c r="D124" s="63"/>
      <c r="E124" s="63"/>
      <c r="H124" s="63">
        <v>52</v>
      </c>
      <c r="I124" s="63"/>
    </row>
    <row r="125" spans="2:9" hidden="1">
      <c r="B125"/>
      <c r="C125" s="248"/>
      <c r="H125" s="63">
        <v>53</v>
      </c>
      <c r="I125" s="63"/>
    </row>
    <row r="126" spans="2:9" hidden="1">
      <c r="B126" s="249" t="s">
        <v>346</v>
      </c>
      <c r="C126" s="250" t="s">
        <v>323</v>
      </c>
      <c r="D126" s="251" t="s">
        <v>324</v>
      </c>
      <c r="E126" s="66" t="s">
        <v>325</v>
      </c>
      <c r="H126" s="63">
        <v>54</v>
      </c>
      <c r="I126" s="63"/>
    </row>
    <row r="127" spans="2:9" hidden="1">
      <c r="B127" s="252" t="s">
        <v>347</v>
      </c>
      <c r="D127" s="261" t="s">
        <v>348</v>
      </c>
      <c r="E127" s="256"/>
      <c r="H127" s="63">
        <v>55</v>
      </c>
      <c r="I127" s="63"/>
    </row>
    <row r="128" spans="2:9" hidden="1">
      <c r="B128" s="53"/>
      <c r="C128" s="257"/>
      <c r="D128" s="258"/>
      <c r="E128" s="256"/>
      <c r="H128" s="63">
        <v>56</v>
      </c>
      <c r="I128" s="63"/>
    </row>
    <row r="129" spans="2:9" hidden="1">
      <c r="B129" s="53"/>
      <c r="C129" s="257"/>
      <c r="D129" s="258"/>
      <c r="E129" s="256"/>
      <c r="H129" s="63">
        <v>57</v>
      </c>
      <c r="I129" s="63"/>
    </row>
    <row r="130" spans="2:9" hidden="1">
      <c r="B130" s="53"/>
      <c r="C130" s="53"/>
      <c r="D130" s="258"/>
      <c r="E130" s="256"/>
      <c r="H130" s="63">
        <v>58</v>
      </c>
      <c r="I130" s="63"/>
    </row>
    <row r="131" spans="2:9" hidden="1">
      <c r="B131"/>
      <c r="C131" s="248"/>
      <c r="H131" s="63">
        <v>59</v>
      </c>
      <c r="I131" s="63"/>
    </row>
    <row r="132" spans="2:9" hidden="1">
      <c r="B132" s="249" t="s">
        <v>349</v>
      </c>
      <c r="C132" s="250" t="s">
        <v>323</v>
      </c>
      <c r="D132" s="251" t="s">
        <v>324</v>
      </c>
      <c r="E132" s="66" t="s">
        <v>325</v>
      </c>
      <c r="H132" s="63">
        <v>60</v>
      </c>
      <c r="I132" s="63"/>
    </row>
    <row r="133" spans="2:9" hidden="1">
      <c r="B133" s="252" t="s">
        <v>350</v>
      </c>
      <c r="C133" s="265">
        <f ca="1">VLOOKUP(OP!$C$55,EXP,OP!$C$57+1,0)*OP!$C$28</f>
        <v>100000</v>
      </c>
      <c r="D133" s="261" t="str">
        <f ca="1">$B$133&amp;TEXT($C$133,"#,##0 元")</f>
        <v>祝壽保險金：100,000 元</v>
      </c>
      <c r="E133" s="256"/>
      <c r="H133" s="63"/>
      <c r="I133" s="63"/>
    </row>
    <row r="134" spans="2:9" hidden="1">
      <c r="B134" s="252" t="s">
        <v>351</v>
      </c>
      <c r="C134" s="265"/>
      <c r="D134" s="261" t="str">
        <f>$B$134&amp;TEXT($C$134,"#,##0 元")</f>
        <v>增額繳清保險金額祝壽保險金：0 元</v>
      </c>
      <c r="E134" s="256"/>
      <c r="H134" s="63"/>
      <c r="I134" s="63"/>
    </row>
    <row r="135" spans="2:9" hidden="1">
      <c r="B135" s="252" t="s">
        <v>352</v>
      </c>
      <c r="C135" s="265">
        <f ca="1">$C$133+$C$134</f>
        <v>100000</v>
      </c>
      <c r="D135" s="261" t="str">
        <f ca="1">$B$135&amp;TEXT($C$135,"#,##0 元")</f>
        <v>總保險金額祝壽保險金：100,000 元</v>
      </c>
      <c r="E135" s="256"/>
      <c r="H135" s="63"/>
      <c r="I135" s="63"/>
    </row>
    <row r="136" spans="2:9" hidden="1">
      <c r="B136" s="53"/>
      <c r="C136" s="260"/>
      <c r="D136" s="266"/>
      <c r="E136" s="256"/>
      <c r="H136" s="63"/>
      <c r="I136" s="63"/>
    </row>
    <row r="137" spans="2:9" hidden="1">
      <c r="B137" s="53"/>
      <c r="C137" s="260"/>
      <c r="D137" s="266"/>
      <c r="E137" s="256"/>
      <c r="H137" s="63"/>
      <c r="I137" s="63"/>
    </row>
    <row r="138" spans="2:9" hidden="1">
      <c r="B138" s="53"/>
      <c r="C138" s="260"/>
      <c r="D138" s="63"/>
      <c r="E138" s="256"/>
      <c r="H138" s="63"/>
      <c r="I138" s="63"/>
    </row>
    <row r="139" spans="2:9" hidden="1">
      <c r="H139" s="63"/>
      <c r="I139" s="63"/>
    </row>
    <row r="140" spans="2:9" hidden="1">
      <c r="H140" s="63"/>
      <c r="I140" s="63"/>
    </row>
    <row r="141" spans="2:9" hidden="1">
      <c r="H141" s="63"/>
      <c r="I141" s="63"/>
    </row>
    <row r="142" spans="2:9" hidden="1">
      <c r="B142" s="53" t="str">
        <f>IF($C$142=1,"要保人、被保險人、繳款人皆為 "&amp;OP!$D$143&amp;" 君  ",IF(AND($D$145=1),"要保人："&amp;OP!$D$142&amp;" 君  ","")&amp;IF(AND($D$146=1),"被保險人："&amp;OP!$D$143&amp;" 君  ","")&amp;IF(AND($D$147=1),"繳款人："&amp;OP!$D$144&amp;" 君  ",""))</f>
        <v xml:space="preserve">要保人、被保險人、繳款人皆為 客戶 君  </v>
      </c>
      <c r="C142" s="53">
        <f>IF(OR(E150=0,E150=""),"請選擇",VLOOKUP($E$150,$B$143:$C$147,2,0))</f>
        <v>1</v>
      </c>
      <c r="D142" s="63" t="str">
        <f>IF(OR(OP!$C$142=1,OP!$C$142=2),TEXT(輸入頁!$E$5,"#"),TEXT(輸入頁!$E$13,"#"))</f>
        <v>客戶</v>
      </c>
      <c r="E142" s="63" t="s">
        <v>799</v>
      </c>
      <c r="H142" s="63"/>
      <c r="I142" s="63"/>
    </row>
    <row r="143" spans="2:9" hidden="1">
      <c r="B143" s="53" t="s">
        <v>794</v>
      </c>
      <c r="C143" s="53">
        <v>1</v>
      </c>
      <c r="D143" s="63" t="str">
        <f>TEXT(輸入頁!$E$5,"#")</f>
        <v>客戶</v>
      </c>
      <c r="E143" s="63" t="s">
        <v>800</v>
      </c>
      <c r="H143" s="63"/>
      <c r="I143" s="63"/>
    </row>
    <row r="144" spans="2:9" hidden="1">
      <c r="B144" s="53" t="s">
        <v>795</v>
      </c>
      <c r="C144" s="53">
        <v>2</v>
      </c>
      <c r="D144" s="63" t="str">
        <f>IF(OR(OP!$C$142=1,OP!$C$142=3),TEXT(輸入頁!$E$5,"#"),IF(OR(OP!$C$142=4),TEXT(輸入頁!$E$13,"#"),TEXT(輸入頁!$O$13,"#")))</f>
        <v>客戶</v>
      </c>
      <c r="E144" s="63" t="s">
        <v>801</v>
      </c>
      <c r="H144" s="63"/>
      <c r="I144" s="63"/>
    </row>
    <row r="145" spans="2:9" hidden="1">
      <c r="B145" s="53" t="s">
        <v>796</v>
      </c>
      <c r="C145" s="53">
        <v>3</v>
      </c>
      <c r="D145" s="63" t="str">
        <f>IF($C$142=1,"",IF(OR(AND($E$155&lt;&gt;1,$D$154&gt;=$B$156+1),$D$146=1,$D$147=1),1,""))</f>
        <v/>
      </c>
      <c r="E145" s="63" t="s">
        <v>799</v>
      </c>
      <c r="H145" s="63"/>
      <c r="I145" s="63"/>
    </row>
    <row r="146" spans="2:9" hidden="1">
      <c r="B146" s="53" t="s">
        <v>797</v>
      </c>
      <c r="C146" s="53">
        <v>4</v>
      </c>
      <c r="D146" s="63" t="str">
        <f>IF($C$142=1,"",IF(OR(AND($E$6&lt;&gt;1,$D$5&gt;=$B$156+1)),1,""))</f>
        <v/>
      </c>
      <c r="E146" s="63" t="s">
        <v>800</v>
      </c>
      <c r="H146" s="63"/>
      <c r="I146" s="63"/>
    </row>
    <row r="147" spans="2:9" hidden="1">
      <c r="B147" s="53" t="s">
        <v>798</v>
      </c>
      <c r="C147" s="53">
        <v>5</v>
      </c>
      <c r="D147" s="63" t="str">
        <f>IF($C$142=1,"",IF($D$159=1,1,""))</f>
        <v/>
      </c>
      <c r="E147" s="63" t="s">
        <v>801</v>
      </c>
    </row>
    <row r="150" spans="2:9" hidden="1">
      <c r="B150" s="2" t="s">
        <v>353</v>
      </c>
      <c r="C150" s="1" t="str">
        <f>IF($E$150="同被保險人",$C$73,輸入頁!$E$13)</f>
        <v>客戶</v>
      </c>
      <c r="E150" s="267" t="str">
        <f>輸入頁!$E$12</f>
        <v>同被保險人</v>
      </c>
    </row>
    <row r="151" spans="2:9" hidden="1">
      <c r="B151" s="246" t="s">
        <v>354</v>
      </c>
      <c r="C151" s="246" t="s">
        <v>355</v>
      </c>
      <c r="D151" s="246" t="s">
        <v>356</v>
      </c>
      <c r="E151" s="246" t="s">
        <v>357</v>
      </c>
    </row>
    <row r="152" spans="2:9" hidden="1">
      <c r="B152" s="246">
        <f>IF(C153=0,0,VALUE(MID(C153,IF(LEN(C153)=7,4,3),2)))</f>
        <v>7</v>
      </c>
      <c r="C152" s="268">
        <f ca="1">$C$3</f>
        <v>46023</v>
      </c>
      <c r="D152" s="268">
        <f>IF(C153=0,0,DATE(LEFT(C153,IF(LEN(C153)=7,3,2))+1911,MID(C153,IF(LEN(C153)=7,4,3),2),RIGHT(C153,2)))</f>
        <v>45839</v>
      </c>
      <c r="E152" s="269">
        <f>IF(E153=1,0,IF(OR(B152=1,B152=3,B152=5,B152=7,B152=8,B152=10,B152=12),31,IF(OR(B152=4,B152=6,B152=9,B152=11),30,IF(AND(B152=2,YEAR(D152)/4=INT(YEAR(D152)/4),YEAR(D152)/400&lt;&gt;INT(YEAR(D152)/400)),29,28))))</f>
        <v>31</v>
      </c>
    </row>
    <row r="153" spans="2:9" hidden="1">
      <c r="B153" s="246" t="s">
        <v>356</v>
      </c>
      <c r="C153" s="269">
        <f>IF(OR($C$142=1,$C$142=2),$C$10,輸入頁!$E$14)</f>
        <v>1140701</v>
      </c>
      <c r="D153" s="270"/>
      <c r="E153" s="246" t="str">
        <f>IF(OR(B152&lt;1,B152&gt;12),1,"")</f>
        <v/>
      </c>
    </row>
    <row r="154" spans="2:9" hidden="1">
      <c r="B154" s="246" t="s">
        <v>358</v>
      </c>
      <c r="C154" s="271" t="s">
        <v>359</v>
      </c>
      <c r="D154" s="271">
        <f ca="1">IF(SUM(E155)&gt;=1,0,IF(D152&gt;C152,0,IF(MONTH(C152)&lt;B152,IF(OR(MONTH(C152)+12-B152&gt;6,AND(MONTH(C152)+12-B152=6,DAY(C152)&gt;DAY(D152))),YEAR(C152)-1-YEAR(D152)+1,IF(OR(MONTH(C152)+12-B152&lt;6,AND(MONTH(C152)+12-B152=6,DAY(C152)&lt;=DAY(D152))),YEAR(C152)-1-YEAR(D152))),IF(OR(MONTH(C152)-B152&gt;6,AND(MONTH(C152)-B152=6,DAY(C152)&gt;DAY(D152))),YEAR(C152)-YEAR(D152)+1,IF(OR(MONTH(C152)-B152&lt;=6,AND(MONTH(C152)-B152=6,DAY(C152)&lt;=DAY(D152))),YEAR(C152)-YEAR(D152),)))))</f>
        <v>0</v>
      </c>
      <c r="E154" s="246" t="str">
        <f>IF(OR(VALUE(RIGHT(C153,2))&lt;1,VALUE(RIGHT(C153,2))&gt;E152),1,"")</f>
        <v/>
      </c>
    </row>
    <row r="155" spans="2:9" hidden="1">
      <c r="B155" s="272" t="str">
        <f ca="1">IF(OR(AND($E$155&lt;&gt;1,$D$154&gt;=$B$156+1),AND($E$6&lt;&gt;1,$D$5&gt;=$B$156+1),$D$159=1),"本件需進行錄音","")&amp;$B$157&amp;$B$158</f>
        <v/>
      </c>
      <c r="C155" s="271" t="s">
        <v>360</v>
      </c>
      <c r="D155" s="271">
        <f ca="1">IF(SUM(E155)&gt;=1,"生日格式錯誤",IF(D152&gt;C152,"被保險人未出生",DATEDIF(D152,C152,"y")))</f>
        <v>0</v>
      </c>
      <c r="E155" s="273" t="str">
        <f>IF(OR(E153=1,E154=1),1,"")</f>
        <v/>
      </c>
    </row>
    <row r="156" spans="2:9" hidden="1">
      <c r="B156" s="274">
        <f>IF(D158=0,100,64)</f>
        <v>100</v>
      </c>
      <c r="C156" s="274">
        <f>IF($D$158=0,0,((LEFT(TEXT(DATE(YEAR($C$3)-$B$156,MONTH($C$3)-6,DAY($C$3)-1),"yyyymmdd"),4)*1)-IF(LEN($C$10)=8,0,1911)&amp;TEXT(MID(TEXT(DATE(YEAR($C$3)-$B$156,MONTH($C$3)-6,DAY($C$3)-1),"yyyymmdd"),5,2),"00")&amp;TEXT(RIGHT(TEXT(DATE(YEAR($C$3)-$B$156,MONTH($C$3)-6,DAY($C$3)-1),"yyyymmdd"),2),"00"))*1)</f>
        <v>0</v>
      </c>
      <c r="D156" s="275" t="str">
        <f ca="1">TEXT(DATE(YEAR($C$3)-$B$156,MONTH($C$3)-6,DAY($C$3)),"yyyy/m/d")</f>
        <v>1925/7/1</v>
      </c>
      <c r="E156" s="223" t="str">
        <f>IF($E$69="一銀",IF(OR(AND($E$155&lt;&gt;1,$D$154&gt;=$B$156+1),AND($E$6&lt;&gt;1,$D$5&gt;=$B$156+1),$D$159=1),1,""),"")</f>
        <v/>
      </c>
    </row>
    <row r="157" spans="2:9" hidden="1">
      <c r="B157" s="53" t="str">
        <f ca="1">IF(AND(C153&gt;$C$156,$C$153&lt;=$E$157),"*請注意要保人將於"&amp;D152-D156+1&amp;"天後達"&amp;$B$156+1&amp;"歲*","")</f>
        <v/>
      </c>
      <c r="C157" s="53" t="s">
        <v>361</v>
      </c>
      <c r="D157" s="53">
        <v>7</v>
      </c>
      <c r="E157" s="63">
        <f ca="1">((LEFT(TEXT(DATE(YEAR($C$3)-$B$156,MONTH($C$3)-6,DAY($C$3)+$D$157),"yyyymmdd"),4)*1)-IF(LEN($C$10)=8,0,1911)&amp;TEXT(MID(TEXT(DATE(YEAR($C$3)-$B$156,MONTH($C$3)-6,DAY($C$3)+$D$157),"yyyymmdd"),5,2),"00")&amp;TEXT(RIGHT(TEXT(DATE(YEAR($C$3)-$B$156,MONTH($C$3)-6,DAY($C$3)+$D$157),"yyyymmdd"),2),"00"))*1</f>
        <v>140708</v>
      </c>
    </row>
    <row r="158" spans="2:9" hidden="1">
      <c r="B158" s="53" t="str">
        <f ca="1">IF(AND($C$4&gt;$C$156,$C$4&lt;=$E$157),"*請注意被保人將於"&amp;$D$3-$D$156+1&amp;"天後達"&amp;$B$156+1&amp;"歲*","")</f>
        <v/>
      </c>
      <c r="C158" s="53" t="s">
        <v>362</v>
      </c>
      <c r="D158" s="246">
        <f>IF($E$69&lt;&gt;"",1,0)</f>
        <v>0</v>
      </c>
      <c r="E158" s="63" t="s">
        <v>363</v>
      </c>
    </row>
    <row r="159" spans="2:9" hidden="1">
      <c r="B159" s="276" t="s">
        <v>364</v>
      </c>
      <c r="C159" s="276">
        <f>IF(OR($C$142=1,$C$142=3),$C$10,IF(OR($C$142=4),$C$153,輸入頁!$O$14))</f>
        <v>1140701</v>
      </c>
      <c r="D159" s="276" t="str">
        <f>IF(OR($D$158=0,$C$159=0,$C$159=""),"",IF($C$159*1&lt;=$C$156*1,1,""))</f>
        <v/>
      </c>
    </row>
    <row r="160" spans="2:9" hidden="1">
      <c r="B160" s="246" t="s">
        <v>365</v>
      </c>
      <c r="C160" s="277" t="s">
        <v>108</v>
      </c>
    </row>
    <row r="161" spans="2:3" hidden="1">
      <c r="B161"/>
      <c r="C161" s="122"/>
    </row>
    <row r="162" spans="2:3" hidden="1">
      <c r="B162"/>
      <c r="C162" s="122"/>
    </row>
    <row r="163" spans="2:3" hidden="1">
      <c r="B163"/>
      <c r="C163" s="122"/>
    </row>
    <row r="164" spans="2:3" hidden="1">
      <c r="B164"/>
      <c r="C164" s="122"/>
    </row>
    <row r="165" spans="2:3" hidden="1">
      <c r="B165"/>
      <c r="C165" s="122"/>
    </row>
    <row r="166" spans="2:3" hidden="1">
      <c r="B166"/>
      <c r="C166" s="122"/>
    </row>
    <row r="167" spans="2:3" hidden="1">
      <c r="B167"/>
      <c r="C167" s="122"/>
    </row>
    <row r="168" spans="2:3" hidden="1">
      <c r="B168"/>
      <c r="C168" s="122"/>
    </row>
    <row r="169" spans="2:3" hidden="1">
      <c r="B169"/>
      <c r="C169" s="122"/>
    </row>
    <row r="170" spans="2:3" hidden="1">
      <c r="B170"/>
      <c r="C170" s="122"/>
    </row>
    <row r="171" spans="2:3" hidden="1">
      <c r="B171"/>
      <c r="C171" s="122"/>
    </row>
    <row r="172" spans="2:3" hidden="1">
      <c r="B172"/>
      <c r="C172" s="122"/>
    </row>
    <row r="173" spans="2:3" hidden="1">
      <c r="B173"/>
      <c r="C173" s="122"/>
    </row>
    <row r="174" spans="2:3" hidden="1">
      <c r="B174"/>
      <c r="C174" s="122"/>
    </row>
    <row r="175" spans="2:3" hidden="1">
      <c r="B175"/>
      <c r="C175" s="122"/>
    </row>
    <row r="176" spans="2:3" hidden="1">
      <c r="B176"/>
      <c r="C176" s="122"/>
    </row>
    <row r="177" spans="2:3" hidden="1">
      <c r="B177"/>
      <c r="C177" s="122"/>
    </row>
    <row r="178" spans="2:3" hidden="1">
      <c r="B178"/>
      <c r="C178" s="122"/>
    </row>
    <row r="179" spans="2:3" hidden="1">
      <c r="B179"/>
      <c r="C179" s="122"/>
    </row>
    <row r="180" spans="2:3" hidden="1">
      <c r="B180"/>
      <c r="C180" s="122"/>
    </row>
    <row r="181" spans="2:3" hidden="1">
      <c r="B181"/>
      <c r="C181" s="122"/>
    </row>
    <row r="182" spans="2:3" hidden="1">
      <c r="B182"/>
      <c r="C182" s="122"/>
    </row>
    <row r="183" spans="2:3" hidden="1">
      <c r="B183"/>
      <c r="C183" s="122"/>
    </row>
    <row r="184" spans="2:3" hidden="1">
      <c r="B184"/>
      <c r="C184" s="122"/>
    </row>
    <row r="185" spans="2:3" hidden="1">
      <c r="B185"/>
      <c r="C185" s="122"/>
    </row>
    <row r="186" spans="2:3" hidden="1">
      <c r="B186"/>
      <c r="C186" s="122"/>
    </row>
    <row r="187" spans="2:3" hidden="1">
      <c r="B187"/>
      <c r="C187" s="122"/>
    </row>
    <row r="188" spans="2:3" hidden="1">
      <c r="B188"/>
      <c r="C188" s="122"/>
    </row>
    <row r="189" spans="2:3" hidden="1">
      <c r="B189"/>
      <c r="C189" s="122"/>
    </row>
    <row r="190" spans="2:3" hidden="1">
      <c r="B190"/>
      <c r="C190" s="122"/>
    </row>
    <row r="191" spans="2:3" hidden="1">
      <c r="B191"/>
      <c r="C191" s="122"/>
    </row>
    <row r="192" spans="2:3" hidden="1">
      <c r="B192"/>
      <c r="C192" s="122"/>
    </row>
    <row r="193" spans="2:3" hidden="1">
      <c r="B193"/>
      <c r="C193" s="122"/>
    </row>
    <row r="194" spans="2:3" hidden="1">
      <c r="B194"/>
      <c r="C194" s="122"/>
    </row>
    <row r="195" spans="2:3" hidden="1">
      <c r="B195"/>
      <c r="C195" s="122"/>
    </row>
    <row r="196" spans="2:3" hidden="1">
      <c r="B196"/>
      <c r="C196" s="122"/>
    </row>
    <row r="197" spans="2:3" hidden="1">
      <c r="B197"/>
      <c r="C197" s="122"/>
    </row>
  </sheetData>
  <sheetProtection algorithmName="SHA-512" hashValue="s6CvTuLBZOVKk5MtK4tYVAZ2YM23jT34dUdWJyLTpWSugM8l94mtTeDJsSvAP9fGjOot5yk7pqX9ZAaPkexlWQ==" saltValue="9SRQ/OcGGGShWlKfEx1vRA==" spinCount="100000" sheet="1" objects="1" scenarios="1"/>
  <phoneticPr fontId="5" type="noConversion"/>
  <conditionalFormatting sqref="B150 B155">
    <cfRule type="expression" dxfId="31" priority="1" stopIfTrue="1">
      <formula>$A$46=1</formula>
    </cfRule>
  </conditionalFormatting>
  <conditionalFormatting sqref="Q2 Q10:Q13">
    <cfRule type="expression" dxfId="30" priority="2" stopIfTrue="1">
      <formula>$A$50=1</formula>
    </cfRule>
  </conditionalFormatting>
  <conditionalFormatting sqref="Q3:Q4 Q6">
    <cfRule type="expression" dxfId="29" priority="3" stopIfTrue="1">
      <formula>#REF!=1</formula>
    </cfRule>
  </conditionalFormatting>
  <dataValidations count="17">
    <dataValidation type="list" allowBlank="1" showInputMessage="1" showErrorMessage="1" prompt="1.足歲、2.保險年齡" sqref="E16" xr:uid="{00000000-0002-0000-0300-000000000000}">
      <formula1>"1,2"</formula1>
    </dataValidation>
    <dataValidation allowBlank="1" showInputMessage="1" showErrorMessage="1" prompt="生日-月" sqref="B3 B152" xr:uid="{00000000-0002-0000-0300-000001000000}"/>
    <dataValidation allowBlank="1" showInputMessage="1" showErrorMessage="1" prompt="生日月份最終日" sqref="E3 E152" xr:uid="{00000000-0002-0000-0300-000002000000}"/>
    <dataValidation allowBlank="1" showInputMessage="1" showErrorMessage="1" prompt="月驗證" sqref="E4 E153" xr:uid="{00000000-0002-0000-0300-000003000000}"/>
    <dataValidation allowBlank="1" showInputMessage="1" showErrorMessage="1" prompt="日驗證" sqref="E5 E154" xr:uid="{00000000-0002-0000-0300-000004000000}"/>
    <dataValidation allowBlank="1" showInputMessage="1" showErrorMessage="1" prompt="台幣小數點下四捨五入，外幣小數點下1位四捨五入" sqref="C31" xr:uid="{00000000-0002-0000-0300-000005000000}"/>
    <dataValidation allowBlank="1" showInputMessage="1" showErrorMessage="1" prompt="台幣小數點下四捨五入，外幣小數點下捨去" sqref="C35" xr:uid="{00000000-0002-0000-0300-000006000000}"/>
    <dataValidation type="list" allowBlank="1" showInputMessage="1" showErrorMessage="1" sqref="H25" xr:uid="{00000000-0002-0000-0300-000007000000}">
      <formula1>"無,集體彙繳件,員工轉帳件"</formula1>
    </dataValidation>
    <dataValidation allowBlank="1" showInputMessage="1" showErrorMessage="1" prompt="0-不遮_x000a_1-遮" sqref="E72" xr:uid="{00000000-0002-0000-0300-000008000000}"/>
    <dataValidation type="list" allowBlank="1" showInputMessage="1" showErrorMessage="1" sqref="C69" xr:uid="{00000000-0002-0000-0300-000009000000}">
      <formula1>"業務、服展、北富銀,保經代,業務,業務、服展,北富銀,整銷,多元,銀保,錠嵂保經"</formula1>
    </dataValidation>
    <dataValidation type="list" allowBlank="1" showInputMessage="1" showErrorMessage="1" sqref="C160" xr:uid="{00000000-0002-0000-0300-00000A000000}">
      <formula1>"公版,兆豐,台新"</formula1>
    </dataValidation>
    <dataValidation type="list" allowBlank="1" showInputMessage="1" showErrorMessage="1" sqref="C105" xr:uid="{00000000-0002-0000-0300-00000B000000}">
      <formula1>"現售,停售"</formula1>
    </dataValidation>
    <dataValidation allowBlank="1" showInputMessage="1" showErrorMessage="1" prompt="輸入頁E8_x000a_顯示文字" sqref="D87" xr:uid="{00000000-0002-0000-0300-00000C000000}"/>
    <dataValidation allowBlank="1" showInputMessage="1" showErrorMessage="1" prompt="跳歲_x000a_1=提醒_x000a_0=不提醒" sqref="C85" xr:uid="{00000000-0002-0000-0300-00000D000000}"/>
    <dataValidation allowBlank="1" showInputMessage="1" showErrorMessage="1" prompt="保費_x000a_1=提醒_x000a_0=不提醒" sqref="D85" xr:uid="{00000000-0002-0000-0300-00000E000000}"/>
    <dataValidation type="list" allowBlank="1" showInputMessage="1" showErrorMessage="1" sqref="E69" xr:uid="{00000000-0002-0000-0300-00000F000000}">
      <formula1>"銀保通路,一銀,花旗"</formula1>
    </dataValidation>
    <dataValidation type="list" allowBlank="1" showInputMessage="1" showErrorMessage="1" sqref="E21" xr:uid="{00000000-0002-0000-0300-000010000000}">
      <formula1>"新臺幣,美元,澳幣,人民幣"</formula1>
    </dataValidation>
  </dataValidations>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S208"/>
  <sheetViews>
    <sheetView showGridLines="0" showRowColHeaders="0" tabSelected="1" zoomScaleNormal="100" workbookViewId="0">
      <selection activeCell="E5" sqref="E5:H5"/>
    </sheetView>
  </sheetViews>
  <sheetFormatPr defaultColWidth="0" defaultRowHeight="16.5" zeroHeight="1"/>
  <cols>
    <col min="1" max="1" width="2.33203125" style="3" customWidth="1"/>
    <col min="2" max="2" width="9.5" style="4" customWidth="1"/>
    <col min="3" max="3" width="10.1640625" style="4" customWidth="1"/>
    <col min="4" max="4" width="13.6640625" style="4" customWidth="1"/>
    <col min="5" max="11" width="5.83203125" style="4" customWidth="1"/>
    <col min="12" max="12" width="7.6640625" style="3" customWidth="1"/>
    <col min="13" max="13" width="15.83203125" style="3" customWidth="1"/>
    <col min="14" max="18" width="15.83203125" style="4" customWidth="1"/>
    <col min="19" max="19" width="3.1640625" style="4" customWidth="1"/>
    <col min="20" max="20" width="2.33203125" style="4" customWidth="1"/>
    <col min="21" max="239" width="3.1640625" style="4" hidden="1" customWidth="1"/>
    <col min="240" max="16384" width="3.1640625" style="4" hidden="1"/>
  </cols>
  <sheetData>
    <row r="1" spans="1:45" ht="6" customHeight="1">
      <c r="B1" s="3"/>
      <c r="C1" s="3"/>
      <c r="D1" s="3"/>
      <c r="E1" s="3"/>
      <c r="F1" s="3"/>
      <c r="G1" s="3"/>
      <c r="H1" s="3"/>
      <c r="I1" s="3"/>
      <c r="J1" s="3"/>
      <c r="K1" s="3"/>
      <c r="AS1" s="123">
        <v>0</v>
      </c>
    </row>
    <row r="2" spans="1:45" ht="32.25">
      <c r="A2" s="5" t="str">
        <f ca="1">OP!D53</f>
        <v/>
      </c>
      <c r="B2" s="519" t="str">
        <f>OP!$C$23&amp;"建議書"</f>
        <v>富邦人壽優卡安心重大傷病健康保險建議書</v>
      </c>
      <c r="C2" s="520"/>
      <c r="D2" s="520"/>
      <c r="E2" s="520"/>
      <c r="F2" s="520"/>
      <c r="G2" s="520"/>
      <c r="H2" s="520"/>
      <c r="I2" s="520"/>
      <c r="J2" s="520"/>
      <c r="K2" s="520"/>
      <c r="L2" s="520"/>
      <c r="M2" s="520"/>
      <c r="N2" s="520"/>
      <c r="O2" s="520"/>
      <c r="P2" s="520"/>
      <c r="Q2" s="520"/>
      <c r="R2" s="520"/>
      <c r="S2" s="521"/>
    </row>
    <row r="3" spans="1:45" ht="23.1" customHeight="1">
      <c r="A3" s="5"/>
      <c r="B3" s="381" t="s">
        <v>939</v>
      </c>
      <c r="C3" s="224"/>
      <c r="D3" s="224"/>
      <c r="E3" s="224"/>
      <c r="F3" s="224"/>
      <c r="G3" s="224"/>
      <c r="H3" s="224"/>
      <c r="I3" s="224"/>
      <c r="J3" s="224"/>
      <c r="K3" s="224"/>
      <c r="L3" s="224"/>
      <c r="M3" s="224"/>
      <c r="N3" s="224"/>
      <c r="O3" s="224"/>
      <c r="P3" s="224"/>
      <c r="Q3" s="224"/>
      <c r="R3" s="224"/>
      <c r="S3" s="396"/>
    </row>
    <row r="4" spans="1:45" ht="6" customHeight="1">
      <c r="B4" s="382"/>
      <c r="C4" s="164"/>
      <c r="D4" s="164"/>
      <c r="E4" s="164"/>
      <c r="F4" s="164"/>
      <c r="G4" s="164"/>
      <c r="H4" s="164"/>
      <c r="I4" s="164"/>
      <c r="J4" s="164"/>
      <c r="K4" s="164"/>
      <c r="L4" s="164"/>
      <c r="M4" s="164"/>
      <c r="N4" s="164"/>
      <c r="O4" s="164"/>
      <c r="P4" s="164"/>
      <c r="Q4" s="164"/>
      <c r="R4" s="164"/>
      <c r="S4" s="397"/>
    </row>
    <row r="5" spans="1:45" ht="17.25" customHeight="1">
      <c r="A5" s="5"/>
      <c r="B5" s="526" t="s">
        <v>4</v>
      </c>
      <c r="C5" s="527"/>
      <c r="D5" s="31" t="s">
        <v>5</v>
      </c>
      <c r="E5" s="524" t="s">
        <v>376</v>
      </c>
      <c r="F5" s="525"/>
      <c r="G5" s="525"/>
      <c r="H5" s="525"/>
      <c r="I5" s="32"/>
      <c r="J5" s="119" t="s">
        <v>6</v>
      </c>
      <c r="K5" s="524" t="s">
        <v>282</v>
      </c>
      <c r="L5" s="525"/>
      <c r="M5" s="13"/>
      <c r="N5" s="124" t="s">
        <v>1015</v>
      </c>
      <c r="O5" s="522" t="str">
        <f ca="1">IF(OR(K5="",E17="",Q17=""),"",OP!$C$16&amp;" 歲  ~  "&amp;OP!$C$15&amp;"歲 "&amp;"("&amp;OP!F7&amp;")")</f>
        <v>0 歲  ~  50歲 (640701)</v>
      </c>
      <c r="P5" s="523"/>
      <c r="Q5" s="59"/>
      <c r="R5" s="288" t="str">
        <f>IF(OP!$C$105="停售","本商品已停售","")</f>
        <v/>
      </c>
      <c r="S5" s="398"/>
      <c r="T5" s="3"/>
    </row>
    <row r="6" spans="1:45" ht="6" customHeight="1">
      <c r="A6" s="5"/>
      <c r="B6" s="528"/>
      <c r="C6" s="527"/>
      <c r="D6" s="37"/>
      <c r="E6" s="37"/>
      <c r="F6" s="37"/>
      <c r="G6" s="37"/>
      <c r="H6" s="37"/>
      <c r="I6" s="37"/>
      <c r="J6" s="37"/>
      <c r="K6" s="37"/>
      <c r="L6" s="37"/>
      <c r="M6" s="37"/>
      <c r="N6" s="37"/>
      <c r="O6" s="37"/>
      <c r="P6" s="37"/>
      <c r="Q6" s="37"/>
      <c r="R6" s="37"/>
      <c r="S6" s="399"/>
      <c r="T6" s="3"/>
    </row>
    <row r="7" spans="1:45" ht="17.25" customHeight="1">
      <c r="A7" s="5"/>
      <c r="B7" s="528"/>
      <c r="C7" s="527"/>
      <c r="D7" s="31" t="s">
        <v>7</v>
      </c>
      <c r="E7" s="525">
        <v>1140701</v>
      </c>
      <c r="F7" s="525"/>
      <c r="G7" s="525"/>
      <c r="H7" s="525"/>
      <c r="I7" s="530" t="str">
        <f ca="1">IF(OP!$E$6=1,"生日日期錯誤",OP!$D$17)</f>
        <v/>
      </c>
      <c r="J7" s="530"/>
      <c r="K7" s="530"/>
      <c r="L7" s="530"/>
      <c r="M7" s="530"/>
      <c r="N7" s="119" t="s">
        <v>8</v>
      </c>
      <c r="O7" s="102">
        <f ca="1">IF(OR(K5="",E7="",E17="",Q17=""),"",OP!$D$5)</f>
        <v>0</v>
      </c>
      <c r="P7" s="33"/>
      <c r="Q7" s="31" t="s">
        <v>9</v>
      </c>
      <c r="R7" s="51">
        <f ca="1">IF(OP!$E$6=1,"",OP!$D$6)</f>
        <v>0</v>
      </c>
      <c r="S7" s="399"/>
      <c r="T7" s="3"/>
    </row>
    <row r="8" spans="1:45" ht="6" customHeight="1">
      <c r="A8" s="5"/>
      <c r="B8" s="383"/>
      <c r="C8" s="36"/>
      <c r="D8" s="31"/>
      <c r="E8" s="32"/>
      <c r="F8" s="32"/>
      <c r="G8" s="32"/>
      <c r="H8" s="32"/>
      <c r="I8" s="30"/>
      <c r="J8" s="30"/>
      <c r="K8" s="30"/>
      <c r="L8" s="30"/>
      <c r="M8" s="30"/>
      <c r="N8" s="31"/>
      <c r="O8" s="33"/>
      <c r="P8" s="33"/>
      <c r="Q8" s="31"/>
      <c r="R8" s="38"/>
      <c r="S8" s="399"/>
      <c r="T8" s="3"/>
    </row>
    <row r="9" spans="1:45">
      <c r="A9" s="5"/>
      <c r="B9" s="384"/>
      <c r="D9" s="208"/>
      <c r="E9" s="412" t="str">
        <f ca="1">IF(OP!$E$6=1,"生日日期錯誤",IF($A$2=1,"部分內容空白或錯誤",OP!$D$17))&amp;OP!$B$155&amp;"  "&amp;OP!$D$87</f>
        <v xml:space="preserve">  提醒您：被保險人將於 1 月 2 日 ( 1天後 ) 保險年齡增加一歲。</v>
      </c>
      <c r="I9" s="37"/>
      <c r="J9" s="37"/>
      <c r="K9" s="37"/>
      <c r="L9" s="39"/>
      <c r="M9" s="39"/>
      <c r="N9" s="47"/>
      <c r="O9" s="30"/>
      <c r="P9" s="39"/>
      <c r="Q9" s="209"/>
      <c r="R9" s="39"/>
      <c r="S9" s="400"/>
      <c r="T9" s="3"/>
    </row>
    <row r="10" spans="1:45" ht="6" hidden="1" customHeight="1">
      <c r="A10" s="5"/>
      <c r="B10" s="385"/>
      <c r="C10" s="37"/>
      <c r="D10" s="37"/>
      <c r="E10" s="37"/>
      <c r="F10" s="37"/>
      <c r="G10" s="37"/>
      <c r="H10" s="37"/>
      <c r="I10" s="37"/>
      <c r="J10" s="37"/>
      <c r="K10" s="37"/>
      <c r="L10" s="37"/>
      <c r="M10" s="37"/>
      <c r="N10" s="37"/>
      <c r="O10" s="37"/>
      <c r="P10" s="37"/>
      <c r="Q10" s="37"/>
      <c r="R10" s="37"/>
      <c r="S10" s="399"/>
      <c r="T10" s="3"/>
    </row>
    <row r="11" spans="1:45" s="7" customFormat="1" ht="6" hidden="1" customHeight="1">
      <c r="A11" s="280"/>
      <c r="B11" s="385"/>
      <c r="C11" s="281"/>
      <c r="D11" s="281"/>
      <c r="E11" s="281"/>
      <c r="F11" s="281"/>
      <c r="G11" s="281"/>
      <c r="H11" s="281"/>
      <c r="I11" s="281"/>
      <c r="J11" s="281"/>
      <c r="K11" s="281"/>
      <c r="L11" s="281"/>
      <c r="M11" s="281"/>
      <c r="N11" s="281"/>
      <c r="O11" s="281"/>
      <c r="P11" s="281"/>
      <c r="Q11" s="281"/>
      <c r="R11" s="281"/>
      <c r="S11" s="399"/>
      <c r="T11" s="282"/>
    </row>
    <row r="12" spans="1:45" s="7" customFormat="1" ht="16.5" hidden="1" customHeight="1">
      <c r="A12" s="280"/>
      <c r="B12" s="386"/>
      <c r="C12" s="283"/>
      <c r="D12" s="379" t="s">
        <v>808</v>
      </c>
      <c r="E12" s="531" t="s">
        <v>1074</v>
      </c>
      <c r="F12" s="531"/>
      <c r="G12" s="531"/>
      <c r="H12" s="531"/>
      <c r="I12" s="380" t="str">
        <f>IF(OP!$C$142&lt;10,"",OP!$C$142)</f>
        <v/>
      </c>
      <c r="J12" s="32"/>
      <c r="K12" s="517" t="str">
        <f>"請確認右方內容："&amp;IF(OP!$C$142=1,"要保人、被保險人、繳款人皆為 "&amp;OP!$D$143,"要保人："&amp;IF(OR(OP!$C$142=1,OP!$C$142=2),OP!$D$143,OP!$D$142)&amp;"  "&amp;"被保險人："&amp;OP!$D$143&amp;"  "&amp;"繳款人："&amp;IF(OR(OP!$C$142=1,OP!$C$142=3),OP!$D$143,IF(OR(OP!$C$142=4),OP!$D$142,OP!$D$144)))</f>
        <v>請確認右方內容：要保人、被保險人、繳款人皆為 客戶</v>
      </c>
      <c r="L12" s="518"/>
      <c r="M12" s="518"/>
      <c r="N12" s="518"/>
      <c r="O12" s="518"/>
      <c r="P12" s="518"/>
      <c r="Q12" s="518"/>
      <c r="R12" s="518"/>
      <c r="S12" s="399"/>
      <c r="T12" s="282"/>
    </row>
    <row r="13" spans="1:45" s="7" customFormat="1" ht="16.5" hidden="1" customHeight="1">
      <c r="A13" s="280"/>
      <c r="B13" s="387"/>
      <c r="C13" s="52"/>
      <c r="D13" s="283" t="str">
        <f>IF(OR(OP!$C$142=1,OP!$C$142=2),"","要保人姓名：")</f>
        <v/>
      </c>
      <c r="E13" s="532"/>
      <c r="F13" s="532"/>
      <c r="G13" s="532"/>
      <c r="H13" s="532"/>
      <c r="I13" s="37"/>
      <c r="J13" s="37"/>
      <c r="K13" s="37"/>
      <c r="L13" s="37"/>
      <c r="M13" s="37"/>
      <c r="N13" s="45" t="str">
        <f>IF(OR(OP!$C$142=1,OP!$C$142=3,OP!$C$142=4),"","繳款人姓名：")</f>
        <v/>
      </c>
      <c r="O13" s="539"/>
      <c r="P13" s="540"/>
      <c r="Q13" s="37"/>
      <c r="R13" s="37"/>
      <c r="S13" s="399"/>
      <c r="T13" s="282"/>
    </row>
    <row r="14" spans="1:45" s="7" customFormat="1" ht="16.5" hidden="1" customHeight="1">
      <c r="A14" s="280"/>
      <c r="B14" s="386"/>
      <c r="C14" s="283"/>
      <c r="D14" s="283" t="str">
        <f>IF(OR($D$13=""),"","要保人生日(民國)：")</f>
        <v/>
      </c>
      <c r="E14" s="533"/>
      <c r="F14" s="534"/>
      <c r="G14" s="534"/>
      <c r="H14" s="535"/>
      <c r="I14" s="536" t="str">
        <f>IF(OR($D$13=""),"","保險年齡："&amp;OP!$D$154&amp;"歲")</f>
        <v/>
      </c>
      <c r="J14" s="536"/>
      <c r="K14" s="536"/>
      <c r="L14" s="536"/>
      <c r="N14" s="283" t="str">
        <f>IF(OR($N$13=""),"","繳款人生日(民國)：")</f>
        <v/>
      </c>
      <c r="O14" s="537"/>
      <c r="P14" s="538"/>
      <c r="Q14" s="30" t="s">
        <v>345</v>
      </c>
      <c r="R14" s="32"/>
      <c r="S14" s="399"/>
      <c r="T14" s="282"/>
    </row>
    <row r="15" spans="1:45" s="7" customFormat="1" ht="16.5" hidden="1" customHeight="1">
      <c r="A15" s="280"/>
      <c r="B15" s="388"/>
      <c r="C15" s="284"/>
      <c r="D15" s="285"/>
      <c r="E15" s="286" t="str">
        <f ca="1">IF(AND($E$14&lt;&gt;"",OP!$E$155=1),"要保人生日日期錯誤","")&amp;OP!$B$155</f>
        <v/>
      </c>
      <c r="F15" s="284"/>
      <c r="G15" s="284"/>
      <c r="H15" s="284"/>
      <c r="I15" s="284"/>
      <c r="J15" s="284"/>
      <c r="K15" s="284"/>
      <c r="L15" s="284"/>
      <c r="M15" s="284"/>
      <c r="N15" s="284"/>
      <c r="O15" s="287" t="str">
        <f>IF(AND($O$14&lt;&gt;"",OP!$D$159=1),"本件需進行錄音","")</f>
        <v/>
      </c>
      <c r="P15" s="284"/>
      <c r="Q15" s="284"/>
      <c r="R15" s="284"/>
      <c r="S15" s="401"/>
      <c r="T15" s="282"/>
    </row>
    <row r="16" spans="1:45" s="7" customFormat="1" ht="5.25" customHeight="1">
      <c r="A16" s="280"/>
      <c r="B16" s="385"/>
      <c r="C16" s="37"/>
      <c r="D16" s="469"/>
      <c r="E16" s="286"/>
      <c r="F16" s="284"/>
      <c r="G16" s="284"/>
      <c r="H16" s="37"/>
      <c r="I16" s="37"/>
      <c r="J16" s="37"/>
      <c r="K16" s="37"/>
      <c r="L16" s="37"/>
      <c r="M16" s="37"/>
      <c r="N16" s="37"/>
      <c r="O16" s="439"/>
      <c r="P16" s="37"/>
      <c r="Q16" s="284"/>
      <c r="R16" s="284"/>
      <c r="S16" s="399"/>
      <c r="T16" s="282"/>
    </row>
    <row r="17" spans="1:20" ht="17.25" customHeight="1">
      <c r="A17" s="5" t="str">
        <f>OP!$D$32</f>
        <v/>
      </c>
      <c r="B17" s="384"/>
      <c r="C17" s="139"/>
      <c r="D17" s="31" t="s">
        <v>91</v>
      </c>
      <c r="E17" s="524" t="s">
        <v>788</v>
      </c>
      <c r="F17" s="524"/>
      <c r="G17" s="524"/>
      <c r="H17" s="542" t="str">
        <f ca="1">IF(M35="","",OP!D49&amp;OP!$E$32)</f>
        <v/>
      </c>
      <c r="I17" s="542"/>
      <c r="J17" s="542"/>
      <c r="K17" s="542"/>
      <c r="L17" s="542"/>
      <c r="M17" s="542"/>
      <c r="N17" s="542"/>
      <c r="O17" s="31" t="s">
        <v>92</v>
      </c>
      <c r="P17" s="31" t="str">
        <f>IF(OP!$C$24=1,"","首期")</f>
        <v>首期</v>
      </c>
      <c r="Q17" s="529" t="s">
        <v>1046</v>
      </c>
      <c r="R17" s="529"/>
      <c r="S17" s="402"/>
      <c r="T17" s="5" t="str">
        <f>IF(COUNTIF(OP!$L$31:$L$37,OP!$C$41)&lt;1,1,"")</f>
        <v/>
      </c>
    </row>
    <row r="18" spans="1:20" ht="6" customHeight="1">
      <c r="A18" s="5"/>
      <c r="B18" s="389"/>
      <c r="C18" s="32"/>
      <c r="D18" s="32"/>
      <c r="E18" s="31"/>
      <c r="F18" s="31"/>
      <c r="G18" s="31"/>
      <c r="H18" s="30"/>
      <c r="I18" s="30"/>
      <c r="J18" s="30"/>
      <c r="K18" s="30"/>
      <c r="L18" s="30"/>
      <c r="M18" s="30"/>
      <c r="N18" s="47"/>
      <c r="O18" s="31"/>
      <c r="P18" s="31"/>
      <c r="Q18" s="50"/>
      <c r="R18" s="50"/>
      <c r="S18" s="402"/>
      <c r="T18" s="3"/>
    </row>
    <row r="19" spans="1:20" ht="17.25" customHeight="1">
      <c r="A19" s="5"/>
      <c r="B19" s="390"/>
      <c r="C19" s="550"/>
      <c r="D19" s="550"/>
      <c r="E19" s="550"/>
      <c r="F19" s="550"/>
      <c r="G19" s="550"/>
      <c r="H19" s="550"/>
      <c r="I19" s="550"/>
      <c r="J19" s="550"/>
      <c r="K19" s="550"/>
      <c r="L19" s="550"/>
      <c r="M19" s="550"/>
      <c r="N19" s="550"/>
      <c r="O19" s="34"/>
      <c r="P19" s="40" t="str">
        <f>IF(OP!$C$24=1,"","續期")</f>
        <v>續期</v>
      </c>
      <c r="Q19" s="529" t="s">
        <v>248</v>
      </c>
      <c r="R19" s="529"/>
      <c r="S19" s="402"/>
      <c r="T19" s="5" t="str">
        <f>IF(AND(OP!$C$24&lt;&gt;1,COUNTIF(OP!$M$31:$M$37,OP!$C$43)&lt;1),1,"")</f>
        <v/>
      </c>
    </row>
    <row r="20" spans="1:20" ht="17.25" customHeight="1">
      <c r="A20" s="5" t="str">
        <f>OP!$E$39</f>
        <v/>
      </c>
      <c r="B20" s="390"/>
      <c r="C20" s="127"/>
      <c r="D20" s="45" t="s">
        <v>286</v>
      </c>
      <c r="E20" s="499" t="s">
        <v>1039</v>
      </c>
      <c r="F20" s="500"/>
      <c r="G20" s="501"/>
      <c r="H20" s="469"/>
      <c r="I20" s="469"/>
      <c r="J20" s="127"/>
      <c r="K20" s="127"/>
      <c r="L20" s="127"/>
      <c r="M20" s="127"/>
      <c r="N20" s="551" t="str">
        <f ca="1">IF($A$2=1,"",IF(OR(OP!$C$42&gt;0,OP!$C$44&gt;0),"本保件如符合本公司保費折扣條件，","")&amp;IF(AND(OP!$C$42&gt;0,OP!$C$44&gt;0),"首、續期享有1%保費折扣",IF(AND(OP!$C$42=0,OP!$C$44&gt;0),"續期享有1%保費折扣",IF(AND(OP!$C$42&gt;0,OP!$C$44=0),"首期享有1%保費折扣",""))))</f>
        <v>本保件如符合本公司保費折扣條件，首、續期享有1%保費折扣</v>
      </c>
      <c r="O20" s="551"/>
      <c r="P20" s="551"/>
      <c r="Q20" s="551"/>
      <c r="R20" s="551"/>
      <c r="S20" s="552"/>
      <c r="T20" s="3"/>
    </row>
    <row r="21" spans="1:20" ht="17.25" customHeight="1">
      <c r="A21" s="5"/>
      <c r="B21" s="391"/>
      <c r="C21" s="169" t="str">
        <f ca="1">IF($A$2=1,"",OP!K12&amp;OP!K13)</f>
        <v/>
      </c>
      <c r="D21" s="169"/>
      <c r="E21" s="169"/>
      <c r="F21" s="169"/>
      <c r="G21" s="169"/>
      <c r="H21" s="169"/>
      <c r="I21" s="169"/>
      <c r="J21" s="169"/>
      <c r="K21" s="169"/>
      <c r="L21" s="169"/>
      <c r="M21" s="169"/>
      <c r="N21" s="170"/>
      <c r="O21" s="170"/>
      <c r="P21" s="170"/>
      <c r="Q21" s="170"/>
      <c r="R21" s="171" t="str">
        <f>OP!$F$39</f>
        <v/>
      </c>
      <c r="S21" s="403"/>
      <c r="T21" s="3"/>
    </row>
    <row r="22" spans="1:20" ht="6" customHeight="1">
      <c r="A22" s="5"/>
      <c r="B22" s="394"/>
      <c r="C22" s="281"/>
      <c r="D22" s="281"/>
      <c r="E22" s="281"/>
      <c r="F22" s="281"/>
      <c r="G22" s="281"/>
      <c r="H22" s="281"/>
      <c r="I22" s="281"/>
      <c r="J22" s="281"/>
      <c r="K22" s="436"/>
      <c r="L22" s="281"/>
      <c r="M22" s="281"/>
      <c r="N22" s="437"/>
      <c r="O22" s="437"/>
      <c r="P22" s="437"/>
      <c r="Q22" s="437"/>
      <c r="R22" s="437"/>
      <c r="S22" s="406"/>
      <c r="T22" s="3"/>
    </row>
    <row r="23" spans="1:20" ht="6" customHeight="1">
      <c r="A23" s="5"/>
      <c r="B23" s="385"/>
      <c r="C23" s="37"/>
      <c r="D23" s="37"/>
      <c r="E23" s="37"/>
      <c r="F23" s="37"/>
      <c r="G23" s="37"/>
      <c r="H23" s="37"/>
      <c r="I23" s="37"/>
      <c r="J23" s="37"/>
      <c r="K23" s="42"/>
      <c r="L23" s="37"/>
      <c r="M23" s="37"/>
      <c r="N23" s="34"/>
      <c r="O23" s="34"/>
      <c r="P23" s="34"/>
      <c r="Q23" s="34"/>
      <c r="R23" s="34"/>
      <c r="S23" s="404"/>
      <c r="T23" s="3"/>
    </row>
    <row r="24" spans="1:20" ht="17.25" customHeight="1">
      <c r="A24" s="5"/>
      <c r="B24" s="385"/>
      <c r="C24" s="438"/>
      <c r="D24" s="37"/>
      <c r="E24" s="37"/>
      <c r="F24" s="45" t="s">
        <v>982</v>
      </c>
      <c r="G24" s="37"/>
      <c r="H24" s="37"/>
      <c r="I24" s="37"/>
      <c r="J24" s="37"/>
      <c r="K24" s="42"/>
      <c r="L24" s="37"/>
      <c r="M24" s="37"/>
      <c r="N24" s="34"/>
      <c r="O24" s="34"/>
      <c r="P24" s="34"/>
      <c r="Q24" s="34"/>
      <c r="R24" s="34"/>
      <c r="S24" s="404"/>
      <c r="T24" s="3"/>
    </row>
    <row r="25" spans="1:20" ht="6" customHeight="1">
      <c r="A25" s="5"/>
      <c r="B25" s="385"/>
      <c r="C25" s="37"/>
      <c r="D25" s="37"/>
      <c r="E25" s="37"/>
      <c r="F25" s="37"/>
      <c r="G25" s="37"/>
      <c r="H25" s="37"/>
      <c r="I25" s="37"/>
      <c r="J25" s="37"/>
      <c r="K25" s="42"/>
      <c r="L25" s="37"/>
      <c r="M25" s="37"/>
      <c r="N25" s="34"/>
      <c r="O25" s="34"/>
      <c r="P25" s="34"/>
      <c r="Q25" s="34"/>
      <c r="R25" s="34"/>
      <c r="S25" s="404"/>
      <c r="T25" s="3"/>
    </row>
    <row r="26" spans="1:20" ht="17.25" customHeight="1">
      <c r="A26" s="5"/>
      <c r="B26" s="385"/>
      <c r="C26" s="37"/>
      <c r="D26" s="7"/>
      <c r="E26" s="37"/>
      <c r="F26" s="45" t="s">
        <v>944</v>
      </c>
      <c r="G26" s="544">
        <v>0</v>
      </c>
      <c r="H26" s="544"/>
      <c r="I26" s="544"/>
      <c r="J26" s="439" t="str">
        <f>"  0% ~ 100%"&amp;"       約定分期給付換算比例："&amp;TEXT(PY!$C$4,"0%")</f>
        <v xml:space="preserve">  0% ~ 100%       約定分期給付換算比例：0%</v>
      </c>
      <c r="K26" s="42"/>
      <c r="L26" s="37"/>
      <c r="M26" s="440"/>
      <c r="N26" s="34"/>
      <c r="O26" s="34"/>
      <c r="P26" s="34"/>
      <c r="Q26" s="34"/>
      <c r="R26" s="34"/>
      <c r="S26" s="404"/>
      <c r="T26" s="3"/>
    </row>
    <row r="27" spans="1:20" ht="6" customHeight="1">
      <c r="A27" s="5"/>
      <c r="B27" s="385"/>
      <c r="C27" s="37"/>
      <c r="D27" s="37"/>
      <c r="E27" s="37"/>
      <c r="F27" s="37"/>
      <c r="G27" s="37"/>
      <c r="H27" s="37"/>
      <c r="I27" s="37"/>
      <c r="J27" s="37"/>
      <c r="K27" s="42"/>
      <c r="L27" s="37"/>
      <c r="M27" s="37"/>
      <c r="N27" s="34"/>
      <c r="O27" s="34"/>
      <c r="P27" s="34"/>
      <c r="Q27" s="34"/>
      <c r="R27" s="34"/>
      <c r="S27" s="404"/>
      <c r="T27" s="3"/>
    </row>
    <row r="28" spans="1:20" ht="17.25" customHeight="1">
      <c r="A28" s="5"/>
      <c r="B28" s="385"/>
      <c r="C28" s="37"/>
      <c r="D28" s="7"/>
      <c r="E28" s="37"/>
      <c r="F28" s="45" t="str">
        <f>IF(OR($G$28&lt;=0,$G$28="",$G$28&gt;1),"","假設分期定期保險金預定利率：")</f>
        <v/>
      </c>
      <c r="G28" s="545" t="str">
        <f>IF(OR($G$26&lt;=0,$G$26="",$G$26&gt;1),"",PY!$C$7)</f>
        <v/>
      </c>
      <c r="H28" s="545"/>
      <c r="I28" s="545"/>
      <c r="J28" s="432" t="str">
        <f>IF(OR($G$28&lt;=0,$G$28="",$G$28&gt;1),"","   計算分期給付金額之利率")</f>
        <v/>
      </c>
      <c r="K28" s="42"/>
      <c r="L28" s="37"/>
      <c r="M28" s="37"/>
      <c r="N28" s="34"/>
      <c r="O28" s="34"/>
      <c r="P28" s="34"/>
      <c r="Q28" s="34"/>
      <c r="R28" s="34"/>
      <c r="S28" s="404"/>
      <c r="T28" s="3"/>
    </row>
    <row r="29" spans="1:20" ht="6" customHeight="1">
      <c r="A29" s="5"/>
      <c r="B29" s="385"/>
      <c r="C29" s="37"/>
      <c r="D29" s="37"/>
      <c r="E29" s="37"/>
      <c r="F29" s="37"/>
      <c r="G29" s="37"/>
      <c r="H29" s="37"/>
      <c r="I29" s="37"/>
      <c r="J29" s="37"/>
      <c r="K29" s="42"/>
      <c r="L29" s="37"/>
      <c r="M29" s="37"/>
      <c r="N29" s="34"/>
      <c r="O29" s="34"/>
      <c r="P29" s="34"/>
      <c r="Q29" s="34"/>
      <c r="R29" s="34"/>
      <c r="S29" s="404"/>
      <c r="T29" s="3"/>
    </row>
    <row r="30" spans="1:20" ht="17.25" customHeight="1">
      <c r="A30" s="5"/>
      <c r="B30" s="385"/>
      <c r="C30" s="37"/>
      <c r="D30" s="37"/>
      <c r="E30" s="37"/>
      <c r="F30" s="45" t="str">
        <f>IF(OR($G$28&lt;=0,$G$28="",$G$28&gt;1),"","分期定期保險金給付期間：")</f>
        <v/>
      </c>
      <c r="G30" s="546">
        <v>24</v>
      </c>
      <c r="H30" s="546"/>
      <c r="I30" s="546"/>
      <c r="J30" s="37"/>
      <c r="K30" s="42"/>
      <c r="L30" s="37"/>
      <c r="M30" s="37"/>
      <c r="N30" s="34"/>
      <c r="O30" s="34"/>
      <c r="P30" s="34"/>
      <c r="Q30" s="34"/>
      <c r="R30" s="34"/>
      <c r="S30" s="404"/>
      <c r="T30" s="3"/>
    </row>
    <row r="31" spans="1:20" ht="6" customHeight="1">
      <c r="A31" s="5"/>
      <c r="B31" s="385"/>
      <c r="C31" s="37"/>
      <c r="D31" s="37"/>
      <c r="E31" s="37"/>
      <c r="F31" s="37"/>
      <c r="G31" s="37"/>
      <c r="H31" s="37"/>
      <c r="I31" s="37"/>
      <c r="J31" s="37"/>
      <c r="K31" s="42"/>
      <c r="L31" s="37"/>
      <c r="M31" s="37"/>
      <c r="N31" s="34"/>
      <c r="O31" s="34"/>
      <c r="P31" s="34"/>
      <c r="Q31" s="34"/>
      <c r="R31" s="34"/>
      <c r="S31" s="404"/>
      <c r="T31" s="3"/>
    </row>
    <row r="32" spans="1:20" ht="6" customHeight="1">
      <c r="A32" s="5"/>
      <c r="B32" s="394"/>
      <c r="C32" s="281"/>
      <c r="D32" s="281"/>
      <c r="E32" s="281"/>
      <c r="F32" s="281"/>
      <c r="G32" s="281"/>
      <c r="H32" s="281"/>
      <c r="I32" s="281"/>
      <c r="J32" s="281"/>
      <c r="K32" s="436"/>
      <c r="L32" s="281"/>
      <c r="M32" s="281"/>
      <c r="N32" s="437"/>
      <c r="O32" s="437"/>
      <c r="P32" s="437"/>
      <c r="Q32" s="437"/>
      <c r="R32" s="437"/>
      <c r="S32" s="406"/>
      <c r="T32" s="3"/>
    </row>
    <row r="33" spans="1:20" ht="17.25" customHeight="1">
      <c r="A33" s="5" t="str">
        <f>OP!$D$24</f>
        <v/>
      </c>
      <c r="B33" s="392"/>
      <c r="C33" s="45" t="s">
        <v>317</v>
      </c>
      <c r="D33" s="511">
        <v>20</v>
      </c>
      <c r="E33" s="511"/>
      <c r="F33" s="511"/>
      <c r="G33" s="505"/>
      <c r="H33" s="505"/>
      <c r="I33" s="505"/>
      <c r="J33" s="505"/>
      <c r="K33" s="505"/>
      <c r="L33" s="505"/>
      <c r="M33" s="192" t="s">
        <v>283</v>
      </c>
      <c r="N33" s="41"/>
      <c r="O33" s="47"/>
      <c r="P33" s="541" t="str">
        <f ca="1">IF(OR($A$2=1),"",OP!$C$32&amp;"保費：")</f>
        <v>年繳保費：</v>
      </c>
      <c r="Q33" s="541"/>
      <c r="R33" s="128">
        <f ca="1">IF($A$2=1,"",OP!$C$35)</f>
        <v>2390</v>
      </c>
      <c r="S33" s="399"/>
      <c r="T33" s="3"/>
    </row>
    <row r="34" spans="1:20" ht="6" customHeight="1">
      <c r="A34" s="5"/>
      <c r="B34" s="392"/>
      <c r="C34" s="46"/>
      <c r="D34" s="37"/>
      <c r="E34" s="37"/>
      <c r="F34" s="37"/>
      <c r="G34" s="37"/>
      <c r="H34" s="37"/>
      <c r="I34" s="37"/>
      <c r="J34" s="37"/>
      <c r="K34" s="42"/>
      <c r="L34" s="37"/>
      <c r="M34" s="37"/>
      <c r="N34" s="34"/>
      <c r="O34" s="34"/>
      <c r="P34" s="34"/>
      <c r="Q34" s="34"/>
      <c r="R34" s="34"/>
      <c r="S34" s="399"/>
      <c r="T34" s="3"/>
    </row>
    <row r="35" spans="1:20" ht="17.25" customHeight="1">
      <c r="A35" s="5" t="str">
        <f ca="1">IF(OR(OP!$C$28&lt;J36,OP!$C$28&gt;K36),1,"")</f>
        <v/>
      </c>
      <c r="B35" s="509" t="s">
        <v>318</v>
      </c>
      <c r="C35" s="510"/>
      <c r="D35" s="512" t="s">
        <v>1011</v>
      </c>
      <c r="E35" s="512"/>
      <c r="F35" s="512"/>
      <c r="G35" s="555" t="s">
        <v>11</v>
      </c>
      <c r="H35" s="556"/>
      <c r="I35" s="556"/>
      <c r="J35" s="498">
        <v>10</v>
      </c>
      <c r="K35" s="498"/>
      <c r="L35" s="498"/>
      <c r="M35" s="542" t="str">
        <f ca="1">IF(OR(D35="",K36&lt;J36),"",TEXT(J36,IF(OP!$E$28=0,"#,##0 ","#,##0.0 ")&amp;"萬")&amp;" ~ "&amp;TEXT(K36,IF(OP!$E$28=0,"#,##0 ","#,##0.0 ")&amp;"萬"))</f>
        <v>10.0 萬 ~ 500.0 萬</v>
      </c>
      <c r="N35" s="542"/>
      <c r="O35" s="542" t="str">
        <f ca="1">IF(OP!$D$64=1,OP!$E$64,IF(OR($A$2=1),"",IF(OP!$C$37&gt;0,"本保件享 "&amp;TEXT(OP!$C$37,"0.0%")&amp;OP!$B$37,"")&amp;IF(OP!I25=3,OP!D40,"")))</f>
        <v/>
      </c>
      <c r="P35" s="542"/>
      <c r="Q35" s="542"/>
      <c r="R35" s="542"/>
      <c r="S35" s="543"/>
      <c r="T35" s="3"/>
    </row>
    <row r="36" spans="1:20" ht="6" customHeight="1">
      <c r="B36" s="392"/>
      <c r="C36" s="46"/>
      <c r="D36" s="37"/>
      <c r="E36" s="37"/>
      <c r="F36" s="37"/>
      <c r="G36" s="43"/>
      <c r="H36" s="43"/>
      <c r="I36" s="43"/>
      <c r="J36" s="44">
        <f>OP!$C$26</f>
        <v>10</v>
      </c>
      <c r="K36" s="13">
        <f ca="1">OP!$C$27</f>
        <v>500</v>
      </c>
      <c r="L36" s="43"/>
      <c r="M36" s="34"/>
      <c r="N36" s="34"/>
      <c r="O36" s="34"/>
      <c r="P36" s="34"/>
      <c r="Q36" s="34"/>
      <c r="R36" s="34"/>
      <c r="S36" s="399"/>
      <c r="T36" s="3"/>
    </row>
    <row r="37" spans="1:20" s="5" customFormat="1" ht="17.25" customHeight="1">
      <c r="B37" s="392"/>
      <c r="C37" s="283" t="str">
        <f ca="1">IF(OR(O7&gt;O5,D35="",M35="保額超過限制，請修正"),"","保險年期：")</f>
        <v>保險年期：</v>
      </c>
      <c r="D37" s="507" t="str">
        <f ca="1">IF(OR(O7&gt;O5,D35="",M35="保額超過限制，請修正"),"","屆滿84歲")</f>
        <v>屆滿84歲</v>
      </c>
      <c r="E37" s="507"/>
      <c r="F37" s="507"/>
      <c r="G37" s="507"/>
      <c r="H37" s="507"/>
      <c r="I37" s="507"/>
      <c r="J37" s="507"/>
      <c r="K37" s="507"/>
      <c r="L37" s="507"/>
      <c r="M37" s="37"/>
      <c r="N37" s="34"/>
      <c r="O37" s="508" t="str">
        <f ca="1">IF(OR(OP!$C$24=1,$A$2=1),"",IF(OP!$C$46&gt;0,"折扣後","")&amp;OP!$C$32&amp;"首期保費：")</f>
        <v>折扣後年繳首期保費：</v>
      </c>
      <c r="P37" s="508"/>
      <c r="Q37" s="508"/>
      <c r="R37" s="128">
        <f ca="1">IF(OR($A$2=1,OP!$C$24=1),"",OP!$C$48)</f>
        <v>2366</v>
      </c>
      <c r="S37" s="399"/>
    </row>
    <row r="38" spans="1:20" s="5" customFormat="1" ht="6" customHeight="1">
      <c r="B38" s="385"/>
      <c r="C38" s="32"/>
      <c r="D38" s="39"/>
      <c r="E38" s="39"/>
      <c r="F38" s="39"/>
      <c r="G38" s="37"/>
      <c r="H38" s="37"/>
      <c r="I38" s="37"/>
      <c r="J38" s="37"/>
      <c r="K38" s="42"/>
      <c r="L38" s="37"/>
      <c r="M38" s="37"/>
      <c r="N38" s="34"/>
      <c r="O38" s="34"/>
      <c r="P38" s="31"/>
      <c r="Q38" s="31"/>
      <c r="R38" s="48"/>
      <c r="S38" s="399"/>
    </row>
    <row r="39" spans="1:20" s="5" customFormat="1" ht="17.25" customHeight="1">
      <c r="B39" s="513" t="str">
        <f ca="1">OP!$D$122</f>
        <v xml:space="preserve"> </v>
      </c>
      <c r="C39" s="514"/>
      <c r="D39" s="514"/>
      <c r="E39" s="514"/>
      <c r="F39" s="514"/>
      <c r="G39" s="514"/>
      <c r="H39" s="514"/>
      <c r="I39" s="514"/>
      <c r="J39" s="514"/>
      <c r="K39" s="514"/>
      <c r="L39" s="514"/>
      <c r="M39" s="514"/>
      <c r="N39" s="514"/>
      <c r="O39" s="508" t="str">
        <f ca="1">IF(OR(OP!$C$24=1,A2=1),"",IF(OP!$C$47&gt;0,"折扣後","")&amp;OP!$C$32&amp;"續期保費：")</f>
        <v>折扣後年繳續期保費：</v>
      </c>
      <c r="P39" s="508"/>
      <c r="Q39" s="508"/>
      <c r="R39" s="128">
        <f ca="1">IF(OR($A$2=1,OP!$C$24=1),"",OP!$C$49)</f>
        <v>2366</v>
      </c>
      <c r="S39" s="399"/>
    </row>
    <row r="40" spans="1:20" s="5" customFormat="1" ht="18" customHeight="1">
      <c r="B40" s="553" t="s">
        <v>231</v>
      </c>
      <c r="C40" s="554"/>
      <c r="D40" s="554"/>
      <c r="E40" s="554"/>
      <c r="F40" s="554"/>
      <c r="G40" s="554"/>
      <c r="H40" s="554"/>
      <c r="I40" s="554"/>
      <c r="J40" s="554"/>
      <c r="K40" s="554"/>
      <c r="L40" s="554"/>
      <c r="M40" s="554"/>
      <c r="N40" s="34"/>
      <c r="O40" s="31"/>
      <c r="P40" s="31"/>
      <c r="Q40" s="31"/>
      <c r="R40" s="144" t="str">
        <f>OP!D47</f>
        <v/>
      </c>
      <c r="S40" s="399"/>
    </row>
    <row r="41" spans="1:20" s="5" customFormat="1" ht="20.100000000000001" hidden="1" customHeight="1" thickTop="1">
      <c r="B41" s="393"/>
      <c r="C41" s="145"/>
      <c r="D41" s="146"/>
      <c r="E41" s="106"/>
      <c r="F41" s="106"/>
      <c r="G41" s="106"/>
      <c r="H41" s="106"/>
      <c r="I41" s="106"/>
      <c r="J41" s="106"/>
      <c r="K41" s="106"/>
      <c r="L41" s="106"/>
      <c r="M41" s="106"/>
      <c r="N41" s="107"/>
      <c r="O41" s="107"/>
      <c r="P41" s="107"/>
      <c r="Q41" s="107"/>
      <c r="R41" s="107"/>
      <c r="S41" s="405"/>
    </row>
    <row r="42" spans="1:20" s="5" customFormat="1" ht="4.5" customHeight="1">
      <c r="B42" s="385"/>
      <c r="C42" s="172"/>
      <c r="D42" s="173"/>
      <c r="E42" s="174"/>
      <c r="F42" s="175"/>
      <c r="G42" s="175"/>
      <c r="H42" s="175"/>
      <c r="I42" s="176"/>
      <c r="J42" s="176"/>
      <c r="K42" s="176"/>
      <c r="L42" s="177"/>
      <c r="M42" s="178"/>
      <c r="N42" s="174"/>
      <c r="O42" s="174"/>
      <c r="P42" s="174"/>
      <c r="Q42" s="179"/>
      <c r="R42" s="180"/>
      <c r="S42" s="404"/>
    </row>
    <row r="43" spans="1:20" ht="6" customHeight="1">
      <c r="B43" s="394"/>
      <c r="C43" s="181"/>
      <c r="D43" s="181"/>
      <c r="E43" s="181"/>
      <c r="F43" s="181"/>
      <c r="G43" s="181"/>
      <c r="H43" s="181"/>
      <c r="I43" s="181"/>
      <c r="J43" s="181"/>
      <c r="K43" s="182"/>
      <c r="L43" s="182"/>
      <c r="M43" s="182"/>
      <c r="N43" s="181"/>
      <c r="O43" s="181"/>
      <c r="P43" s="181"/>
      <c r="Q43" s="182"/>
      <c r="R43" s="182"/>
      <c r="S43" s="406"/>
    </row>
    <row r="44" spans="1:20" ht="21" customHeight="1">
      <c r="B44" s="515" t="str">
        <f>OP!C54</f>
        <v>V1.2-1150101</v>
      </c>
      <c r="C44" s="516"/>
      <c r="D44" s="165"/>
      <c r="E44" s="166"/>
      <c r="F44" s="166"/>
      <c r="G44" s="166"/>
      <c r="H44" s="166"/>
      <c r="I44" s="167"/>
      <c r="J44" s="167"/>
      <c r="K44" s="167"/>
      <c r="L44" s="167"/>
      <c r="M44" s="167"/>
      <c r="N44" s="167"/>
      <c r="O44" s="377" t="str">
        <f>IF(OP!$I$25=3,"員工轉帳件專用","")</f>
        <v/>
      </c>
      <c r="P44" s="168" t="s">
        <v>304</v>
      </c>
      <c r="Q44" s="506" t="str">
        <f ca="1">TEXT(YEAR(OP!$C$3)-1911,"000")&amp;TEXT(MONTH(OP!$C$3),"00")&amp;TEXT(DAY(OP!$C$3),"00")</f>
        <v>1150101</v>
      </c>
      <c r="R44" s="506"/>
      <c r="S44" s="407"/>
    </row>
    <row r="45" spans="1:20" hidden="1">
      <c r="B45" s="502"/>
      <c r="C45" s="503"/>
      <c r="D45" s="503"/>
      <c r="E45" s="503"/>
      <c r="F45" s="503"/>
      <c r="G45" s="503"/>
      <c r="H45" s="503"/>
      <c r="I45" s="503"/>
      <c r="J45" s="503"/>
      <c r="K45" s="503"/>
      <c r="L45" s="503"/>
      <c r="M45" s="503"/>
      <c r="N45" s="503"/>
      <c r="O45" s="503"/>
      <c r="P45" s="503"/>
      <c r="Q45" s="503"/>
      <c r="R45" s="503"/>
      <c r="S45" s="504"/>
    </row>
    <row r="46" spans="1:20" hidden="1">
      <c r="B46" s="395"/>
      <c r="C46" s="5"/>
      <c r="D46" s="5"/>
      <c r="E46" s="6"/>
      <c r="F46" s="5"/>
      <c r="G46" s="5"/>
      <c r="H46" s="5"/>
      <c r="I46" s="5"/>
      <c r="J46" s="5"/>
      <c r="K46" s="5"/>
      <c r="S46" s="408"/>
    </row>
    <row r="47" spans="1:20" hidden="1">
      <c r="B47" s="395"/>
      <c r="C47" s="5"/>
      <c r="D47" s="5"/>
      <c r="E47" s="6"/>
      <c r="F47" s="5"/>
      <c r="G47" s="5"/>
      <c r="H47" s="5"/>
      <c r="I47" s="5"/>
      <c r="J47" s="5"/>
      <c r="K47" s="5"/>
      <c r="S47" s="408"/>
    </row>
    <row r="48" spans="1:20" ht="19.5" hidden="1">
      <c r="B48" s="415"/>
      <c r="C48" s="7"/>
      <c r="D48" s="416" t="s">
        <v>818</v>
      </c>
      <c r="E48" s="547">
        <v>50000</v>
      </c>
      <c r="F48" s="548"/>
      <c r="G48" s="548"/>
      <c r="H48" s="549"/>
      <c r="I48" s="417"/>
      <c r="J48" s="7"/>
      <c r="K48" s="418"/>
      <c r="L48" s="418"/>
      <c r="M48" s="419" t="s">
        <v>819</v>
      </c>
      <c r="N48" s="420">
        <f ca="1">OP!$C$62</f>
        <v>209.2</v>
      </c>
      <c r="O48" s="421" t="s">
        <v>820</v>
      </c>
      <c r="P48" s="422"/>
      <c r="Q48" s="423"/>
      <c r="R48" s="423"/>
      <c r="S48" s="408"/>
    </row>
    <row r="49" spans="2:19" hidden="1">
      <c r="B49" s="395"/>
      <c r="C49" s="5"/>
      <c r="D49" s="5"/>
      <c r="E49" s="5"/>
      <c r="F49" s="5"/>
      <c r="G49" s="5"/>
      <c r="H49" s="5"/>
      <c r="I49" s="5"/>
      <c r="J49" s="5"/>
      <c r="K49" s="5"/>
      <c r="S49" s="408"/>
    </row>
    <row r="50" spans="2:19" hidden="1">
      <c r="B50" s="395"/>
      <c r="C50" s="5"/>
      <c r="D50" s="5"/>
      <c r="E50" s="5"/>
      <c r="F50" s="5"/>
      <c r="G50" s="5"/>
      <c r="H50" s="5"/>
      <c r="I50" s="5"/>
      <c r="J50" s="5"/>
      <c r="K50" s="5"/>
      <c r="S50" s="408"/>
    </row>
    <row r="51" spans="2:19" hidden="1">
      <c r="B51" s="384"/>
      <c r="S51" s="408"/>
    </row>
    <row r="52" spans="2:19" hidden="1">
      <c r="B52" s="384"/>
      <c r="S52" s="408"/>
    </row>
    <row r="53" spans="2:19" hidden="1">
      <c r="B53" s="384"/>
      <c r="S53" s="408"/>
    </row>
    <row r="54" spans="2:19" hidden="1">
      <c r="B54" s="384"/>
      <c r="S54" s="408"/>
    </row>
    <row r="55" spans="2:19" hidden="1">
      <c r="B55" s="384"/>
      <c r="S55" s="408"/>
    </row>
    <row r="56" spans="2:19" hidden="1">
      <c r="B56" s="384"/>
      <c r="S56" s="408"/>
    </row>
    <row r="57" spans="2:19" hidden="1">
      <c r="B57" s="384"/>
      <c r="S57" s="408"/>
    </row>
    <row r="58" spans="2:19" hidden="1">
      <c r="B58" s="384"/>
      <c r="S58" s="408"/>
    </row>
    <row r="59" spans="2:19" hidden="1">
      <c r="B59" s="384"/>
      <c r="S59" s="408"/>
    </row>
    <row r="60" spans="2:19" hidden="1">
      <c r="B60" s="384"/>
      <c r="S60" s="408"/>
    </row>
    <row r="61" spans="2:19" hidden="1">
      <c r="B61" s="384"/>
      <c r="S61" s="408"/>
    </row>
    <row r="62" spans="2:19" hidden="1">
      <c r="B62" s="384"/>
      <c r="S62" s="408"/>
    </row>
    <row r="63" spans="2:19" hidden="1">
      <c r="B63" s="384"/>
      <c r="S63" s="408"/>
    </row>
    <row r="64" spans="2:19" hidden="1">
      <c r="B64" s="384"/>
      <c r="S64" s="408"/>
    </row>
    <row r="65" spans="2:19" hidden="1">
      <c r="B65" s="384"/>
      <c r="S65" s="408"/>
    </row>
    <row r="66" spans="2:19" hidden="1">
      <c r="B66" s="384"/>
      <c r="S66" s="408"/>
    </row>
    <row r="67" spans="2:19" hidden="1">
      <c r="B67" s="384"/>
      <c r="S67" s="408"/>
    </row>
    <row r="68" spans="2:19" hidden="1">
      <c r="B68" s="384"/>
      <c r="S68" s="408"/>
    </row>
    <row r="69" spans="2:19" hidden="1">
      <c r="B69" s="384"/>
      <c r="S69" s="408"/>
    </row>
    <row r="70" spans="2:19" hidden="1">
      <c r="B70" s="384"/>
      <c r="S70" s="408"/>
    </row>
    <row r="71" spans="2:19" hidden="1">
      <c r="B71" s="384"/>
      <c r="S71" s="408"/>
    </row>
    <row r="72" spans="2:19" hidden="1">
      <c r="B72" s="384"/>
      <c r="S72" s="408"/>
    </row>
    <row r="73" spans="2:19" hidden="1">
      <c r="B73" s="384"/>
      <c r="S73" s="408"/>
    </row>
    <row r="74" spans="2:19" hidden="1">
      <c r="B74" s="384"/>
      <c r="S74" s="408"/>
    </row>
    <row r="75" spans="2:19" hidden="1">
      <c r="B75" s="384"/>
      <c r="S75" s="408"/>
    </row>
    <row r="76" spans="2:19" hidden="1">
      <c r="B76" s="384"/>
      <c r="S76" s="408"/>
    </row>
    <row r="77" spans="2:19" hidden="1">
      <c r="B77" s="384"/>
      <c r="S77" s="408"/>
    </row>
    <row r="78" spans="2:19" hidden="1">
      <c r="B78" s="384"/>
      <c r="S78" s="408"/>
    </row>
    <row r="79" spans="2:19" hidden="1">
      <c r="B79" s="384"/>
      <c r="S79" s="408"/>
    </row>
    <row r="80" spans="2:19" hidden="1">
      <c r="B80" s="384"/>
      <c r="S80" s="408"/>
    </row>
    <row r="81" spans="2:19" hidden="1">
      <c r="B81" s="384"/>
      <c r="S81" s="408"/>
    </row>
    <row r="82" spans="2:19" hidden="1">
      <c r="B82" s="384"/>
      <c r="S82" s="408"/>
    </row>
    <row r="83" spans="2:19" hidden="1">
      <c r="B83" s="384"/>
      <c r="S83" s="408"/>
    </row>
    <row r="84" spans="2:19" hidden="1">
      <c r="B84" s="384"/>
      <c r="S84" s="408"/>
    </row>
    <row r="85" spans="2:19" hidden="1">
      <c r="B85" s="384"/>
      <c r="S85" s="408"/>
    </row>
    <row r="86" spans="2:19" hidden="1">
      <c r="B86" s="384"/>
      <c r="S86" s="408"/>
    </row>
    <row r="87" spans="2:19" hidden="1">
      <c r="B87" s="384"/>
      <c r="S87" s="408"/>
    </row>
    <row r="88" spans="2:19" hidden="1">
      <c r="B88" s="384"/>
      <c r="S88" s="408"/>
    </row>
    <row r="89" spans="2:19" hidden="1">
      <c r="B89" s="384"/>
      <c r="S89" s="408"/>
    </row>
    <row r="90" spans="2:19" hidden="1">
      <c r="B90" s="384"/>
      <c r="S90" s="408"/>
    </row>
    <row r="91" spans="2:19" hidden="1">
      <c r="B91" s="384"/>
      <c r="S91" s="408"/>
    </row>
    <row r="92" spans="2:19" hidden="1">
      <c r="B92" s="384"/>
      <c r="S92" s="408"/>
    </row>
    <row r="93" spans="2:19" hidden="1">
      <c r="B93" s="384"/>
      <c r="S93" s="408"/>
    </row>
    <row r="94" spans="2:19" hidden="1">
      <c r="B94" s="384"/>
      <c r="S94" s="408"/>
    </row>
    <row r="95" spans="2:19" hidden="1">
      <c r="B95" s="384"/>
      <c r="S95" s="408"/>
    </row>
    <row r="96" spans="2:19" hidden="1">
      <c r="B96" s="384"/>
      <c r="S96" s="408"/>
    </row>
    <row r="97" spans="2:19" hidden="1">
      <c r="B97" s="384"/>
      <c r="S97" s="408"/>
    </row>
    <row r="98" spans="2:19" hidden="1">
      <c r="B98" s="384"/>
      <c r="S98" s="408"/>
    </row>
    <row r="99" spans="2:19" hidden="1">
      <c r="B99" s="384"/>
      <c r="S99" s="408"/>
    </row>
    <row r="100" spans="2:19" hidden="1">
      <c r="B100" s="384"/>
      <c r="S100" s="408"/>
    </row>
    <row r="101" spans="2:19" hidden="1">
      <c r="B101" s="384"/>
      <c r="S101" s="408"/>
    </row>
    <row r="102" spans="2:19" hidden="1">
      <c r="B102" s="384"/>
      <c r="S102" s="408"/>
    </row>
    <row r="103" spans="2:19" hidden="1">
      <c r="B103" s="384"/>
      <c r="S103" s="408"/>
    </row>
    <row r="104" spans="2:19" hidden="1">
      <c r="B104" s="384"/>
      <c r="S104" s="408"/>
    </row>
    <row r="105" spans="2:19" hidden="1">
      <c r="B105" s="384"/>
      <c r="S105" s="408"/>
    </row>
    <row r="106" spans="2:19" hidden="1">
      <c r="B106" s="384"/>
      <c r="S106" s="408"/>
    </row>
    <row r="107" spans="2:19" hidden="1">
      <c r="B107" s="384"/>
      <c r="S107" s="408"/>
    </row>
    <row r="108" spans="2:19" hidden="1">
      <c r="B108" s="384"/>
      <c r="S108" s="408"/>
    </row>
    <row r="109" spans="2:19" hidden="1">
      <c r="B109" s="384"/>
      <c r="S109" s="408"/>
    </row>
    <row r="110" spans="2:19" hidden="1">
      <c r="B110" s="384"/>
      <c r="S110" s="408"/>
    </row>
    <row r="111" spans="2:19" hidden="1">
      <c r="B111" s="384"/>
      <c r="S111" s="408"/>
    </row>
    <row r="112" spans="2:19" hidden="1">
      <c r="B112" s="384"/>
      <c r="S112" s="408"/>
    </row>
    <row r="113" spans="2:19" hidden="1">
      <c r="B113" s="384"/>
      <c r="S113" s="408"/>
    </row>
    <row r="114" spans="2:19" hidden="1">
      <c r="B114" s="384"/>
      <c r="S114" s="408"/>
    </row>
    <row r="115" spans="2:19" hidden="1">
      <c r="B115" s="384"/>
      <c r="S115" s="408"/>
    </row>
    <row r="116" spans="2:19" hidden="1">
      <c r="B116" s="384"/>
      <c r="S116" s="408"/>
    </row>
    <row r="117" spans="2:19" hidden="1">
      <c r="B117" s="384"/>
      <c r="S117" s="408"/>
    </row>
    <row r="118" spans="2:19" hidden="1">
      <c r="B118" s="384"/>
      <c r="S118" s="408"/>
    </row>
    <row r="119" spans="2:19" hidden="1">
      <c r="B119" s="384"/>
      <c r="S119" s="408"/>
    </row>
    <row r="120" spans="2:19" hidden="1">
      <c r="B120" s="384"/>
      <c r="S120" s="408"/>
    </row>
    <row r="121" spans="2:19" hidden="1">
      <c r="B121" s="384"/>
      <c r="S121" s="408"/>
    </row>
    <row r="122" spans="2:19" hidden="1">
      <c r="B122" s="384"/>
      <c r="S122" s="408"/>
    </row>
    <row r="123" spans="2:19" hidden="1">
      <c r="B123" s="384"/>
      <c r="S123" s="408"/>
    </row>
    <row r="124" spans="2:19" hidden="1">
      <c r="B124" s="384"/>
      <c r="S124" s="408"/>
    </row>
    <row r="125" spans="2:19" hidden="1">
      <c r="B125" s="384"/>
      <c r="S125" s="408"/>
    </row>
    <row r="126" spans="2:19" hidden="1">
      <c r="B126" s="384"/>
      <c r="S126" s="408"/>
    </row>
    <row r="127" spans="2:19" hidden="1">
      <c r="B127" s="384"/>
      <c r="S127" s="408"/>
    </row>
    <row r="128" spans="2:19" hidden="1">
      <c r="B128" s="384"/>
      <c r="S128" s="408"/>
    </row>
    <row r="129" spans="2:19" hidden="1">
      <c r="B129" s="384"/>
      <c r="S129" s="408"/>
    </row>
    <row r="130" spans="2:19" hidden="1">
      <c r="B130" s="384"/>
      <c r="S130" s="408"/>
    </row>
    <row r="131" spans="2:19" hidden="1">
      <c r="B131" s="384"/>
      <c r="S131" s="408"/>
    </row>
    <row r="132" spans="2:19" hidden="1">
      <c r="B132" s="384"/>
      <c r="S132" s="408"/>
    </row>
    <row r="133" spans="2:19" hidden="1">
      <c r="B133" s="384"/>
      <c r="S133" s="408"/>
    </row>
    <row r="134" spans="2:19" hidden="1">
      <c r="B134" s="384"/>
      <c r="S134" s="408"/>
    </row>
    <row r="135" spans="2:19" hidden="1">
      <c r="B135" s="384"/>
      <c r="S135" s="408"/>
    </row>
    <row r="136" spans="2:19" hidden="1">
      <c r="B136" s="384"/>
      <c r="S136" s="408"/>
    </row>
    <row r="137" spans="2:19" hidden="1">
      <c r="B137" s="384"/>
      <c r="S137" s="408"/>
    </row>
    <row r="138" spans="2:19" hidden="1">
      <c r="B138" s="384"/>
      <c r="S138" s="408"/>
    </row>
    <row r="139" spans="2:19" hidden="1">
      <c r="B139" s="384"/>
      <c r="S139" s="408"/>
    </row>
    <row r="140" spans="2:19" hidden="1">
      <c r="B140" s="384"/>
      <c r="S140" s="408"/>
    </row>
    <row r="141" spans="2:19" hidden="1">
      <c r="B141" s="384"/>
      <c r="S141" s="408"/>
    </row>
    <row r="142" spans="2:19" hidden="1">
      <c r="B142" s="384"/>
      <c r="S142" s="408"/>
    </row>
    <row r="143" spans="2:19" hidden="1">
      <c r="B143" s="384"/>
      <c r="S143" s="408"/>
    </row>
    <row r="144" spans="2:19" hidden="1">
      <c r="B144" s="384"/>
      <c r="S144" s="408"/>
    </row>
    <row r="145" spans="2:19" hidden="1">
      <c r="B145" s="384"/>
      <c r="S145" s="408"/>
    </row>
    <row r="146" spans="2:19" hidden="1">
      <c r="B146" s="384"/>
      <c r="S146" s="408"/>
    </row>
    <row r="147" spans="2:19" hidden="1">
      <c r="B147" s="384"/>
      <c r="S147" s="408"/>
    </row>
    <row r="148" spans="2:19" hidden="1">
      <c r="B148" s="384"/>
      <c r="S148" s="408"/>
    </row>
    <row r="149" spans="2:19" hidden="1">
      <c r="B149" s="384"/>
      <c r="S149" s="408"/>
    </row>
    <row r="150" spans="2:19" hidden="1">
      <c r="B150" s="384"/>
      <c r="S150" s="408"/>
    </row>
    <row r="151" spans="2:19" hidden="1">
      <c r="B151" s="384"/>
      <c r="S151" s="408"/>
    </row>
    <row r="152" spans="2:19" hidden="1">
      <c r="B152" s="384"/>
      <c r="S152" s="408"/>
    </row>
    <row r="153" spans="2:19" hidden="1">
      <c r="B153" s="384"/>
      <c r="S153" s="408"/>
    </row>
    <row r="154" spans="2:19" hidden="1">
      <c r="B154" s="384"/>
      <c r="S154" s="408"/>
    </row>
    <row r="155" spans="2:19" hidden="1">
      <c r="B155" s="384"/>
      <c r="S155" s="408"/>
    </row>
    <row r="156" spans="2:19" hidden="1">
      <c r="B156" s="384"/>
      <c r="S156" s="408"/>
    </row>
    <row r="157" spans="2:19" hidden="1">
      <c r="B157" s="384"/>
      <c r="S157" s="408"/>
    </row>
    <row r="158" spans="2:19" hidden="1">
      <c r="B158" s="384"/>
      <c r="S158" s="408"/>
    </row>
    <row r="159" spans="2:19" hidden="1">
      <c r="B159" s="384"/>
      <c r="S159" s="408"/>
    </row>
    <row r="160" spans="2:19" hidden="1">
      <c r="B160" s="384"/>
      <c r="S160" s="408"/>
    </row>
    <row r="161" spans="2:19" hidden="1">
      <c r="B161" s="384"/>
      <c r="S161" s="408"/>
    </row>
    <row r="162" spans="2:19" hidden="1">
      <c r="B162" s="384"/>
      <c r="S162" s="408"/>
    </row>
    <row r="163" spans="2:19" hidden="1">
      <c r="B163" s="384"/>
      <c r="S163" s="408"/>
    </row>
    <row r="164" spans="2:19" hidden="1">
      <c r="B164" s="384"/>
      <c r="S164" s="408"/>
    </row>
    <row r="165" spans="2:19" hidden="1">
      <c r="B165" s="384"/>
      <c r="S165" s="408"/>
    </row>
    <row r="166" spans="2:19" hidden="1">
      <c r="B166" s="384"/>
      <c r="S166" s="408"/>
    </row>
    <row r="167" spans="2:19" hidden="1">
      <c r="B167" s="384"/>
      <c r="S167" s="408"/>
    </row>
    <row r="168" spans="2:19" hidden="1">
      <c r="B168" s="384"/>
      <c r="S168" s="408"/>
    </row>
    <row r="169" spans="2:19" hidden="1">
      <c r="B169" s="384"/>
      <c r="S169" s="408"/>
    </row>
    <row r="170" spans="2:19" hidden="1">
      <c r="B170" s="384"/>
      <c r="S170" s="408"/>
    </row>
    <row r="171" spans="2:19" hidden="1">
      <c r="B171" s="384"/>
      <c r="S171" s="408"/>
    </row>
    <row r="172" spans="2:19" hidden="1">
      <c r="B172" s="384"/>
      <c r="S172" s="408"/>
    </row>
    <row r="173" spans="2:19" hidden="1">
      <c r="B173" s="384"/>
      <c r="S173" s="408"/>
    </row>
    <row r="174" spans="2:19" hidden="1">
      <c r="B174" s="384"/>
      <c r="S174" s="408"/>
    </row>
    <row r="175" spans="2:19" hidden="1">
      <c r="B175" s="384"/>
      <c r="S175" s="408"/>
    </row>
    <row r="176" spans="2:19" hidden="1">
      <c r="B176" s="384"/>
      <c r="S176" s="408"/>
    </row>
    <row r="177" spans="2:19" hidden="1">
      <c r="B177" s="384"/>
      <c r="S177" s="408"/>
    </row>
    <row r="178" spans="2:19" hidden="1">
      <c r="B178" s="384"/>
      <c r="S178" s="408"/>
    </row>
    <row r="179" spans="2:19" hidden="1">
      <c r="B179" s="384"/>
      <c r="S179" s="408"/>
    </row>
    <row r="180" spans="2:19" hidden="1">
      <c r="B180" s="384"/>
      <c r="S180" s="408"/>
    </row>
    <row r="181" spans="2:19" hidden="1">
      <c r="B181" s="384"/>
      <c r="S181" s="408"/>
    </row>
    <row r="182" spans="2:19" hidden="1">
      <c r="B182" s="384"/>
      <c r="S182" s="408"/>
    </row>
    <row r="183" spans="2:19" hidden="1">
      <c r="B183" s="384"/>
      <c r="S183" s="408"/>
    </row>
    <row r="184" spans="2:19" hidden="1">
      <c r="B184" s="384"/>
      <c r="S184" s="408"/>
    </row>
    <row r="185" spans="2:19" hidden="1">
      <c r="B185" s="384"/>
      <c r="S185" s="408"/>
    </row>
    <row r="186" spans="2:19" hidden="1">
      <c r="B186" s="384"/>
      <c r="S186" s="408"/>
    </row>
    <row r="187" spans="2:19" hidden="1">
      <c r="B187" s="384"/>
      <c r="S187" s="408"/>
    </row>
    <row r="188" spans="2:19" hidden="1">
      <c r="B188" s="384"/>
      <c r="S188" s="408"/>
    </row>
    <row r="189" spans="2:19" hidden="1">
      <c r="B189" s="384"/>
      <c r="S189" s="408"/>
    </row>
    <row r="190" spans="2:19" hidden="1">
      <c r="B190" s="384"/>
      <c r="S190" s="408"/>
    </row>
    <row r="191" spans="2:19" hidden="1">
      <c r="B191" s="384"/>
      <c r="S191" s="408"/>
    </row>
    <row r="192" spans="2:19" hidden="1">
      <c r="B192" s="384"/>
      <c r="S192" s="408"/>
    </row>
    <row r="193" spans="2:19" hidden="1">
      <c r="B193" s="384"/>
      <c r="S193" s="408"/>
    </row>
    <row r="194" spans="2:19" hidden="1">
      <c r="B194" s="384"/>
      <c r="S194" s="408"/>
    </row>
    <row r="195" spans="2:19" hidden="1">
      <c r="B195" s="384"/>
      <c r="S195" s="408"/>
    </row>
    <row r="196" spans="2:19" hidden="1">
      <c r="B196" s="384"/>
      <c r="S196" s="408"/>
    </row>
    <row r="197" spans="2:19" hidden="1">
      <c r="B197" s="384"/>
      <c r="S197" s="408"/>
    </row>
    <row r="198" spans="2:19" hidden="1">
      <c r="B198" s="384"/>
      <c r="S198" s="408"/>
    </row>
    <row r="199" spans="2:19" hidden="1">
      <c r="B199" s="384"/>
      <c r="S199" s="408"/>
    </row>
    <row r="200" spans="2:19" hidden="1">
      <c r="B200" s="384"/>
      <c r="S200" s="408"/>
    </row>
    <row r="201" spans="2:19" hidden="1">
      <c r="B201" s="384"/>
      <c r="S201" s="408"/>
    </row>
    <row r="202" spans="2:19" ht="19.5" hidden="1" customHeight="1">
      <c r="B202" s="384"/>
      <c r="D202" s="283" t="s">
        <v>803</v>
      </c>
      <c r="E202" s="495" t="s">
        <v>1075</v>
      </c>
      <c r="F202" s="496"/>
      <c r="G202" s="496"/>
      <c r="H202" s="496"/>
      <c r="I202" s="496"/>
      <c r="J202" s="496"/>
      <c r="K202" s="496"/>
      <c r="L202" s="497"/>
      <c r="O202" s="283" t="s">
        <v>764</v>
      </c>
      <c r="P202" s="495" t="s">
        <v>1076</v>
      </c>
      <c r="Q202" s="496"/>
      <c r="R202" s="497"/>
      <c r="S202" s="408"/>
    </row>
    <row r="203" spans="2:19" ht="19.5" hidden="1" customHeight="1">
      <c r="B203" s="384"/>
      <c r="D203" s="283" t="s">
        <v>804</v>
      </c>
      <c r="E203" s="495" t="s">
        <v>1075</v>
      </c>
      <c r="F203" s="496"/>
      <c r="G203" s="496"/>
      <c r="H203" s="496"/>
      <c r="I203" s="496"/>
      <c r="J203" s="496"/>
      <c r="K203" s="496"/>
      <c r="L203" s="497"/>
      <c r="S203" s="409" t="s">
        <v>765</v>
      </c>
    </row>
    <row r="204" spans="2:19" ht="19.5" hidden="1" customHeight="1">
      <c r="B204" s="384"/>
      <c r="D204" s="283" t="s">
        <v>805</v>
      </c>
      <c r="E204" s="495" t="s">
        <v>1075</v>
      </c>
      <c r="F204" s="496"/>
      <c r="G204" s="496"/>
      <c r="H204" s="496"/>
      <c r="I204" s="496"/>
      <c r="J204" s="496"/>
      <c r="K204" s="496"/>
      <c r="L204" s="497"/>
      <c r="S204" s="408"/>
    </row>
    <row r="205" spans="2:19" ht="19.5" hidden="1" customHeight="1">
      <c r="B205" s="384"/>
      <c r="D205" s="283" t="s">
        <v>806</v>
      </c>
      <c r="E205" s="495" t="s">
        <v>1075</v>
      </c>
      <c r="F205" s="496"/>
      <c r="G205" s="496"/>
      <c r="H205" s="496"/>
      <c r="I205" s="496"/>
      <c r="J205" s="496"/>
      <c r="K205" s="496"/>
      <c r="L205" s="497"/>
      <c r="S205" s="408"/>
    </row>
    <row r="206" spans="2:19" ht="19.5" hidden="1" customHeight="1">
      <c r="B206" s="384"/>
      <c r="D206" s="283" t="s">
        <v>807</v>
      </c>
      <c r="E206" s="495" t="s">
        <v>1075</v>
      </c>
      <c r="F206" s="496"/>
      <c r="G206" s="496"/>
      <c r="H206" s="496"/>
      <c r="I206" s="496"/>
      <c r="J206" s="496"/>
      <c r="K206" s="496"/>
      <c r="L206" s="497"/>
      <c r="S206" s="408"/>
    </row>
    <row r="207" spans="2:19" ht="19.5" hidden="1" customHeight="1">
      <c r="B207" s="410"/>
      <c r="C207" s="170"/>
      <c r="D207" s="170"/>
      <c r="E207" s="170"/>
      <c r="F207" s="170"/>
      <c r="G207" s="170"/>
      <c r="H207" s="170"/>
      <c r="I207" s="170"/>
      <c r="J207" s="170"/>
      <c r="K207" s="170"/>
      <c r="L207" s="411"/>
      <c r="M207" s="411"/>
      <c r="N207" s="170"/>
      <c r="O207" s="170"/>
      <c r="P207" s="170"/>
      <c r="Q207" s="170"/>
      <c r="R207" s="170"/>
      <c r="S207" s="403"/>
    </row>
    <row r="208" spans="2:19" ht="19.5" hidden="1" customHeight="1"/>
  </sheetData>
  <sheetProtection algorithmName="SHA-512" hashValue="c5hrZDm/7q6nAuUvYWFW1Tc+RoH3RYhY+u5zBc9mDLeL2WLaF1NxgOZ6h6qEyBqALcVS2qqLFqN3QGDE2N3y8Q==" saltValue="bzWJSTUzO2BBCC93dAJRiQ==" spinCount="100000" sheet="1" objects="1" scenarios="1" selectLockedCells="1"/>
  <mergeCells count="48">
    <mergeCell ref="E203:L203"/>
    <mergeCell ref="O13:P13"/>
    <mergeCell ref="P33:Q33"/>
    <mergeCell ref="M35:N35"/>
    <mergeCell ref="O35:S35"/>
    <mergeCell ref="G26:I26"/>
    <mergeCell ref="G28:I28"/>
    <mergeCell ref="G30:I30"/>
    <mergeCell ref="E48:H48"/>
    <mergeCell ref="C19:N19"/>
    <mergeCell ref="N20:S20"/>
    <mergeCell ref="Q19:R19"/>
    <mergeCell ref="H17:N17"/>
    <mergeCell ref="B40:M40"/>
    <mergeCell ref="G35:I35"/>
    <mergeCell ref="P202:R202"/>
    <mergeCell ref="K12:R12"/>
    <mergeCell ref="E202:L202"/>
    <mergeCell ref="B2:S2"/>
    <mergeCell ref="O5:P5"/>
    <mergeCell ref="E5:H5"/>
    <mergeCell ref="B5:C7"/>
    <mergeCell ref="Q17:R17"/>
    <mergeCell ref="I7:M7"/>
    <mergeCell ref="K5:L5"/>
    <mergeCell ref="E12:H12"/>
    <mergeCell ref="E13:H13"/>
    <mergeCell ref="E14:H14"/>
    <mergeCell ref="I14:L14"/>
    <mergeCell ref="O14:P14"/>
    <mergeCell ref="E7:H7"/>
    <mergeCell ref="E17:G17"/>
    <mergeCell ref="E205:L205"/>
    <mergeCell ref="E206:L206"/>
    <mergeCell ref="J35:L35"/>
    <mergeCell ref="E204:L204"/>
    <mergeCell ref="E20:G20"/>
    <mergeCell ref="B45:S45"/>
    <mergeCell ref="G33:L33"/>
    <mergeCell ref="Q44:R44"/>
    <mergeCell ref="D37:L37"/>
    <mergeCell ref="O37:Q37"/>
    <mergeCell ref="O39:Q39"/>
    <mergeCell ref="B35:C35"/>
    <mergeCell ref="D33:F33"/>
    <mergeCell ref="D35:F35"/>
    <mergeCell ref="B39:N39"/>
    <mergeCell ref="B44:C44"/>
  </mergeCells>
  <phoneticPr fontId="5" type="noConversion"/>
  <conditionalFormatting sqref="D12">
    <cfRule type="expression" dxfId="28" priority="13" stopIfTrue="1">
      <formula>$O$12="本人"</formula>
    </cfRule>
  </conditionalFormatting>
  <conditionalFormatting sqref="D35:F35">
    <cfRule type="expression" dxfId="27" priority="40" stopIfTrue="1">
      <formula>OR($D$35="",$A$33=1)</formula>
    </cfRule>
  </conditionalFormatting>
  <conditionalFormatting sqref="E20">
    <cfRule type="expression" dxfId="26" priority="7">
      <formula>$A$20=1</formula>
    </cfRule>
    <cfRule type="expression" dxfId="25" priority="16" stopIfTrue="1">
      <formula>$A$17=1</formula>
    </cfRule>
    <cfRule type="cellIs" dxfId="24" priority="17" stopIfTrue="1" operator="equal">
      <formula>""</formula>
    </cfRule>
  </conditionalFormatting>
  <conditionalFormatting sqref="E17:G17">
    <cfRule type="expression" dxfId="23" priority="33" stopIfTrue="1">
      <formula>$A$17=1</formula>
    </cfRule>
    <cfRule type="cellIs" dxfId="22" priority="34" stopIfTrue="1" operator="equal">
      <formula>""</formula>
    </cfRule>
  </conditionalFormatting>
  <conditionalFormatting sqref="E5:H5">
    <cfRule type="cellIs" dxfId="21" priority="24" stopIfTrue="1" operator="equal">
      <formula>""</formula>
    </cfRule>
  </conditionalFormatting>
  <conditionalFormatting sqref="E7:H7">
    <cfRule type="expression" dxfId="20" priority="25" stopIfTrue="1">
      <formula>$A$7=1</formula>
    </cfRule>
    <cfRule type="cellIs" dxfId="19" priority="26" stopIfTrue="1" operator="equal">
      <formula>""</formula>
    </cfRule>
  </conditionalFormatting>
  <conditionalFormatting sqref="E12:H12 K12">
    <cfRule type="expression" dxfId="18" priority="12" stopIfTrue="1">
      <formula>$O$12="本人"</formula>
    </cfRule>
  </conditionalFormatting>
  <conditionalFormatting sqref="E13:H13">
    <cfRule type="expression" dxfId="17" priority="8" stopIfTrue="1">
      <formula>$E$12="同被保險人"</formula>
    </cfRule>
  </conditionalFormatting>
  <conditionalFormatting sqref="E13:H14">
    <cfRule type="expression" dxfId="16" priority="5">
      <formula>$D$13=""</formula>
    </cfRule>
  </conditionalFormatting>
  <conditionalFormatting sqref="E14:H14">
    <cfRule type="expression" dxfId="15" priority="9">
      <formula>$O$12="本人"</formula>
    </cfRule>
  </conditionalFormatting>
  <conditionalFormatting sqref="G30:I30">
    <cfRule type="expression" dxfId="14" priority="1" stopIfTrue="1">
      <formula>OR($G$26&lt;=0,$G$26&gt;1,$G$26="")</formula>
    </cfRule>
  </conditionalFormatting>
  <conditionalFormatting sqref="J35:L35">
    <cfRule type="expression" dxfId="13" priority="29" stopIfTrue="1">
      <formula>$A$35=1</formula>
    </cfRule>
    <cfRule type="cellIs" dxfId="12" priority="30" stopIfTrue="1" operator="equal">
      <formula>""</formula>
    </cfRule>
  </conditionalFormatting>
  <conditionalFormatting sqref="K5:L5">
    <cfRule type="expression" dxfId="11" priority="27" stopIfTrue="1">
      <formula>$A$5=1</formula>
    </cfRule>
    <cfRule type="cellIs" dxfId="10" priority="28" stopIfTrue="1" operator="equal">
      <formula>""</formula>
    </cfRule>
  </conditionalFormatting>
  <conditionalFormatting sqref="O14">
    <cfRule type="expression" dxfId="9" priority="10">
      <formula>$O$12="本人"</formula>
    </cfRule>
  </conditionalFormatting>
  <conditionalFormatting sqref="O13:P14">
    <cfRule type="expression" dxfId="8" priority="3">
      <formula>$N$13=""</formula>
    </cfRule>
  </conditionalFormatting>
  <conditionalFormatting sqref="Q17:R17">
    <cfRule type="cellIs" dxfId="7" priority="35" stopIfTrue="1" operator="equal">
      <formula>""</formula>
    </cfRule>
    <cfRule type="expression" dxfId="6" priority="36" stopIfTrue="1">
      <formula>$T$17=1</formula>
    </cfRule>
  </conditionalFormatting>
  <conditionalFormatting sqref="Q19:R19">
    <cfRule type="cellIs" dxfId="5" priority="37" stopIfTrue="1" operator="equal">
      <formula>""</formula>
    </cfRule>
    <cfRule type="expression" dxfId="4" priority="38" stopIfTrue="1">
      <formula>$D$35="XWO"</formula>
    </cfRule>
    <cfRule type="expression" dxfId="3" priority="39" stopIfTrue="1">
      <formula>$T$19=1</formula>
    </cfRule>
  </conditionalFormatting>
  <conditionalFormatting sqref="S9">
    <cfRule type="expression" dxfId="2" priority="19" stopIfTrue="1">
      <formula>#REF!&lt;14</formula>
    </cfRule>
  </conditionalFormatting>
  <dataValidations xWindow="286" yWindow="286" count="16">
    <dataValidation type="decimal" allowBlank="1" showErrorMessage="1" errorTitle="保額錯誤" error="請注意承保保額限制" sqref="J35:L35" xr:uid="{00000000-0002-0000-0400-000000000000}">
      <formula1>J36</formula1>
      <formula2>K36</formula2>
    </dataValidation>
    <dataValidation type="list" allowBlank="1" showInputMessage="1" showErrorMessage="1" errorTitle="性別" error="性別輸入錯誤" sqref="K5:L5" xr:uid="{00000000-0002-0000-0400-000001000000}">
      <formula1>"男,女"</formula1>
    </dataValidation>
    <dataValidation allowBlank="1" showInputMessage="1" showErrorMessage="1" errorTitle="性別" error="性別輸入錯誤" sqref="M5" xr:uid="{00000000-0002-0000-0400-000002000000}"/>
    <dataValidation allowBlank="1" showInputMessage="1" showErrorMessage="1" promptTitle="6位數輸入生日" prompt="請以六位數輸入生日_x000a_EX_x000a_52年5月28日_x000a_→520528_x000a_48年9月1日_x000a_→480901" sqref="E8:H8" xr:uid="{00000000-0002-0000-0400-000003000000}"/>
    <dataValidation allowBlank="1" showInputMessage="1" showErrorMessage="1" errorTitle="繳別" error="繳別錯誤" sqref="Q18:R18" xr:uid="{00000000-0002-0000-0400-000004000000}"/>
    <dataValidation allowBlank="1" showInputMessage="1" showErrorMessage="1" errorTitle="繳法" error="繳法錯誤" sqref="E18:G18 H20:I20" xr:uid="{00000000-0002-0000-0400-000005000000}"/>
    <dataValidation type="list" allowBlank="1" showInputMessage="1" showErrorMessage="1" errorTitle="繳法" error="繳法錯誤" sqref="E17:G17" xr:uid="{00000000-0002-0000-0400-000006000000}">
      <formula1>"年繳,半年繳,季繳,月繳"</formula1>
    </dataValidation>
    <dataValidation type="list" allowBlank="1" showInputMessage="1" showErrorMessage="1" errorTitle="繳費方式" error="繳費方式錯誤" sqref="Q19:R19" xr:uid="{00000000-0002-0000-0400-000007000000}">
      <formula1>"金融機構轉帳,一般信用卡,富邦信用卡,自行繳費"</formula1>
    </dataValidation>
    <dataValidation type="list" allowBlank="1" showInputMessage="1" showErrorMessage="1" errorTitle="繳費方式" error="繳費方式錯誤" sqref="Q17:R17" xr:uid="{00000000-0002-0000-0400-000008000000}">
      <formula1>"匯款,金融機構轉帳,一般信用卡,富邦信用卡"</formula1>
    </dataValidation>
    <dataValidation type="list" allowBlank="1" showInputMessage="1" showErrorMessage="1" errorTitle="繳法" error="繳法錯誤" sqref="E20" xr:uid="{00000000-0002-0000-0400-000009000000}">
      <formula1>"無,員工轉帳件"</formula1>
    </dataValidation>
    <dataValidation type="list" allowBlank="1" showInputMessage="1" showErrorMessage="1" sqref="P202:R202" xr:uid="{00000000-0002-0000-0400-00000A000000}">
      <formula1>"保障,房屋貸款,個人退休規劃,子女教育經費,其他(請自行填入)"</formula1>
    </dataValidation>
    <dataValidation type="custom" errorStyle="warning" allowBlank="1" showInputMessage="1" showErrorMessage="1" errorTitle="共同招攬人" error="無共同招攬人請勿填入任何內容" promptTitle="共同招攬人" prompt="無共同招攬人請勿填入任何內容" sqref="E205:L205" xr:uid="{00000000-0002-0000-0400-00000B000000}">
      <formula1>$E$205=""</formula1>
    </dataValidation>
    <dataValidation type="custom" errorStyle="warning" allowBlank="1" showInputMessage="1" showErrorMessage="1" errorTitle="共同招攬人" error="無共同招攬人請勿填入任何內容" promptTitle="共同招攬人" prompt="無共同招攬人請勿填入任何內容" sqref="E206:L206" xr:uid="{00000000-0002-0000-0400-00000C000000}">
      <formula1>$E$206=""</formula1>
    </dataValidation>
    <dataValidation type="list" allowBlank="1" showInputMessage="1" showErrorMessage="1" sqref="E12:H12" xr:uid="{00000000-0002-0000-0400-00000D000000}">
      <formula1>關係</formula1>
    </dataValidation>
    <dataValidation type="list" allowBlank="1" showInputMessage="1" showErrorMessage="1" sqref="G30:I30" xr:uid="{00000000-0002-0000-0400-00000E000000}">
      <formula1>"6,12,24"</formula1>
    </dataValidation>
    <dataValidation type="decimal" allowBlank="1" showInputMessage="1" showErrorMessage="1" sqref="G26:I26" xr:uid="{00000000-0002-0000-0400-00000F000000}">
      <formula1>0</formula1>
      <formula2>1</formula2>
    </dataValidation>
  </dataValidations>
  <printOptions horizontalCentered="1"/>
  <pageMargins left="0.74803149606299213" right="0.74803149606299213" top="0.98425196850393704" bottom="0.98425196850393704" header="0.51181102362204722" footer="0.51181102362204722"/>
  <pageSetup paperSize="9" scale="61" orientation="portrait" horizontalDpi="1200" verticalDpi="1200" r:id="rId1"/>
  <headerFooter alignWithMargins="0"/>
  <extLst>
    <ext xmlns:x14="http://schemas.microsoft.com/office/spreadsheetml/2009/9/main" uri="{CCE6A557-97BC-4b89-ADB6-D9C93CAAB3DF}">
      <x14:dataValidations xmlns:xm="http://schemas.microsoft.com/office/excel/2006/main" xWindow="286" yWindow="286" count="3">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6或7位數輸入生日" prompt="請以六或七位數輸入生日_x000a_EX_x000a_100年 1月 1日_x000a_→ 1000101_x000a_48年9月1日_x000a_→480901" xr:uid="{00000000-0002-0000-0400-000010000000}">
          <x14:formula1>
            <xm:f>OP!C156</xm:f>
          </x14:formula1>
          <xm:sqref>E7:H7</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1000000}">
          <x14:formula1>
            <xm:f>OP!C156</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2000000}">
          <x14:formula1>
            <xm:f>OP!C156</xm:f>
          </x14:formula1>
          <xm:sqref>E14:H14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X415"/>
  <sheetViews>
    <sheetView showGridLines="0" showRowColHeaders="0" view="pageBreakPreview" zoomScale="130" zoomScaleNormal="130" zoomScaleSheetLayoutView="130" workbookViewId="0">
      <selection activeCell="B5" sqref="B5:M5"/>
    </sheetView>
  </sheetViews>
  <sheetFormatPr defaultColWidth="0" defaultRowHeight="14.25" zeroHeight="1"/>
  <cols>
    <col min="1" max="1" width="0.6640625" style="7" customWidth="1"/>
    <col min="2" max="3" width="4.83203125" style="7" customWidth="1"/>
    <col min="4" max="21" width="5.5" style="7" customWidth="1"/>
    <col min="22" max="23" width="5.33203125" style="7" customWidth="1"/>
    <col min="24" max="24" width="0.6640625" style="7" customWidth="1"/>
    <col min="25" max="16384" width="0" style="7" hidden="1"/>
  </cols>
  <sheetData>
    <row r="1" spans="1:23" ht="3.75" customHeight="1"/>
    <row r="2" spans="1:23" ht="21.95" customHeight="1">
      <c r="A2" s="11" t="str">
        <f ca="1">OP!$D$53</f>
        <v/>
      </c>
      <c r="B2" s="600" t="str">
        <f>輸入頁!B2</f>
        <v>富邦人壽優卡安心重大傷病健康保險建議書</v>
      </c>
      <c r="C2" s="600"/>
      <c r="D2" s="600"/>
      <c r="E2" s="600"/>
      <c r="F2" s="600"/>
      <c r="G2" s="600"/>
      <c r="H2" s="600"/>
      <c r="I2" s="600"/>
      <c r="J2" s="600"/>
      <c r="K2" s="600"/>
      <c r="L2" s="600"/>
      <c r="M2" s="600"/>
      <c r="N2" s="601"/>
      <c r="O2" s="601"/>
      <c r="P2" s="601"/>
      <c r="Q2" s="601"/>
      <c r="R2" s="600"/>
      <c r="S2" s="600"/>
      <c r="T2" s="600"/>
      <c r="U2" s="600"/>
      <c r="V2" s="600"/>
      <c r="W2" s="600"/>
    </row>
    <row r="3" spans="1:23" ht="4.5" hidden="1" customHeight="1">
      <c r="A3" s="10"/>
    </row>
    <row r="4" spans="1:23" s="133" customFormat="1" ht="15" customHeight="1">
      <c r="A4" s="361"/>
      <c r="B4" s="569" t="s">
        <v>285</v>
      </c>
      <c r="C4" s="569"/>
      <c r="D4" s="560"/>
      <c r="E4" s="570" t="str">
        <f>OP!$C$73</f>
        <v>客戶</v>
      </c>
      <c r="F4" s="571"/>
      <c r="G4" s="571"/>
      <c r="H4" s="571"/>
      <c r="I4" s="571"/>
      <c r="J4" s="571"/>
      <c r="M4" s="374" t="s">
        <v>12</v>
      </c>
      <c r="N4" s="564">
        <f ca="1">OP!$D$5</f>
        <v>0</v>
      </c>
      <c r="O4" s="565"/>
      <c r="P4" s="472"/>
      <c r="Q4" s="374" t="s">
        <v>1</v>
      </c>
      <c r="R4" s="138" t="str">
        <f>輸入頁!K5</f>
        <v>男</v>
      </c>
      <c r="S4" s="563" t="str">
        <f>OP!$D$94</f>
        <v>本保單計價幣別：新臺幣</v>
      </c>
      <c r="T4" s="560"/>
      <c r="U4" s="560"/>
      <c r="V4" s="560"/>
      <c r="W4" s="560"/>
    </row>
    <row r="5" spans="1:23" s="369" customFormat="1" ht="12" customHeight="1">
      <c r="A5" s="378"/>
      <c r="B5" s="572" t="s">
        <v>2</v>
      </c>
      <c r="C5" s="573"/>
      <c r="D5" s="573"/>
      <c r="E5" s="573"/>
      <c r="F5" s="573"/>
      <c r="G5" s="573"/>
      <c r="H5" s="573"/>
      <c r="I5" s="573"/>
      <c r="J5" s="573"/>
      <c r="K5" s="574"/>
      <c r="L5" s="574"/>
      <c r="M5" s="574"/>
      <c r="N5" s="572" t="s">
        <v>3</v>
      </c>
      <c r="O5" s="573"/>
      <c r="P5" s="573"/>
      <c r="Q5" s="572" t="s">
        <v>10</v>
      </c>
      <c r="R5" s="573"/>
      <c r="S5" s="573"/>
      <c r="T5" s="607" t="str">
        <f>OP!$C$32&amp;"應繳保費/元"</f>
        <v>年繳應繳保費/元</v>
      </c>
      <c r="U5" s="607"/>
      <c r="V5" s="607"/>
      <c r="W5" s="607"/>
    </row>
    <row r="6" spans="1:23" s="135" customFormat="1" ht="12" customHeight="1">
      <c r="A6" s="35">
        <v>1</v>
      </c>
      <c r="B6" s="575" t="str">
        <f ca="1">OP!$D$93</f>
        <v>富邦人壽優卡安心重大傷病健康保險(繳費20年)</v>
      </c>
      <c r="C6" s="574"/>
      <c r="D6" s="574"/>
      <c r="E6" s="574"/>
      <c r="F6" s="574"/>
      <c r="G6" s="574"/>
      <c r="H6" s="574"/>
      <c r="I6" s="574"/>
      <c r="J6" s="574"/>
      <c r="K6" s="574"/>
      <c r="L6" s="574"/>
      <c r="M6" s="574"/>
      <c r="N6" s="576" t="str">
        <f ca="1">IF($A$2=1,"",OP!$C$22)</f>
        <v>SDJ</v>
      </c>
      <c r="O6" s="573"/>
      <c r="P6" s="573"/>
      <c r="Q6" s="577" t="str">
        <f ca="1">IF($A$2=1,"",TEXT(OP!$C$28,IF(OP!$E$28=0,"#,##0 ","#,##0.0 "))&amp;"萬")</f>
        <v>10.0 萬</v>
      </c>
      <c r="R6" s="574"/>
      <c r="S6" s="574"/>
      <c r="T6" s="609">
        <f ca="1">IF($A$2=1,"",OP!C35)</f>
        <v>2390</v>
      </c>
      <c r="U6" s="609"/>
      <c r="V6" s="609"/>
      <c r="W6" s="609"/>
    </row>
    <row r="7" spans="1:23" s="369" customFormat="1" ht="12" customHeight="1">
      <c r="A7" s="378"/>
      <c r="B7" s="364" t="str">
        <f ca="1">OP!$D$91</f>
        <v>本保件符合保費折扣條件：首、續期繳費方式 1%折扣。</v>
      </c>
      <c r="C7" s="365"/>
      <c r="D7" s="365"/>
      <c r="E7" s="365"/>
      <c r="F7" s="365"/>
      <c r="G7" s="365"/>
      <c r="H7" s="365"/>
      <c r="I7" s="365"/>
      <c r="J7" s="365"/>
      <c r="K7" s="365"/>
      <c r="L7" s="365"/>
      <c r="M7" s="365"/>
      <c r="N7" s="478"/>
      <c r="O7" s="478"/>
      <c r="P7" s="478"/>
      <c r="Q7" s="478"/>
      <c r="R7" s="365"/>
      <c r="S7" s="365"/>
      <c r="T7" s="365"/>
      <c r="U7" s="365"/>
      <c r="V7" s="365"/>
      <c r="W7" s="366" t="str">
        <f>IF(OP!I25=3,"員工轉帳件專用","")</f>
        <v/>
      </c>
    </row>
    <row r="8" spans="1:23" s="369" customFormat="1" ht="12" customHeight="1">
      <c r="A8" s="378"/>
      <c r="B8" s="570" t="str">
        <f ca="1">OP!$D$92</f>
        <v xml:space="preserve">年繳總保費 2,390元，首期折扣後保費 2,366 元 ，續期折扣後保費 2,366 元 </v>
      </c>
      <c r="C8" s="570"/>
      <c r="D8" s="570"/>
      <c r="E8" s="570"/>
      <c r="F8" s="570"/>
      <c r="G8" s="570"/>
      <c r="H8" s="570"/>
      <c r="I8" s="570"/>
      <c r="J8" s="570"/>
      <c r="K8" s="570"/>
      <c r="L8" s="570"/>
      <c r="M8" s="570"/>
      <c r="N8" s="570"/>
      <c r="O8" s="570"/>
      <c r="P8" s="570"/>
      <c r="Q8" s="570"/>
      <c r="R8" s="570"/>
      <c r="S8" s="570"/>
      <c r="T8" s="570"/>
      <c r="U8" s="570"/>
      <c r="V8" s="570"/>
      <c r="W8" s="570"/>
    </row>
    <row r="9" spans="1:23" ht="12.95" hidden="1" customHeight="1" thickBot="1">
      <c r="A9" s="10"/>
      <c r="B9" s="608"/>
      <c r="C9" s="608"/>
      <c r="D9" s="608"/>
      <c r="E9" s="608"/>
      <c r="F9" s="608"/>
      <c r="G9" s="608"/>
      <c r="H9" s="608"/>
      <c r="I9" s="608"/>
      <c r="J9" s="608"/>
      <c r="K9" s="608"/>
      <c r="L9" s="608"/>
      <c r="M9" s="608"/>
      <c r="N9" s="608"/>
      <c r="O9" s="608"/>
      <c r="P9" s="608"/>
      <c r="Q9" s="608"/>
      <c r="R9" s="608"/>
      <c r="S9" s="608"/>
      <c r="T9" s="608"/>
      <c r="U9" s="608"/>
      <c r="V9" s="608"/>
      <c r="W9" s="608"/>
    </row>
    <row r="10" spans="1:23" ht="3.75" customHeight="1">
      <c r="A10" s="10"/>
      <c r="B10" s="611"/>
      <c r="C10" s="612"/>
      <c r="D10" s="612"/>
      <c r="E10" s="612"/>
      <c r="F10" s="612"/>
      <c r="G10" s="612"/>
      <c r="H10" s="612"/>
      <c r="I10" s="612"/>
      <c r="J10" s="612"/>
      <c r="K10" s="612"/>
      <c r="L10" s="612"/>
      <c r="M10" s="612"/>
      <c r="N10" s="612"/>
      <c r="O10" s="612"/>
      <c r="P10" s="612"/>
      <c r="Q10" s="612"/>
      <c r="R10" s="612"/>
      <c r="S10" s="612"/>
      <c r="T10" s="612"/>
      <c r="U10" s="19"/>
      <c r="V10" s="18"/>
      <c r="W10" s="18"/>
    </row>
    <row r="11" spans="1:23" ht="18" customHeight="1">
      <c r="A11" s="10"/>
      <c r="B11" s="561" t="str">
        <f ca="1">IF($A$2=1,"","SDJ第二保單年度起之續期健康管理保險費折扣")</f>
        <v>SDJ第二保單年度起之續期健康管理保險費折扣</v>
      </c>
      <c r="C11" s="561"/>
      <c r="D11" s="561"/>
      <c r="E11" s="561"/>
      <c r="F11" s="561"/>
      <c r="G11" s="561"/>
      <c r="H11" s="561"/>
      <c r="I11" s="561"/>
      <c r="J11" s="561"/>
      <c r="K11" s="561"/>
      <c r="L11" s="561"/>
      <c r="M11" s="561"/>
      <c r="N11" s="562"/>
      <c r="O11" s="562"/>
      <c r="P11" s="562"/>
      <c r="Q11" s="562"/>
      <c r="R11" s="561"/>
      <c r="S11" s="561"/>
      <c r="T11" s="561"/>
      <c r="U11" s="561"/>
      <c r="V11" s="561"/>
      <c r="W11" s="561"/>
    </row>
    <row r="12" spans="1:23" ht="6" customHeight="1">
      <c r="A12" s="10"/>
      <c r="B12" s="354"/>
      <c r="C12" s="355"/>
      <c r="D12" s="355"/>
      <c r="E12" s="355"/>
      <c r="F12" s="355"/>
      <c r="G12" s="355"/>
      <c r="H12" s="355"/>
      <c r="I12" s="355"/>
      <c r="J12" s="355"/>
      <c r="K12" s="355"/>
      <c r="L12" s="355"/>
      <c r="M12" s="355"/>
      <c r="N12" s="355"/>
      <c r="O12" s="355"/>
      <c r="P12" s="355"/>
      <c r="Q12" s="355"/>
      <c r="R12" s="355"/>
      <c r="S12" s="355"/>
      <c r="T12" s="355"/>
      <c r="U12" s="19"/>
      <c r="V12" s="18"/>
      <c r="W12" s="18"/>
    </row>
    <row r="13" spans="1:23" s="363" customFormat="1">
      <c r="A13" s="362"/>
      <c r="B13" s="578" t="str">
        <f ca="1">IF($A$2=1,"",OP!$L$43)</f>
        <v>健康管理保險費折扣項目</v>
      </c>
      <c r="C13" s="581"/>
      <c r="D13" s="581"/>
      <c r="E13" s="581"/>
      <c r="F13" s="581"/>
      <c r="G13" s="582"/>
      <c r="H13" s="582"/>
      <c r="I13" s="582"/>
      <c r="J13" s="582"/>
      <c r="K13" s="578" t="str">
        <f ca="1">IF($A$2=1,"",OP!$M$43)</f>
        <v>SDJ折扣率</v>
      </c>
      <c r="L13" s="558"/>
      <c r="M13" s="558"/>
      <c r="N13" s="578" t="str">
        <f ca="1">IF($A$2=1,"",OP!$N$43)</f>
        <v>SDJ續年度折扣後實繳保費(含續期繳費方式折扣1%)</v>
      </c>
      <c r="O13" s="558"/>
      <c r="P13" s="558"/>
      <c r="Q13" s="558"/>
      <c r="R13" s="558"/>
      <c r="S13" s="558"/>
      <c r="T13" s="558"/>
      <c r="U13" s="558"/>
      <c r="V13" s="558"/>
      <c r="W13" s="558"/>
    </row>
    <row r="14" spans="1:23">
      <c r="A14" s="10"/>
      <c r="B14" s="578" t="str">
        <f ca="1">IF($A$2=1,"",OP!$L$44)</f>
        <v>指定疫苗接種或健康檢查</v>
      </c>
      <c r="C14" s="573"/>
      <c r="D14" s="573"/>
      <c r="E14" s="573"/>
      <c r="F14" s="573"/>
      <c r="G14" s="582"/>
      <c r="H14" s="582"/>
      <c r="I14" s="582"/>
      <c r="J14" s="582"/>
      <c r="K14" s="580">
        <f ca="1">IF($A$2=1,"",OP!$M$44)</f>
        <v>0.01</v>
      </c>
      <c r="L14" s="558"/>
      <c r="M14" s="558"/>
      <c r="N14" s="579" t="str">
        <f ca="1">IF($A$2=1,"",TEXT(OP!$N44,"#,### 元"))</f>
        <v>2,342 元</v>
      </c>
      <c r="O14" s="558"/>
      <c r="P14" s="558"/>
      <c r="Q14" s="558"/>
      <c r="R14" s="558"/>
      <c r="S14" s="558"/>
      <c r="T14" s="558"/>
      <c r="U14" s="558"/>
      <c r="V14" s="558"/>
      <c r="W14" s="558"/>
    </row>
    <row r="15" spans="1:23" s="363" customFormat="1">
      <c r="A15" s="362"/>
      <c r="B15" s="357" t="s">
        <v>629</v>
      </c>
      <c r="C15" s="367"/>
      <c r="D15" s="367"/>
      <c r="E15" s="367"/>
      <c r="F15" s="367"/>
      <c r="G15" s="367"/>
      <c r="H15" s="367"/>
      <c r="I15" s="367"/>
      <c r="J15" s="367"/>
      <c r="K15" s="367"/>
      <c r="L15" s="367"/>
      <c r="M15" s="367"/>
      <c r="N15" s="367"/>
      <c r="O15" s="367"/>
      <c r="P15" s="367"/>
      <c r="Q15" s="367"/>
      <c r="R15" s="367"/>
      <c r="S15" s="367"/>
      <c r="T15" s="367"/>
      <c r="U15" s="19"/>
      <c r="V15" s="18"/>
      <c r="W15" s="18"/>
    </row>
    <row r="16" spans="1:23" ht="6" customHeight="1">
      <c r="A16" s="10"/>
      <c r="B16" s="354"/>
      <c r="C16" s="355"/>
      <c r="D16" s="355"/>
      <c r="E16" s="355"/>
      <c r="F16" s="355"/>
      <c r="G16" s="355"/>
      <c r="H16" s="355"/>
      <c r="I16" s="355"/>
      <c r="J16" s="355"/>
      <c r="K16" s="355"/>
      <c r="L16" s="355"/>
      <c r="M16" s="355"/>
      <c r="N16" s="355"/>
      <c r="O16" s="355"/>
      <c r="P16" s="355"/>
      <c r="Q16" s="355"/>
      <c r="R16" s="355"/>
      <c r="S16" s="355"/>
      <c r="T16" s="355"/>
      <c r="U16" s="372"/>
      <c r="V16" s="18"/>
      <c r="W16" s="18"/>
    </row>
    <row r="17" spans="2:24" ht="18" customHeight="1">
      <c r="B17" s="561" t="s">
        <v>754</v>
      </c>
      <c r="C17" s="561"/>
      <c r="D17" s="561"/>
      <c r="E17" s="561"/>
      <c r="F17" s="561"/>
      <c r="G17" s="561"/>
      <c r="H17" s="561"/>
      <c r="I17" s="561"/>
      <c r="J17" s="561"/>
      <c r="K17" s="561"/>
      <c r="L17" s="561"/>
      <c r="M17" s="561"/>
      <c r="N17" s="562"/>
      <c r="O17" s="562"/>
      <c r="P17" s="562"/>
      <c r="Q17" s="562"/>
      <c r="R17" s="561"/>
      <c r="S17" s="561"/>
      <c r="T17" s="561"/>
      <c r="U17" s="561"/>
      <c r="V17" s="561"/>
      <c r="W17" s="561"/>
      <c r="X17" s="9"/>
    </row>
    <row r="18" spans="2:24" ht="3.75" customHeight="1">
      <c r="B18" s="229"/>
      <c r="C18" s="229"/>
      <c r="D18" s="230"/>
      <c r="E18" s="230"/>
      <c r="F18" s="229"/>
      <c r="G18" s="229"/>
      <c r="H18" s="230"/>
      <c r="I18" s="230"/>
      <c r="J18" s="15"/>
      <c r="K18" s="15"/>
      <c r="L18" s="231"/>
      <c r="M18" s="231"/>
      <c r="N18" s="231"/>
      <c r="O18" s="231"/>
      <c r="P18" s="231"/>
      <c r="Q18" s="231"/>
      <c r="R18" s="229"/>
      <c r="S18" s="232"/>
      <c r="T18" s="233"/>
      <c r="U18" s="234"/>
      <c r="V18" s="235"/>
      <c r="W18" s="236"/>
      <c r="X18" s="9"/>
    </row>
    <row r="19" spans="2:24" ht="69.95" customHeight="1">
      <c r="B19" s="610" t="s">
        <v>786</v>
      </c>
      <c r="C19" s="610"/>
      <c r="D19" s="610"/>
      <c r="E19" s="613" t="s">
        <v>1016</v>
      </c>
      <c r="F19" s="613"/>
      <c r="G19" s="613"/>
      <c r="H19" s="613"/>
      <c r="I19" s="613"/>
      <c r="J19" s="613"/>
      <c r="K19" s="613"/>
      <c r="L19" s="613"/>
      <c r="M19" s="613"/>
      <c r="N19" s="613"/>
      <c r="O19" s="613"/>
      <c r="P19" s="613"/>
      <c r="Q19" s="613"/>
      <c r="R19" s="613"/>
      <c r="S19" s="613"/>
      <c r="T19" s="613"/>
      <c r="U19" s="613"/>
      <c r="V19" s="613"/>
      <c r="W19" s="613"/>
      <c r="X19" s="9"/>
    </row>
    <row r="20" spans="2:24" s="24" customFormat="1" ht="16.5" customHeight="1">
      <c r="B20" s="228"/>
      <c r="C20" s="370"/>
      <c r="D20" s="370"/>
      <c r="E20" s="370"/>
      <c r="F20" s="370"/>
      <c r="G20" s="370"/>
      <c r="H20" s="370"/>
      <c r="I20" s="370"/>
      <c r="J20" s="370"/>
      <c r="K20" s="370"/>
      <c r="L20" s="370"/>
      <c r="M20" s="370"/>
      <c r="N20" s="370"/>
      <c r="O20" s="370"/>
      <c r="P20" s="370"/>
      <c r="Q20" s="370"/>
      <c r="R20" s="370"/>
      <c r="S20" s="370"/>
      <c r="U20" s="373" t="str">
        <f>IF(OP!$C$105="停售","本商品已停售","")</f>
        <v/>
      </c>
      <c r="V20" s="371"/>
      <c r="W20" s="477" t="s">
        <v>769</v>
      </c>
      <c r="X20" s="23"/>
    </row>
    <row r="21" spans="2:24" s="369" customFormat="1" ht="15" customHeight="1">
      <c r="B21" s="585" t="s">
        <v>316</v>
      </c>
      <c r="C21" s="585" t="s">
        <v>0</v>
      </c>
      <c r="D21" s="585" t="s">
        <v>631</v>
      </c>
      <c r="E21" s="586"/>
      <c r="F21" s="585" t="s">
        <v>985</v>
      </c>
      <c r="G21" s="586"/>
      <c r="H21" s="585" t="s">
        <v>752</v>
      </c>
      <c r="I21" s="586"/>
      <c r="J21" s="594" t="s">
        <v>753</v>
      </c>
      <c r="K21" s="595"/>
      <c r="L21" s="595"/>
      <c r="M21" s="595"/>
      <c r="N21" s="585" t="s">
        <v>1044</v>
      </c>
      <c r="O21" s="586"/>
      <c r="P21" s="585" t="s">
        <v>984</v>
      </c>
      <c r="Q21" s="586"/>
      <c r="R21" s="585" t="s">
        <v>826</v>
      </c>
      <c r="S21" s="586"/>
      <c r="T21" s="585" t="s">
        <v>632</v>
      </c>
      <c r="U21" s="586"/>
      <c r="V21" s="585" t="s">
        <v>761</v>
      </c>
      <c r="W21" s="586"/>
      <c r="X21" s="368"/>
    </row>
    <row r="22" spans="2:24" s="369" customFormat="1" ht="54.95" customHeight="1">
      <c r="B22" s="602"/>
      <c r="C22" s="603"/>
      <c r="D22" s="586"/>
      <c r="E22" s="586"/>
      <c r="F22" s="586"/>
      <c r="G22" s="586"/>
      <c r="H22" s="586"/>
      <c r="I22" s="586"/>
      <c r="J22" s="594" t="s">
        <v>630</v>
      </c>
      <c r="K22" s="596"/>
      <c r="L22" s="585" t="s">
        <v>767</v>
      </c>
      <c r="M22" s="597"/>
      <c r="N22" s="586"/>
      <c r="O22" s="586"/>
      <c r="P22" s="586"/>
      <c r="Q22" s="586"/>
      <c r="R22" s="586"/>
      <c r="S22" s="586"/>
      <c r="T22" s="586"/>
      <c r="U22" s="586"/>
      <c r="V22" s="586"/>
      <c r="W22" s="586"/>
      <c r="X22" s="368"/>
    </row>
    <row r="23" spans="2:24" s="21" customFormat="1" ht="12.95" customHeight="1">
      <c r="B23" s="480">
        <v>1</v>
      </c>
      <c r="C23" s="480">
        <f ca="1">IF($A$2=1,"",OP!$D$5)</f>
        <v>0</v>
      </c>
      <c r="D23" s="592">
        <f ca="1">IF(OR($A$2=1,B23&gt;OP!$C$24),"",OP!$C$51)</f>
        <v>2366</v>
      </c>
      <c r="E23" s="593"/>
      <c r="F23" s="592">
        <f ca="1">IF(OR($A$2=1,B23=""),"",N(D23))</f>
        <v>2366</v>
      </c>
      <c r="G23" s="593"/>
      <c r="H23" s="592">
        <f ca="1">IF(OR($A$2=1,B23=""),"",ROUND(VLOOKUP(OP!$C$55,DIE,$B23+1,0)*OP!$C$28,0))</f>
        <v>100000</v>
      </c>
      <c r="I23" s="593"/>
      <c r="J23" s="592">
        <f ca="1">IF(OR($A$2=1,$B23=""),"",ROUND(VLOOKUP(OP!$C$55,HL_1,$B23+1,0)*OP!$C$28,0))</f>
        <v>2533</v>
      </c>
      <c r="K23" s="593"/>
      <c r="L23" s="592">
        <f ca="1">IF(OR($A$2=1,$B23=""),"",ROUND(VLOOKUP(OP!$C$55,HL_2,$B23+1,0)*OP!$C$28,0))</f>
        <v>2533</v>
      </c>
      <c r="M23" s="593"/>
      <c r="N23" s="592">
        <f ca="1">IF(OR($A$2=1,$B23=""),"",(ROUND(VLOOKUP(OP!$C$55,HL_2,$B23+1,0)*OP!$C$28,0)+ROUND(OP!$C$28*10000*0,0)))</f>
        <v>2533</v>
      </c>
      <c r="O23" s="593"/>
      <c r="P23" s="592">
        <f ca="1">IF(OR($A$2=1,$B23=""),"",ROUND(VLOOKUP(OP!$C$55,HL_3,$B23+1,0)*OP!$C$28,0))</f>
        <v>100000</v>
      </c>
      <c r="Q23" s="593"/>
      <c r="R23" s="592">
        <f ca="1">IF(OR($A$2=1,B23=""),"",ROUND(VLOOKUP(OP!$C$55,EXP,$B23+1,0)*OP!$C$28,0))</f>
        <v>0</v>
      </c>
      <c r="S23" s="593"/>
      <c r="T23" s="592">
        <f ca="1">IF(OR($A$2=1,B23=""),"",ROUND(VLOOKUP(OP!$C$55,CV,$B23+1,0)*OP!$C$28,0))</f>
        <v>0</v>
      </c>
      <c r="U23" s="593"/>
      <c r="V23" s="592">
        <f ca="1">IF(OR($A$2=1,B23=""),"",ROUND(VLOOKUP(OP!$C$55,PA,$B23+1,0)*OP!$C$28,0))</f>
        <v>0</v>
      </c>
      <c r="W23" s="593"/>
      <c r="X23" s="22"/>
    </row>
    <row r="24" spans="2:24" s="21" customFormat="1" ht="12.95" customHeight="1">
      <c r="B24" s="481">
        <f ca="1">IF(OR(C23&gt;=OP!F$57,C23=""),"",IF(C23+1&gt;OP!$F$57,OP!$F$57+1-$B$23,B23+1))</f>
        <v>2</v>
      </c>
      <c r="C24" s="481">
        <f ca="1">IF(OR($A$2=1,MAX($C$23:C23)&gt;=OP!$F$57),"",C23+(B24-B23))</f>
        <v>1</v>
      </c>
      <c r="D24" s="590">
        <f ca="1">IF(OR($A$2=1,B24&gt;OP!$C$24),"",OP!$C$52)</f>
        <v>2366</v>
      </c>
      <c r="E24" s="591"/>
      <c r="F24" s="590">
        <f t="shared" ref="F24" ca="1" si="0">IF(OR($A$2=1,B24=""),"",N(F23)+N(D24))</f>
        <v>4732</v>
      </c>
      <c r="G24" s="591"/>
      <c r="H24" s="590">
        <f ca="1">IF(OR($A$2=1,B24=""),"",ROUND(VLOOKUP(OP!$C$55,DIE,$B24+1,0)*OP!$C$28,0))</f>
        <v>100000</v>
      </c>
      <c r="I24" s="591"/>
      <c r="J24" s="592">
        <f ca="1">IF(OR($A$2=1,$B24=""),"",ROUND(VLOOKUP(OP!$C$55,HL_1,$B24+1,0)*OP!$C$28,0))</f>
        <v>20000</v>
      </c>
      <c r="K24" s="593"/>
      <c r="L24" s="592">
        <f ca="1">IF(OR($A$2=1,$B24=""),"",ROUND(VLOOKUP(OP!$C$55,HL_2,$B24+1,0)*OP!$C$28,0))</f>
        <v>100000</v>
      </c>
      <c r="M24" s="593"/>
      <c r="N24" s="592">
        <f ca="1">IF(OR($A$2=1,$B24=""),"",(ROUND(VLOOKUP(OP!$C$55,HL_2,$B24+1,0)*OP!$C$28,0)+ROUND(OP!$C$28*10000*0.2,0)))</f>
        <v>120000</v>
      </c>
      <c r="O24" s="593"/>
      <c r="P24" s="592">
        <f ca="1">IF(OR($A$2=1,$B24=""),"",ROUND(VLOOKUP(OP!$C$55,HL_3,$B24+1,0)*OP!$C$28,0))</f>
        <v>100000</v>
      </c>
      <c r="Q24" s="593"/>
      <c r="R24" s="590">
        <f ca="1">IF(OR($A$2=1,B24=""),"",ROUND(VLOOKUP(OP!$C$55,EXP,$B24+1,0)*OP!$C$28,0))</f>
        <v>0</v>
      </c>
      <c r="S24" s="591"/>
      <c r="T24" s="590">
        <f ca="1">IF(OR($A$2=1,B24=""),"",ROUND(VLOOKUP(OP!$C$55,CV,$B24+1,0)*OP!$C$28,0))</f>
        <v>170</v>
      </c>
      <c r="U24" s="591"/>
      <c r="V24" s="590">
        <f ca="1">IF(OR($A$2=1,B24=""),"",ROUND(VLOOKUP(OP!$C$55,PA,$B24+1,0)*OP!$C$28,0))</f>
        <v>650</v>
      </c>
      <c r="W24" s="591"/>
      <c r="X24" s="22"/>
    </row>
    <row r="25" spans="2:24" s="21" customFormat="1" ht="12.95" customHeight="1">
      <c r="B25" s="481">
        <f ca="1">IF(OR(C24&gt;=OP!F$57,C24=""),"",IF(C24+1&gt;OP!$F$57,OP!$F$57+1-$B$23,B24+1))</f>
        <v>3</v>
      </c>
      <c r="C25" s="481">
        <f ca="1">IF(OR($A$2=1,MAX($C$23:C24)&gt;=OP!$F$57),"",C24+(B25-B24))</f>
        <v>2</v>
      </c>
      <c r="D25" s="590">
        <f ca="1">IF(OR($A$2=1,B25&gt;OP!$C$24),"",OP!$C$52)</f>
        <v>2366</v>
      </c>
      <c r="E25" s="591"/>
      <c r="F25" s="590">
        <f t="shared" ref="F25:F57" ca="1" si="1">IF(OR($A$2=1,B25=""),"",N(F24)+N(D25))</f>
        <v>7098</v>
      </c>
      <c r="G25" s="591"/>
      <c r="H25" s="590">
        <f ca="1">IF(OR($A$2=1,B25=""),"",ROUND(VLOOKUP(OP!$C$55,DIE,$B25+1,0)*OP!$C$28,0))</f>
        <v>100000</v>
      </c>
      <c r="I25" s="591"/>
      <c r="J25" s="592">
        <f ca="1">IF(OR($A$2=1,$B25=""),"",ROUND(VLOOKUP(OP!$C$55,HL_1,$B25+1,0)*OP!$C$28,0))</f>
        <v>20000</v>
      </c>
      <c r="K25" s="593"/>
      <c r="L25" s="592">
        <f ca="1">IF(OR($A$2=1,$B25=""),"",ROUND(VLOOKUP(OP!$C$55,HL_2,$B25+1,0)*OP!$C$28,0))</f>
        <v>100000</v>
      </c>
      <c r="M25" s="593"/>
      <c r="N25" s="592">
        <f ca="1">IF(OR($A$2=1,$B25=""),"",(ROUND(VLOOKUP(OP!$C$55,HL_2,$B25+1,0)*OP!$C$28,0)+ROUND(OP!$C$28*10000*0.2,0)))</f>
        <v>120000</v>
      </c>
      <c r="O25" s="593"/>
      <c r="P25" s="592">
        <f ca="1">IF(OR($A$2=1,$B25=""),"",ROUND(VLOOKUP(OP!$C$55,HL_3,$B25+1,0)*OP!$C$28,0))</f>
        <v>100000</v>
      </c>
      <c r="Q25" s="593"/>
      <c r="R25" s="590">
        <f ca="1">IF(OR($A$2=1,B25=""),"",ROUND(VLOOKUP(OP!$C$55,EXP,$B25+1,0)*OP!$C$28,0))</f>
        <v>0</v>
      </c>
      <c r="S25" s="591"/>
      <c r="T25" s="590">
        <f ca="1">IF(OR($A$2=1,B25=""),"",ROUND(VLOOKUP(OP!$C$55,CV,$B25+1,0)*OP!$C$28,0))</f>
        <v>340</v>
      </c>
      <c r="U25" s="591"/>
      <c r="V25" s="590">
        <f ca="1">IF(OR($A$2=1,B25=""),"",ROUND(VLOOKUP(OP!$C$55,PA,$B25+1,0)*OP!$C$28,0))</f>
        <v>1250</v>
      </c>
      <c r="W25" s="591"/>
      <c r="X25" s="22"/>
    </row>
    <row r="26" spans="2:24" s="21" customFormat="1" ht="12.95" customHeight="1">
      <c r="B26" s="481">
        <f ca="1">IF(OR(C25&gt;=OP!F$57,C25=""),"",IF(C25+1&gt;OP!$F$57,OP!$F$57+1-$B$23,B25+1))</f>
        <v>4</v>
      </c>
      <c r="C26" s="481">
        <f ca="1">IF(OR($A$2=1,MAX($C$23:C25)&gt;=OP!$F$57),"",C25+(B26-B25))</f>
        <v>3</v>
      </c>
      <c r="D26" s="590">
        <f ca="1">IF(OR($A$2=1,B26&gt;OP!$C$24),"",OP!$C$52)</f>
        <v>2366</v>
      </c>
      <c r="E26" s="591"/>
      <c r="F26" s="590">
        <f t="shared" ca="1" si="1"/>
        <v>9464</v>
      </c>
      <c r="G26" s="591"/>
      <c r="H26" s="590">
        <f ca="1">IF(OR($A$2=1,B26=""),"",ROUND(VLOOKUP(OP!$C$55,DIE,$B26+1,0)*OP!$C$28,0))</f>
        <v>100000</v>
      </c>
      <c r="I26" s="591"/>
      <c r="J26" s="592">
        <f ca="1">IF(OR($A$2=1,$B26=""),"",ROUND(VLOOKUP(OP!$C$55,HL_1,$B26+1,0)*OP!$C$28,0))</f>
        <v>20000</v>
      </c>
      <c r="K26" s="593"/>
      <c r="L26" s="592">
        <f ca="1">IF(OR($A$2=1,$B26=""),"",ROUND(VLOOKUP(OP!$C$55,HL_2,$B26+1,0)*OP!$C$28,0))</f>
        <v>100000</v>
      </c>
      <c r="M26" s="593"/>
      <c r="N26" s="592">
        <f ca="1">IF(OR($A$2=1,$B26=""),"",(ROUND(VLOOKUP(OP!$C$55,HL_2,$B26+1,0)*OP!$C$28,0)+ROUND(OP!$C$28*10000*0.2,0)))</f>
        <v>120000</v>
      </c>
      <c r="O26" s="593"/>
      <c r="P26" s="592">
        <f ca="1">IF(OR($A$2=1,$B26=""),"",ROUND(VLOOKUP(OP!$C$55,HL_3,$B26+1,0)*OP!$C$28,0))</f>
        <v>100000</v>
      </c>
      <c r="Q26" s="593"/>
      <c r="R26" s="590">
        <f ca="1">IF(OR($A$2=1,B26=""),"",ROUND(VLOOKUP(OP!$C$55,EXP,$B26+1,0)*OP!$C$28,0))</f>
        <v>0</v>
      </c>
      <c r="S26" s="591"/>
      <c r="T26" s="590">
        <f ca="1">IF(OR($A$2=1,B26=""),"",ROUND(VLOOKUP(OP!$C$55,CV,$B26+1,0)*OP!$C$28,0))</f>
        <v>520</v>
      </c>
      <c r="U26" s="591"/>
      <c r="V26" s="590">
        <f ca="1">IF(OR($A$2=1,B26=""),"",ROUND(VLOOKUP(OP!$C$55,PA,$B26+1,0)*OP!$C$28,0))</f>
        <v>1840</v>
      </c>
      <c r="W26" s="591"/>
      <c r="X26" s="22"/>
    </row>
    <row r="27" spans="2:24" s="21" customFormat="1" ht="12.95" customHeight="1">
      <c r="B27" s="481">
        <f ca="1">IF(OR(C26&gt;=OP!F$57,C26=""),"",IF(C26+1&gt;OP!$F$57,OP!$F$57+1-$B$23,B26+1))</f>
        <v>5</v>
      </c>
      <c r="C27" s="481">
        <f ca="1">IF(OR($A$2=1,MAX($C$23:C26)&gt;=OP!$F$57),"",C26+(B27-B26))</f>
        <v>4</v>
      </c>
      <c r="D27" s="590">
        <f ca="1">IF(OR($A$2=1,B27&gt;OP!$C$24),"",OP!$C$52)</f>
        <v>2366</v>
      </c>
      <c r="E27" s="591"/>
      <c r="F27" s="590">
        <f t="shared" ca="1" si="1"/>
        <v>11830</v>
      </c>
      <c r="G27" s="591"/>
      <c r="H27" s="590">
        <f ca="1">IF(OR($A$2=1,B27=""),"",ROUND(VLOOKUP(OP!$C$55,DIE,$B27+1,0)*OP!$C$28,0))</f>
        <v>100000</v>
      </c>
      <c r="I27" s="591"/>
      <c r="J27" s="592">
        <f ca="1">IF(OR($A$2=1,$B27=""),"",ROUND(VLOOKUP(OP!$C$55,HL_1,$B27+1,0)*OP!$C$28,0))</f>
        <v>20000</v>
      </c>
      <c r="K27" s="593"/>
      <c r="L27" s="592">
        <f ca="1">IF(OR($A$2=1,$B27=""),"",ROUND(VLOOKUP(OP!$C$55,HL_2,$B27+1,0)*OP!$C$28,0))</f>
        <v>100000</v>
      </c>
      <c r="M27" s="593"/>
      <c r="N27" s="592">
        <f ca="1">IF(OR($A$2=1,$B27=""),"",(ROUND(VLOOKUP(OP!$C$55,HL_2,$B27+1,0)*OP!$C$28,0)+ROUND(OP!$C$28*10000*0.2,0)))</f>
        <v>120000</v>
      </c>
      <c r="O27" s="593"/>
      <c r="P27" s="592">
        <f ca="1">IF(OR($A$2=1,$B27=""),"",ROUND(VLOOKUP(OP!$C$55,HL_3,$B27+1,0)*OP!$C$28,0))</f>
        <v>100000</v>
      </c>
      <c r="Q27" s="593"/>
      <c r="R27" s="590">
        <f ca="1">IF(OR($A$2=1,B27=""),"",ROUND(VLOOKUP(OP!$C$55,EXP,$B27+1,0)*OP!$C$28,0))</f>
        <v>0</v>
      </c>
      <c r="S27" s="591"/>
      <c r="T27" s="590">
        <f ca="1">IF(OR($A$2=1,B27=""),"",ROUND(VLOOKUP(OP!$C$55,CV,$B27+1,0)*OP!$C$28,0))</f>
        <v>750</v>
      </c>
      <c r="U27" s="591"/>
      <c r="V27" s="590">
        <f ca="1">IF(OR($A$2=1,B27=""),"",ROUND(VLOOKUP(OP!$C$55,PA,$B27+1,0)*OP!$C$28,0))</f>
        <v>2560</v>
      </c>
      <c r="W27" s="591"/>
      <c r="X27" s="22"/>
    </row>
    <row r="28" spans="2:24" s="21" customFormat="1" ht="12.95" customHeight="1">
      <c r="B28" s="481">
        <f ca="1">IF(OR(C27&gt;=OP!F$57,C27=""),"",IF(C27+1&gt;OP!$F$57,OP!$F$57+1-$B$23,B27+1))</f>
        <v>6</v>
      </c>
      <c r="C28" s="481">
        <f ca="1">IF(OR($A$2=1,MAX($C$23:C27)&gt;=OP!$F$57),"",C27+(B28-B27))</f>
        <v>5</v>
      </c>
      <c r="D28" s="590">
        <f ca="1">IF(OR($A$2=1,B28&gt;OP!$C$24),"",OP!$C$52)</f>
        <v>2366</v>
      </c>
      <c r="E28" s="591"/>
      <c r="F28" s="590">
        <f t="shared" ca="1" si="1"/>
        <v>14196</v>
      </c>
      <c r="G28" s="591"/>
      <c r="H28" s="590">
        <f ca="1">IF(OR($A$2=1,B28=""),"",ROUND(VLOOKUP(OP!$C$55,DIE,$B28+1,0)*OP!$C$28,0))</f>
        <v>100000</v>
      </c>
      <c r="I28" s="591"/>
      <c r="J28" s="592">
        <f ca="1">IF(OR($A$2=1,$B28=""),"",ROUND(VLOOKUP(OP!$C$55,HL_1,$B28+1,0)*OP!$C$28,0))</f>
        <v>20000</v>
      </c>
      <c r="K28" s="593"/>
      <c r="L28" s="592">
        <f ca="1">IF(OR($A$2=1,$B28=""),"",ROUND(VLOOKUP(OP!$C$55,HL_2,$B28+1,0)*OP!$C$28,0))</f>
        <v>100000</v>
      </c>
      <c r="M28" s="593"/>
      <c r="N28" s="592">
        <f ca="1">IF(OR($A$2=1,$B28=""),"",(ROUND(VLOOKUP(OP!$C$55,HL_2,$B28+1,0)*OP!$C$28,0)+ROUND(OP!$C$28*10000*0.2,0)))</f>
        <v>120000</v>
      </c>
      <c r="O28" s="593"/>
      <c r="P28" s="592">
        <f ca="1">IF(OR($A$2=1,$B28=""),"",ROUND(VLOOKUP(OP!$C$55,HL_3,$B28+1,0)*OP!$C$28,0))</f>
        <v>100000</v>
      </c>
      <c r="Q28" s="593"/>
      <c r="R28" s="590">
        <f ca="1">IF(OR($A$2=1,B28=""),"",ROUND(VLOOKUP(OP!$C$55,EXP,$B28+1,0)*OP!$C$28,0))</f>
        <v>0</v>
      </c>
      <c r="S28" s="591"/>
      <c r="T28" s="590">
        <f ca="1">IF(OR($A$2=1,B28=""),"",ROUND(VLOOKUP(OP!$C$55,CV,$B28+1,0)*OP!$C$28,0))</f>
        <v>940</v>
      </c>
      <c r="U28" s="591"/>
      <c r="V28" s="590">
        <f ca="1">IF(OR($A$2=1,B28=""),"",ROUND(VLOOKUP(OP!$C$55,PA,$B28+1,0)*OP!$C$28,0))</f>
        <v>3100</v>
      </c>
      <c r="W28" s="591"/>
      <c r="X28" s="22"/>
    </row>
    <row r="29" spans="2:24" s="21" customFormat="1" ht="12.95" customHeight="1">
      <c r="B29" s="481">
        <f ca="1">IF(OR(C28&gt;=OP!F$57,C28=""),"",IF(C28+1&gt;OP!$F$57,OP!$F$57+1-$B$23,B28+1))</f>
        <v>7</v>
      </c>
      <c r="C29" s="481">
        <f ca="1">IF(OR($A$2=1,MAX($C$23:C28)&gt;=OP!$F$57),"",C28+(B29-B28))</f>
        <v>6</v>
      </c>
      <c r="D29" s="590">
        <f ca="1">IF(OR($A$2=1,B29&gt;OP!$C$24),"",OP!$C$52)</f>
        <v>2366</v>
      </c>
      <c r="E29" s="591"/>
      <c r="F29" s="590">
        <f t="shared" ca="1" si="1"/>
        <v>16562</v>
      </c>
      <c r="G29" s="591"/>
      <c r="H29" s="590">
        <f ca="1">IF(OR($A$2=1,B29=""),"",ROUND(VLOOKUP(OP!$C$55,DIE,$B29+1,0)*OP!$C$28,0))</f>
        <v>100000</v>
      </c>
      <c r="I29" s="591"/>
      <c r="J29" s="592">
        <f ca="1">IF(OR($A$2=1,$B29=""),"",ROUND(VLOOKUP(OP!$C$55,HL_1,$B29+1,0)*OP!$C$28,0))</f>
        <v>20000</v>
      </c>
      <c r="K29" s="593"/>
      <c r="L29" s="592">
        <f ca="1">IF(OR($A$2=1,$B29=""),"",ROUND(VLOOKUP(OP!$C$55,HL_2,$B29+1,0)*OP!$C$28,0))</f>
        <v>100000</v>
      </c>
      <c r="M29" s="593"/>
      <c r="N29" s="592">
        <f ca="1">IF(OR($A$2=1,$B29=""),"",(ROUND(VLOOKUP(OP!$C$55,HL_2,$B29+1,0)*OP!$C$28,0)+ROUND(OP!$C$28*10000*0.2,0)))</f>
        <v>120000</v>
      </c>
      <c r="O29" s="593"/>
      <c r="P29" s="592">
        <f ca="1">IF(OR($A$2=1,$B29=""),"",ROUND(VLOOKUP(OP!$C$55,HL_3,$B29+1,0)*OP!$C$28,0))</f>
        <v>100000</v>
      </c>
      <c r="Q29" s="593"/>
      <c r="R29" s="590">
        <f ca="1">IF(OR($A$2=1,B29=""),"",ROUND(VLOOKUP(OP!$C$55,EXP,$B29+1,0)*OP!$C$28,0))</f>
        <v>0</v>
      </c>
      <c r="S29" s="591"/>
      <c r="T29" s="590">
        <f ca="1">IF(OR($A$2=1,B29=""),"",ROUND(VLOOKUP(OP!$C$55,CV,$B29+1,0)*OP!$C$28,0))</f>
        <v>1290</v>
      </c>
      <c r="U29" s="591"/>
      <c r="V29" s="590">
        <f ca="1">IF(OR($A$2=1,B29=""),"",ROUND(VLOOKUP(OP!$C$55,PA,$B29+1,0)*OP!$C$28,0))</f>
        <v>4130</v>
      </c>
      <c r="W29" s="591"/>
      <c r="X29" s="22"/>
    </row>
    <row r="30" spans="2:24" s="21" customFormat="1" ht="12.95" customHeight="1">
      <c r="B30" s="481">
        <f ca="1">IF(OR(C29&gt;=OP!F$57,C29=""),"",IF(C29+1&gt;OP!$F$57,OP!$F$57+1-$B$23,B29+1))</f>
        <v>8</v>
      </c>
      <c r="C30" s="481">
        <f ca="1">IF(OR($A$2=1,MAX($C$23:C29)&gt;=OP!$F$57),"",C29+(B30-B29))</f>
        <v>7</v>
      </c>
      <c r="D30" s="590">
        <f ca="1">IF(OR($A$2=1,B30&gt;OP!$C$24),"",OP!$C$52)</f>
        <v>2366</v>
      </c>
      <c r="E30" s="591"/>
      <c r="F30" s="590">
        <f t="shared" ca="1" si="1"/>
        <v>18928</v>
      </c>
      <c r="G30" s="591"/>
      <c r="H30" s="590">
        <f ca="1">IF(OR($A$2=1,B30=""),"",ROUND(VLOOKUP(OP!$C$55,DIE,$B30+1,0)*OP!$C$28,0))</f>
        <v>100000</v>
      </c>
      <c r="I30" s="591"/>
      <c r="J30" s="592">
        <f ca="1">IF(OR($A$2=1,$B30=""),"",ROUND(VLOOKUP(OP!$C$55,HL_1,$B30+1,0)*OP!$C$28,0))</f>
        <v>20267</v>
      </c>
      <c r="K30" s="593"/>
      <c r="L30" s="592">
        <f ca="1">IF(OR($A$2=1,$B30=""),"",ROUND(VLOOKUP(OP!$C$55,HL_2,$B30+1,0)*OP!$C$28,0))</f>
        <v>100000</v>
      </c>
      <c r="M30" s="593"/>
      <c r="N30" s="592">
        <f ca="1">IF(OR($A$2=1,$B30=""),"",(ROUND(VLOOKUP(OP!$C$55,HL_2,$B30+1,0)*OP!$C$28,0)+ROUND(OP!$C$28*10000*0.2,0)))</f>
        <v>120000</v>
      </c>
      <c r="O30" s="593"/>
      <c r="P30" s="592">
        <f ca="1">IF(OR($A$2=1,$B30=""),"",ROUND(VLOOKUP(OP!$C$55,HL_3,$B30+1,0)*OP!$C$28,0))</f>
        <v>100000</v>
      </c>
      <c r="Q30" s="593"/>
      <c r="R30" s="590">
        <f ca="1">IF(OR($A$2=1,B30=""),"",ROUND(VLOOKUP(OP!$C$55,EXP,$B30+1,0)*OP!$C$28,0))</f>
        <v>0</v>
      </c>
      <c r="S30" s="591"/>
      <c r="T30" s="590">
        <f ca="1">IF(OR($A$2=1,B30=""),"",ROUND(VLOOKUP(OP!$C$55,CV,$B30+1,0)*OP!$C$28,0))</f>
        <v>1520</v>
      </c>
      <c r="U30" s="591"/>
      <c r="V30" s="590">
        <f ca="1">IF(OR($A$2=1,B30=""),"",ROUND(VLOOKUP(OP!$C$55,PA,$B30+1,0)*OP!$C$28,0))</f>
        <v>4740</v>
      </c>
      <c r="W30" s="591"/>
      <c r="X30" s="22"/>
    </row>
    <row r="31" spans="2:24" s="21" customFormat="1" ht="12.95" customHeight="1">
      <c r="B31" s="481">
        <f ca="1">IF(OR(C30&gt;=OP!F$57,C30=""),"",IF(C30+1&gt;OP!$F$57,OP!$F$57+1-$B$23,B30+1))</f>
        <v>9</v>
      </c>
      <c r="C31" s="481">
        <f ca="1">IF(OR($A$2=1,MAX($C$23:C30)&gt;=OP!$F$57),"",C30+(B31-B30))</f>
        <v>8</v>
      </c>
      <c r="D31" s="590">
        <f ca="1">IF(OR($A$2=1,B31&gt;OP!$C$24),"",OP!$C$52)</f>
        <v>2366</v>
      </c>
      <c r="E31" s="591"/>
      <c r="F31" s="590">
        <f t="shared" ca="1" si="1"/>
        <v>21294</v>
      </c>
      <c r="G31" s="591"/>
      <c r="H31" s="590">
        <f ca="1">IF(OR($A$2=1,B31=""),"",ROUND(VLOOKUP(OP!$C$55,DIE,$B31+1,0)*OP!$C$28,0))</f>
        <v>100000</v>
      </c>
      <c r="I31" s="591"/>
      <c r="J31" s="592">
        <f ca="1">IF(OR($A$2=1,$B31=""),"",ROUND(VLOOKUP(OP!$C$55,HL_1,$B31+1,0)*OP!$C$28,0))</f>
        <v>22801</v>
      </c>
      <c r="K31" s="593"/>
      <c r="L31" s="592">
        <f ca="1">IF(OR($A$2=1,$B31=""),"",ROUND(VLOOKUP(OP!$C$55,HL_2,$B31+1,0)*OP!$C$28,0))</f>
        <v>100000</v>
      </c>
      <c r="M31" s="593"/>
      <c r="N31" s="592">
        <f ca="1">IF(OR($A$2=1,$B31=""),"",(ROUND(VLOOKUP(OP!$C$55,HL_2,$B31+1,0)*OP!$C$28,0)+ROUND(OP!$C$28*10000*0.2,0)))</f>
        <v>120000</v>
      </c>
      <c r="O31" s="593"/>
      <c r="P31" s="592">
        <f ca="1">IF(OR($A$2=1,$B31=""),"",ROUND(VLOOKUP(OP!$C$55,HL_3,$B31+1,0)*OP!$C$28,0))</f>
        <v>100000</v>
      </c>
      <c r="Q31" s="593"/>
      <c r="R31" s="590">
        <f ca="1">IF(OR($A$2=1,B31=""),"",ROUND(VLOOKUP(OP!$C$55,EXP,$B31+1,0)*OP!$C$28,0))</f>
        <v>0</v>
      </c>
      <c r="S31" s="591"/>
      <c r="T31" s="590">
        <f ca="1">IF(OR($A$2=1,B31=""),"",ROUND(VLOOKUP(OP!$C$55,CV,$B31+1,0)*OP!$C$28,0))</f>
        <v>1760</v>
      </c>
      <c r="U31" s="591"/>
      <c r="V31" s="590">
        <f ca="1">IF(OR($A$2=1,B31=""),"",ROUND(VLOOKUP(OP!$C$55,PA,$B31+1,0)*OP!$C$28,0))</f>
        <v>5340</v>
      </c>
      <c r="W31" s="591"/>
      <c r="X31" s="22"/>
    </row>
    <row r="32" spans="2:24" s="21" customFormat="1" ht="12.95" customHeight="1">
      <c r="B32" s="481">
        <f ca="1">IF(OR(C31&gt;=OP!F$57,C31=""),"",IF(C31+1&gt;OP!$F$57,OP!$F$57+1-$B$23,B31+1))</f>
        <v>10</v>
      </c>
      <c r="C32" s="481">
        <f ca="1">IF(OR($A$2=1,MAX($C$23:C31)&gt;=OP!$F$57),"",C31+(B32-B31))</f>
        <v>9</v>
      </c>
      <c r="D32" s="590">
        <f ca="1">IF(OR($A$2=1,B32&gt;OP!$C$24),"",OP!$C$52)</f>
        <v>2366</v>
      </c>
      <c r="E32" s="591"/>
      <c r="F32" s="590">
        <f t="shared" ca="1" si="1"/>
        <v>23660</v>
      </c>
      <c r="G32" s="591"/>
      <c r="H32" s="590">
        <f ca="1">IF(OR($A$2=1,B32=""),"",ROUND(VLOOKUP(OP!$C$55,DIE,$B32+1,0)*OP!$C$28,0))</f>
        <v>100000</v>
      </c>
      <c r="I32" s="591"/>
      <c r="J32" s="592">
        <f ca="1">IF(OR($A$2=1,$B32=""),"",ROUND(VLOOKUP(OP!$C$55,HL_1,$B32+1,0)*OP!$C$28,0))</f>
        <v>25334</v>
      </c>
      <c r="K32" s="593"/>
      <c r="L32" s="592">
        <f ca="1">IF(OR($A$2=1,$B32=""),"",ROUND(VLOOKUP(OP!$C$55,HL_2,$B32+1,0)*OP!$C$28,0))</f>
        <v>100000</v>
      </c>
      <c r="M32" s="593"/>
      <c r="N32" s="592">
        <f ca="1">IF(OR($A$2=1,$B32=""),"",(ROUND(VLOOKUP(OP!$C$55,HL_2,$B32+1,0)*OP!$C$28,0)+ROUND(OP!$C$28*10000*0.2,0)))</f>
        <v>120000</v>
      </c>
      <c r="O32" s="593"/>
      <c r="P32" s="592">
        <f ca="1">IF(OR($A$2=1,$B32=""),"",ROUND(VLOOKUP(OP!$C$55,HL_3,$B32+1,0)*OP!$C$28,0))</f>
        <v>100000</v>
      </c>
      <c r="Q32" s="593"/>
      <c r="R32" s="590">
        <f ca="1">IF(OR($A$2=1,B32=""),"",ROUND(VLOOKUP(OP!$C$55,EXP,$B32+1,0)*OP!$C$28,0))</f>
        <v>0</v>
      </c>
      <c r="S32" s="591"/>
      <c r="T32" s="590">
        <f ca="1">IF(OR($A$2=1,B32=""),"",ROUND(VLOOKUP(OP!$C$55,CV,$B32+1,0)*OP!$C$28,0))</f>
        <v>2210</v>
      </c>
      <c r="U32" s="591"/>
      <c r="V32" s="590">
        <f ca="1">IF(OR($A$2=1,B32=""),"",ROUND(VLOOKUP(OP!$C$55,PA,$B32+1,0)*OP!$C$28,0))</f>
        <v>6520</v>
      </c>
      <c r="W32" s="591"/>
      <c r="X32" s="22"/>
    </row>
    <row r="33" spans="2:24" s="21" customFormat="1" ht="12.95" customHeight="1">
      <c r="B33" s="481">
        <f ca="1">IF(OR(C32&gt;=OP!F$57,C32=""),"",IF(C32+1&gt;OP!$F$57,OP!$F$57+1-$B$23,B32+1))</f>
        <v>11</v>
      </c>
      <c r="C33" s="481">
        <f ca="1">IF(OR($A$2=1,MAX($C$23:C32)&gt;=OP!$F$57),"",C32+(B33-B32))</f>
        <v>10</v>
      </c>
      <c r="D33" s="590">
        <f ca="1">IF(OR($A$2=1,B33&gt;OP!$C$24),"",OP!$C$52)</f>
        <v>2366</v>
      </c>
      <c r="E33" s="591"/>
      <c r="F33" s="590">
        <f t="shared" ca="1" si="1"/>
        <v>26026</v>
      </c>
      <c r="G33" s="591"/>
      <c r="H33" s="590">
        <f ca="1">IF(OR($A$2=1,B33=""),"",ROUND(VLOOKUP(OP!$C$55,DIE,$B33+1,0)*OP!$C$28,0))</f>
        <v>100000</v>
      </c>
      <c r="I33" s="591"/>
      <c r="J33" s="592">
        <f ca="1">IF(OR($A$2=1,$B33=""),"",ROUND(VLOOKUP(OP!$C$55,HL_1,$B33+1,0)*OP!$C$28,0))</f>
        <v>27867</v>
      </c>
      <c r="K33" s="593"/>
      <c r="L33" s="592">
        <f ca="1">IF(OR($A$2=1,$B33=""),"",ROUND(VLOOKUP(OP!$C$55,HL_2,$B33+1,0)*OP!$C$28,0))</f>
        <v>100000</v>
      </c>
      <c r="M33" s="593"/>
      <c r="N33" s="592">
        <f ca="1">IF(OR($A$2=1,$B33=""),"",(ROUND(VLOOKUP(OP!$C$55,HL_2,$B33+1,0)*OP!$C$28,0)+ROUND(OP!$C$28*10000*0.2,0)))</f>
        <v>120000</v>
      </c>
      <c r="O33" s="593"/>
      <c r="P33" s="592">
        <f ca="1">IF(OR($A$2=1,$B33=""),"",ROUND(VLOOKUP(OP!$C$55,HL_3,$B33+1,0)*OP!$C$28,0))</f>
        <v>100000</v>
      </c>
      <c r="Q33" s="593"/>
      <c r="R33" s="590">
        <f ca="1">IF(OR($A$2=1,B33=""),"",ROUND(VLOOKUP(OP!$C$55,EXP,$B33+1,0)*OP!$C$28,0))</f>
        <v>0</v>
      </c>
      <c r="S33" s="591"/>
      <c r="T33" s="590">
        <f ca="1">IF(OR($A$2=1,B33=""),"",ROUND(VLOOKUP(OP!$C$55,CV,$B33+1,0)*OP!$C$28,0))</f>
        <v>2490</v>
      </c>
      <c r="U33" s="591"/>
      <c r="V33" s="590">
        <f ca="1">IF(OR($A$2=1,B33=""),"",ROUND(VLOOKUP(OP!$C$55,PA,$B33+1,0)*OP!$C$28,0))</f>
        <v>7140</v>
      </c>
      <c r="W33" s="591"/>
      <c r="X33" s="22"/>
    </row>
    <row r="34" spans="2:24" s="21" customFormat="1" ht="12.95" customHeight="1">
      <c r="B34" s="481">
        <f ca="1">IF(OR(C33&gt;=OP!F$57,C33=""),"",IF(C33+1&gt;OP!$F$57,OP!$F$57+1-$B$23,B33+1))</f>
        <v>12</v>
      </c>
      <c r="C34" s="481">
        <f ca="1">IF(OR($A$2=1,MAX($C$23:C33)&gt;=OP!$F$57),"",C33+(B34-B33))</f>
        <v>11</v>
      </c>
      <c r="D34" s="590">
        <f ca="1">IF(OR($A$2=1,B34&gt;OP!$C$24),"",OP!$C$52)</f>
        <v>2366</v>
      </c>
      <c r="E34" s="591"/>
      <c r="F34" s="590">
        <f t="shared" ca="1" si="1"/>
        <v>28392</v>
      </c>
      <c r="G34" s="591"/>
      <c r="H34" s="590">
        <f ca="1">IF(OR($A$2=1,B34=""),"",ROUND(VLOOKUP(OP!$C$55,DIE,$B34+1,0)*OP!$C$28,0))</f>
        <v>100000</v>
      </c>
      <c r="I34" s="591"/>
      <c r="J34" s="592">
        <f ca="1">IF(OR($A$2=1,$B34=""),"",ROUND(VLOOKUP(OP!$C$55,HL_1,$B34+1,0)*OP!$C$28,0))</f>
        <v>30401</v>
      </c>
      <c r="K34" s="593"/>
      <c r="L34" s="592">
        <f ca="1">IF(OR($A$2=1,$B34=""),"",ROUND(VLOOKUP(OP!$C$55,HL_2,$B34+1,0)*OP!$C$28,0))</f>
        <v>100000</v>
      </c>
      <c r="M34" s="593"/>
      <c r="N34" s="592">
        <f ca="1">IF(OR($A$2=1,$B34=""),"",(ROUND(VLOOKUP(OP!$C$55,HL_2,$B34+1,0)*OP!$C$28,0)+ROUND(OP!$C$28*10000*0.2,0)))</f>
        <v>120000</v>
      </c>
      <c r="O34" s="593"/>
      <c r="P34" s="592">
        <f ca="1">IF(OR($A$2=1,$B34=""),"",ROUND(VLOOKUP(OP!$C$55,HL_3,$B34+1,0)*OP!$C$28,0))</f>
        <v>100000</v>
      </c>
      <c r="Q34" s="593"/>
      <c r="R34" s="590">
        <f ca="1">IF(OR($A$2=1,B34=""),"",ROUND(VLOOKUP(OP!$C$55,EXP,$B34+1,0)*OP!$C$28,0))</f>
        <v>0</v>
      </c>
      <c r="S34" s="591"/>
      <c r="T34" s="590">
        <f ca="1">IF(OR($A$2=1,B34=""),"",ROUND(VLOOKUP(OP!$C$55,CV,$B34+1,0)*OP!$C$28,0))</f>
        <v>2760</v>
      </c>
      <c r="U34" s="591"/>
      <c r="V34" s="590">
        <f ca="1">IF(OR($A$2=1,B34=""),"",ROUND(VLOOKUP(OP!$C$55,PA,$B34+1,0)*OP!$C$28,0))</f>
        <v>7700</v>
      </c>
      <c r="W34" s="591"/>
      <c r="X34" s="22"/>
    </row>
    <row r="35" spans="2:24" s="21" customFormat="1" ht="12.95" customHeight="1">
      <c r="B35" s="481">
        <f ca="1">IF(OR(C34&gt;=OP!F$57,C34=""),"",IF(C34+1&gt;OP!$F$57,OP!$F$57+1-$B$23,B34+1))</f>
        <v>13</v>
      </c>
      <c r="C35" s="481">
        <f ca="1">IF(OR($A$2=1,MAX($C$23:C34)&gt;=OP!$F$57),"",C34+(B35-B34))</f>
        <v>12</v>
      </c>
      <c r="D35" s="590">
        <f ca="1">IF(OR($A$2=1,B35&gt;OP!$C$24),"",OP!$C$52)</f>
        <v>2366</v>
      </c>
      <c r="E35" s="591"/>
      <c r="F35" s="590">
        <f t="shared" ca="1" si="1"/>
        <v>30758</v>
      </c>
      <c r="G35" s="591"/>
      <c r="H35" s="590">
        <f ca="1">IF(OR($A$2=1,B35=""),"",ROUND(VLOOKUP(OP!$C$55,DIE,$B35+1,0)*OP!$C$28,0))</f>
        <v>100000</v>
      </c>
      <c r="I35" s="591"/>
      <c r="J35" s="592">
        <f ca="1">IF(OR($A$2=1,$B35=""),"",ROUND(VLOOKUP(OP!$C$55,HL_1,$B35+1,0)*OP!$C$28,0))</f>
        <v>32934</v>
      </c>
      <c r="K35" s="593"/>
      <c r="L35" s="592">
        <f ca="1">IF(OR($A$2=1,$B35=""),"",ROUND(VLOOKUP(OP!$C$55,HL_2,$B35+1,0)*OP!$C$28,0))</f>
        <v>100000</v>
      </c>
      <c r="M35" s="593"/>
      <c r="N35" s="592">
        <f ca="1">IF(OR($A$2=1,$B35=""),"",(ROUND(VLOOKUP(OP!$C$55,HL_2,$B35+1,0)*OP!$C$28,0)+ROUND(OP!$C$28*10000*0.2,0)))</f>
        <v>120000</v>
      </c>
      <c r="O35" s="593"/>
      <c r="P35" s="592">
        <f ca="1">IF(OR($A$2=1,$B35=""),"",ROUND(VLOOKUP(OP!$C$55,HL_3,$B35+1,0)*OP!$C$28,0))</f>
        <v>100000</v>
      </c>
      <c r="Q35" s="593"/>
      <c r="R35" s="590">
        <f ca="1">IF(OR($A$2=1,B35=""),"",ROUND(VLOOKUP(OP!$C$55,EXP,$B35+1,0)*OP!$C$28,0))</f>
        <v>0</v>
      </c>
      <c r="S35" s="591"/>
      <c r="T35" s="590">
        <f ca="1">IF(OR($A$2=1,B35=""),"",ROUND(VLOOKUP(OP!$C$55,CV,$B35+1,0)*OP!$C$28,0))</f>
        <v>3040</v>
      </c>
      <c r="U35" s="591"/>
      <c r="V35" s="590">
        <f ca="1">IF(OR($A$2=1,B35=""),"",ROUND(VLOOKUP(OP!$C$55,PA,$B35+1,0)*OP!$C$28,0))</f>
        <v>8250</v>
      </c>
      <c r="W35" s="591"/>
      <c r="X35" s="22"/>
    </row>
    <row r="36" spans="2:24" s="21" customFormat="1" ht="12.95" customHeight="1">
      <c r="B36" s="481">
        <f ca="1">IF(OR(C35&gt;=OP!F$57,C35=""),"",IF(C35+1&gt;OP!$F$57,OP!$F$57+1-$B$23,B35+1))</f>
        <v>14</v>
      </c>
      <c r="C36" s="481">
        <f ca="1">IF(OR($A$2=1,MAX($C$23:C35)&gt;=OP!$F$57),"",C35+(B36-B35))</f>
        <v>13</v>
      </c>
      <c r="D36" s="590">
        <f ca="1">IF(OR($A$2=1,B36&gt;OP!$C$24),"",OP!$C$52)</f>
        <v>2366</v>
      </c>
      <c r="E36" s="591"/>
      <c r="F36" s="590">
        <f t="shared" ca="1" si="1"/>
        <v>33124</v>
      </c>
      <c r="G36" s="591"/>
      <c r="H36" s="590">
        <f ca="1">IF(OR($A$2=1,B36=""),"",ROUND(VLOOKUP(OP!$C$55,DIE,$B36+1,0)*OP!$C$28,0))</f>
        <v>100000</v>
      </c>
      <c r="I36" s="591"/>
      <c r="J36" s="592">
        <f ca="1">IF(OR($A$2=1,$B36=""),"",ROUND(VLOOKUP(OP!$C$55,HL_1,$B36+1,0)*OP!$C$28,0))</f>
        <v>35468</v>
      </c>
      <c r="K36" s="593"/>
      <c r="L36" s="592">
        <f ca="1">IF(OR($A$2=1,$B36=""),"",ROUND(VLOOKUP(OP!$C$55,HL_2,$B36+1,0)*OP!$C$28,0))</f>
        <v>100000</v>
      </c>
      <c r="M36" s="593"/>
      <c r="N36" s="592">
        <f ca="1">IF(OR($A$2=1,$B36=""),"",(ROUND(VLOOKUP(OP!$C$55,HL_2,$B36+1,0)*OP!$C$28,0)+ROUND(OP!$C$28*10000*0.2,0)))</f>
        <v>120000</v>
      </c>
      <c r="O36" s="593"/>
      <c r="P36" s="592">
        <f ca="1">IF(OR($A$2=1,$B36=""),"",ROUND(VLOOKUP(OP!$C$55,HL_3,$B36+1,0)*OP!$C$28,0))</f>
        <v>100000</v>
      </c>
      <c r="Q36" s="593"/>
      <c r="R36" s="590">
        <f ca="1">IF(OR($A$2=1,B36=""),"",ROUND(VLOOKUP(OP!$C$55,EXP,$B36+1,0)*OP!$C$28,0))</f>
        <v>0</v>
      </c>
      <c r="S36" s="591"/>
      <c r="T36" s="590">
        <f ca="1">IF(OR($A$2=1,B36=""),"",ROUND(VLOOKUP(OP!$C$55,CV,$B36+1,0)*OP!$C$28,0))</f>
        <v>3330</v>
      </c>
      <c r="U36" s="591"/>
      <c r="V36" s="590">
        <f ca="1">IF(OR($A$2=1,B36=""),"",ROUND(VLOOKUP(OP!$C$55,PA,$B36+1,0)*OP!$C$28,0))</f>
        <v>8790</v>
      </c>
      <c r="W36" s="591"/>
      <c r="X36" s="22"/>
    </row>
    <row r="37" spans="2:24" s="21" customFormat="1" ht="12.95" customHeight="1">
      <c r="B37" s="481">
        <f ca="1">IF(OR(C36&gt;=OP!F$57,C36=""),"",IF(C36+1&gt;OP!$F$57,OP!$F$57+1-$B$23,B36+1))</f>
        <v>15</v>
      </c>
      <c r="C37" s="481">
        <f ca="1">IF(OR($A$2=1,MAX($C$23:C36)&gt;=OP!$F$57),"",C36+(B37-B36))</f>
        <v>14</v>
      </c>
      <c r="D37" s="590">
        <f ca="1">IF(OR($A$2=1,B37&gt;OP!$C$24),"",OP!$C$52)</f>
        <v>2366</v>
      </c>
      <c r="E37" s="591"/>
      <c r="F37" s="590">
        <f t="shared" ca="1" si="1"/>
        <v>35490</v>
      </c>
      <c r="G37" s="591"/>
      <c r="H37" s="590">
        <f ca="1">IF(OR($A$2=1,B37=""),"",ROUND(VLOOKUP(OP!$C$55,DIE,$B37+1,0)*OP!$C$28,0))</f>
        <v>100000</v>
      </c>
      <c r="I37" s="591"/>
      <c r="J37" s="592">
        <f ca="1">IF(OR($A$2=1,$B37=""),"",ROUND(VLOOKUP(OP!$C$55,HL_1,$B37+1,0)*OP!$C$28,0))</f>
        <v>38001</v>
      </c>
      <c r="K37" s="593"/>
      <c r="L37" s="592">
        <f ca="1">IF(OR($A$2=1,$B37=""),"",ROUND(VLOOKUP(OP!$C$55,HL_2,$B37+1,0)*OP!$C$28,0))</f>
        <v>100000</v>
      </c>
      <c r="M37" s="593"/>
      <c r="N37" s="592">
        <f ca="1">IF(OR($A$2=1,$B37=""),"",(ROUND(VLOOKUP(OP!$C$55,HL_2,$B37+1,0)*OP!$C$28,0)+ROUND(OP!$C$28*10000*0.2,0)))</f>
        <v>120000</v>
      </c>
      <c r="O37" s="593"/>
      <c r="P37" s="592">
        <f ca="1">IF(OR($A$2=1,$B37=""),"",ROUND(VLOOKUP(OP!$C$55,HL_3,$B37+1,0)*OP!$C$28,0))</f>
        <v>100000</v>
      </c>
      <c r="Q37" s="593"/>
      <c r="R37" s="590">
        <f ca="1">IF(OR($A$2=1,B37=""),"",ROUND(VLOOKUP(OP!$C$55,EXP,$B37+1,0)*OP!$C$28,0))</f>
        <v>0</v>
      </c>
      <c r="S37" s="591"/>
      <c r="T37" s="590">
        <f ca="1">IF(OR($A$2=1,B37=""),"",ROUND(VLOOKUP(OP!$C$55,CV,$B37+1,0)*OP!$C$28,0))</f>
        <v>3620</v>
      </c>
      <c r="U37" s="591"/>
      <c r="V37" s="590">
        <f ca="1">IF(OR($A$2=1,B37=""),"",ROUND(VLOOKUP(OP!$C$55,PA,$B37+1,0)*OP!$C$28,0))</f>
        <v>9290</v>
      </c>
      <c r="W37" s="591"/>
      <c r="X37" s="22"/>
    </row>
    <row r="38" spans="2:24" s="21" customFormat="1" ht="12.95" customHeight="1">
      <c r="B38" s="481">
        <f ca="1">IF(OR(C37&gt;=OP!F$57,C37=""),"",IF(C37+1&gt;OP!$F$57,OP!$F$57+1-$B$23,B37+1))</f>
        <v>16</v>
      </c>
      <c r="C38" s="481">
        <f ca="1">IF(OR($A$2=1,MAX($C$23:C37)&gt;=OP!$F$57),"",C37+(B38-B37))</f>
        <v>15</v>
      </c>
      <c r="D38" s="590">
        <f ca="1">IF(OR($A$2=1,B38&gt;OP!$C$24),"",OP!$C$52)</f>
        <v>2366</v>
      </c>
      <c r="E38" s="591"/>
      <c r="F38" s="590">
        <f t="shared" ca="1" si="1"/>
        <v>37856</v>
      </c>
      <c r="G38" s="591"/>
      <c r="H38" s="590">
        <f ca="1">IF(OR($A$2=1,B38=""),"",ROUND(VLOOKUP(OP!$C$55,DIE,$B38+1,0)*OP!$C$28,0))</f>
        <v>100000</v>
      </c>
      <c r="I38" s="591"/>
      <c r="J38" s="592">
        <f ca="1">IF(OR($A$2=1,$B38=""),"",ROUND(VLOOKUP(OP!$C$55,HL_1,$B38+1,0)*OP!$C$28,0))</f>
        <v>40534</v>
      </c>
      <c r="K38" s="593"/>
      <c r="L38" s="592">
        <f ca="1">IF(OR($A$2=1,$B38=""),"",ROUND(VLOOKUP(OP!$C$55,HL_2,$B38+1,0)*OP!$C$28,0))</f>
        <v>100000</v>
      </c>
      <c r="M38" s="593"/>
      <c r="N38" s="592">
        <f ca="1">IF(OR($A$2=1,$B38=""),"",(ROUND(VLOOKUP(OP!$C$55,HL_2,$B38+1,0)*OP!$C$28,0)+ROUND(OP!$C$28*10000*0.2,0)))</f>
        <v>120000</v>
      </c>
      <c r="O38" s="593"/>
      <c r="P38" s="592">
        <f ca="1">IF(OR($A$2=1,$B38=""),"",ROUND(VLOOKUP(OP!$C$55,HL_3,$B38+1,0)*OP!$C$28,0))</f>
        <v>100000</v>
      </c>
      <c r="Q38" s="593"/>
      <c r="R38" s="590">
        <f ca="1">IF(OR($A$2=1,B38=""),"",ROUND(VLOOKUP(OP!$C$55,EXP,$B38+1,0)*OP!$C$28,0))</f>
        <v>0</v>
      </c>
      <c r="S38" s="591"/>
      <c r="T38" s="590">
        <f ca="1">IF(OR($A$2=1,B38=""),"",ROUND(VLOOKUP(OP!$C$55,CV,$B38+1,0)*OP!$C$28,0))</f>
        <v>3910</v>
      </c>
      <c r="U38" s="591"/>
      <c r="V38" s="590">
        <f ca="1">IF(OR($A$2=1,B38=""),"",ROUND(VLOOKUP(OP!$C$55,PA,$B38+1,0)*OP!$C$28,0))</f>
        <v>9770</v>
      </c>
      <c r="W38" s="591"/>
      <c r="X38" s="22"/>
    </row>
    <row r="39" spans="2:24" s="21" customFormat="1" ht="12.95" customHeight="1">
      <c r="B39" s="481">
        <f ca="1">IF(OR(C38&gt;=OP!F$57,C38=""),"",IF(C38+1&gt;OP!$F$57,OP!$F$57+1-$B$23,B38+1))</f>
        <v>17</v>
      </c>
      <c r="C39" s="481">
        <f ca="1">IF(OR($A$2=1,MAX($C$23:C38)&gt;=OP!$F$57),"",C38+(B39-B38))</f>
        <v>16</v>
      </c>
      <c r="D39" s="590">
        <f ca="1">IF(OR($A$2=1,B39&gt;OP!$C$24),"",OP!$C$52)</f>
        <v>2366</v>
      </c>
      <c r="E39" s="591"/>
      <c r="F39" s="590">
        <f t="shared" ca="1" si="1"/>
        <v>40222</v>
      </c>
      <c r="G39" s="591"/>
      <c r="H39" s="590">
        <f ca="1">IF(OR($A$2=1,B39=""),"",ROUND(VLOOKUP(OP!$C$55,DIE,$B39+1,0)*OP!$C$28,0))</f>
        <v>100000</v>
      </c>
      <c r="I39" s="591"/>
      <c r="J39" s="592">
        <f ca="1">IF(OR($A$2=1,$B39=""),"",ROUND(VLOOKUP(OP!$C$55,HL_1,$B39+1,0)*OP!$C$28,0))</f>
        <v>43068</v>
      </c>
      <c r="K39" s="593"/>
      <c r="L39" s="592">
        <f ca="1">IF(OR($A$2=1,$B39=""),"",ROUND(VLOOKUP(OP!$C$55,HL_2,$B39+1,0)*OP!$C$28,0))</f>
        <v>100000</v>
      </c>
      <c r="M39" s="593"/>
      <c r="N39" s="592">
        <f ca="1">IF(OR($A$2=1,$B39=""),"",(ROUND(VLOOKUP(OP!$C$55,HL_2,$B39+1,0)*OP!$C$28,0)+ROUND(OP!$C$28*10000*0.2,0)))</f>
        <v>120000</v>
      </c>
      <c r="O39" s="593"/>
      <c r="P39" s="592">
        <f ca="1">IF(OR($A$2=1,$B39=""),"",ROUND(VLOOKUP(OP!$C$55,HL_3,$B39+1,0)*OP!$C$28,0))</f>
        <v>100000</v>
      </c>
      <c r="Q39" s="593"/>
      <c r="R39" s="590">
        <f ca="1">IF(OR($A$2=1,B39=""),"",ROUND(VLOOKUP(OP!$C$55,EXP,$B39+1,0)*OP!$C$28,0))</f>
        <v>0</v>
      </c>
      <c r="S39" s="591"/>
      <c r="T39" s="590">
        <f ca="1">IF(OR($A$2=1,B39=""),"",ROUND(VLOOKUP(OP!$C$55,CV,$B39+1,0)*OP!$C$28,0))</f>
        <v>4200</v>
      </c>
      <c r="U39" s="591"/>
      <c r="V39" s="590">
        <f ca="1">IF(OR($A$2=1,B39=""),"",ROUND(VLOOKUP(OP!$C$55,PA,$B39+1,0)*OP!$C$28,0))</f>
        <v>10220</v>
      </c>
      <c r="W39" s="591"/>
      <c r="X39" s="22"/>
    </row>
    <row r="40" spans="2:24" s="21" customFormat="1" ht="12.95" customHeight="1">
      <c r="B40" s="481">
        <f ca="1">IF(OR(C39&gt;=OP!F$57,C39=""),"",IF(C39+1&gt;OP!$F$57,OP!$F$57+1-$B$23,B39+1))</f>
        <v>18</v>
      </c>
      <c r="C40" s="481">
        <f ca="1">IF(OR($A$2=1,MAX($C$23:C39)&gt;=OP!$F$57),"",C39+(B40-B39))</f>
        <v>17</v>
      </c>
      <c r="D40" s="590">
        <f ca="1">IF(OR($A$2=1,B40&gt;OP!$C$24),"",OP!$C$52)</f>
        <v>2366</v>
      </c>
      <c r="E40" s="591"/>
      <c r="F40" s="590">
        <f t="shared" ca="1" si="1"/>
        <v>42588</v>
      </c>
      <c r="G40" s="591"/>
      <c r="H40" s="590">
        <f ca="1">IF(OR($A$2=1,B40=""),"",ROUND(VLOOKUP(OP!$C$55,DIE,$B40+1,0)*OP!$C$28,0))</f>
        <v>100000</v>
      </c>
      <c r="I40" s="591"/>
      <c r="J40" s="592">
        <f ca="1">IF(OR($A$2=1,$B40=""),"",ROUND(VLOOKUP(OP!$C$55,HL_1,$B40+1,0)*OP!$C$28,0))</f>
        <v>45601</v>
      </c>
      <c r="K40" s="593"/>
      <c r="L40" s="592">
        <f ca="1">IF(OR($A$2=1,$B40=""),"",ROUND(VLOOKUP(OP!$C$55,HL_2,$B40+1,0)*OP!$C$28,0))</f>
        <v>100000</v>
      </c>
      <c r="M40" s="593"/>
      <c r="N40" s="592">
        <f ca="1">IF(OR($A$2=1,$B40=""),"",(ROUND(VLOOKUP(OP!$C$55,HL_2,$B40+1,0)*OP!$C$28,0)+ROUND(OP!$C$28*10000*0.2,0)))</f>
        <v>120000</v>
      </c>
      <c r="O40" s="593"/>
      <c r="P40" s="592">
        <f ca="1">IF(OR($A$2=1,$B40=""),"",ROUND(VLOOKUP(OP!$C$55,HL_3,$B40+1,0)*OP!$C$28,0))</f>
        <v>100000</v>
      </c>
      <c r="Q40" s="593"/>
      <c r="R40" s="590">
        <f ca="1">IF(OR($A$2=1,B40=""),"",ROUND(VLOOKUP(OP!$C$55,EXP,$B40+1,0)*OP!$C$28,0))</f>
        <v>0</v>
      </c>
      <c r="S40" s="591"/>
      <c r="T40" s="590">
        <f ca="1">IF(OR($A$2=1,B40=""),"",ROUND(VLOOKUP(OP!$C$55,CV,$B40+1,0)*OP!$C$28,0))</f>
        <v>4500</v>
      </c>
      <c r="U40" s="591"/>
      <c r="V40" s="590">
        <f ca="1">IF(OR($A$2=1,B40=""),"",ROUND(VLOOKUP(OP!$C$55,PA,$B40+1,0)*OP!$C$28,0))</f>
        <v>10670</v>
      </c>
      <c r="W40" s="591"/>
      <c r="X40" s="22"/>
    </row>
    <row r="41" spans="2:24" s="21" customFormat="1" ht="12.95" customHeight="1">
      <c r="B41" s="481">
        <f ca="1">IF(OR(C40&gt;=OP!F$57,C40=""),"",IF(C40+1&gt;OP!$F$57,OP!$F$57+1-$B$23,B40+1))</f>
        <v>19</v>
      </c>
      <c r="C41" s="481">
        <f ca="1">IF(OR($A$2=1,MAX($C$23:C40)&gt;=OP!$F$57),"",C40+(B41-B40))</f>
        <v>18</v>
      </c>
      <c r="D41" s="590">
        <f ca="1">IF(OR($A$2=1,B41&gt;OP!$C$24),"",OP!$C$52)</f>
        <v>2366</v>
      </c>
      <c r="E41" s="591"/>
      <c r="F41" s="590">
        <f t="shared" ca="1" si="1"/>
        <v>44954</v>
      </c>
      <c r="G41" s="591"/>
      <c r="H41" s="590">
        <f ca="1">IF(OR($A$2=1,B41=""),"",ROUND(VLOOKUP(OP!$C$55,DIE,$B41+1,0)*OP!$C$28,0))</f>
        <v>100000</v>
      </c>
      <c r="I41" s="591"/>
      <c r="J41" s="592">
        <f ca="1">IF(OR($A$2=1,$B41=""),"",ROUND(VLOOKUP(OP!$C$55,HL_1,$B41+1,0)*OP!$C$28,0))</f>
        <v>48135</v>
      </c>
      <c r="K41" s="593"/>
      <c r="L41" s="592">
        <f ca="1">IF(OR($A$2=1,$B41=""),"",ROUND(VLOOKUP(OP!$C$55,HL_2,$B41+1,0)*OP!$C$28,0))</f>
        <v>100000</v>
      </c>
      <c r="M41" s="593"/>
      <c r="N41" s="592">
        <f ca="1">IF(OR($A$2=1,$B41=""),"",(ROUND(VLOOKUP(OP!$C$55,HL_2,$B41+1,0)*OP!$C$28,0)+ROUND(OP!$C$28*10000*0.2,0)))</f>
        <v>120000</v>
      </c>
      <c r="O41" s="593"/>
      <c r="P41" s="592">
        <f ca="1">IF(OR($A$2=1,$B41=""),"",ROUND(VLOOKUP(OP!$C$55,HL_3,$B41+1,0)*OP!$C$28,0))</f>
        <v>100000</v>
      </c>
      <c r="Q41" s="593"/>
      <c r="R41" s="590">
        <f ca="1">IF(OR($A$2=1,B41=""),"",ROUND(VLOOKUP(OP!$C$55,EXP,$B41+1,0)*OP!$C$28,0))</f>
        <v>0</v>
      </c>
      <c r="S41" s="591"/>
      <c r="T41" s="590">
        <f ca="1">IF(OR($A$2=1,B41=""),"",ROUND(VLOOKUP(OP!$C$55,CV,$B41+1,0)*OP!$C$28,0))</f>
        <v>4810</v>
      </c>
      <c r="U41" s="591"/>
      <c r="V41" s="590">
        <f ca="1">IF(OR($A$2=1,B41=""),"",ROUND(VLOOKUP(OP!$C$55,PA,$B41+1,0)*OP!$C$28,0))</f>
        <v>11120</v>
      </c>
      <c r="W41" s="591"/>
      <c r="X41" s="22"/>
    </row>
    <row r="42" spans="2:24" s="21" customFormat="1" ht="12.95" customHeight="1">
      <c r="B42" s="481">
        <f ca="1">IF(OR(C41&gt;=OP!F$57,C41=""),"",IF(C41+1&gt;OP!$F$57,OP!$F$57+1-$B$23,B41+1))</f>
        <v>20</v>
      </c>
      <c r="C42" s="481">
        <f ca="1">IF(OR($A$2=1,MAX($C$23:C41)&gt;=OP!$F$57),"",C41+(B42-B41))</f>
        <v>19</v>
      </c>
      <c r="D42" s="590">
        <f ca="1">IF(OR($A$2=1,B42&gt;OP!$C$24),"",OP!$C$52)</f>
        <v>2366</v>
      </c>
      <c r="E42" s="591"/>
      <c r="F42" s="590">
        <f t="shared" ca="1" si="1"/>
        <v>47320</v>
      </c>
      <c r="G42" s="591"/>
      <c r="H42" s="590">
        <f ca="1">IF(OR($A$2=1,B42=""),"",ROUND(VLOOKUP(OP!$C$55,DIE,$B42+1,0)*OP!$C$28,0))</f>
        <v>100000</v>
      </c>
      <c r="I42" s="591"/>
      <c r="J42" s="592">
        <f ca="1">IF(OR($A$2=1,$B42=""),"",ROUND(VLOOKUP(OP!$C$55,HL_1,$B42+1,0)*OP!$C$28,0))</f>
        <v>50668</v>
      </c>
      <c r="K42" s="593"/>
      <c r="L42" s="592">
        <f ca="1">IF(OR($A$2=1,$B42=""),"",ROUND(VLOOKUP(OP!$C$55,HL_2,$B42+1,0)*OP!$C$28,0))</f>
        <v>100000</v>
      </c>
      <c r="M42" s="593"/>
      <c r="N42" s="592">
        <f ca="1">IF(OR($A$2=1,$B42=""),"",(ROUND(VLOOKUP(OP!$C$55,HL_2,$B42+1,0)*OP!$C$28,0)+ROUND(OP!$C$28*10000*0.2,0)))</f>
        <v>120000</v>
      </c>
      <c r="O42" s="593"/>
      <c r="P42" s="592">
        <f ca="1">IF(OR($A$2=1,$B42=""),"",ROUND(VLOOKUP(OP!$C$55,HL_3,$B42+1,0)*OP!$C$28,0))</f>
        <v>100000</v>
      </c>
      <c r="Q42" s="593"/>
      <c r="R42" s="590">
        <f ca="1">IF(OR($A$2=1,B42=""),"",ROUND(VLOOKUP(OP!$C$55,EXP,$B42+1,0)*OP!$C$28,0))</f>
        <v>0</v>
      </c>
      <c r="S42" s="591"/>
      <c r="T42" s="590">
        <f ca="1">IF(OR($A$2=1,B42=""),"",ROUND(VLOOKUP(OP!$C$55,CV,$B42+1,0)*OP!$C$28,0))</f>
        <v>5130</v>
      </c>
      <c r="U42" s="591"/>
      <c r="V42" s="590">
        <f ca="1">IF(OR($A$2=1,B42=""),"",ROUND(VLOOKUP(OP!$C$55,PA,$B42+1,0)*OP!$C$28,0))</f>
        <v>0</v>
      </c>
      <c r="W42" s="591"/>
      <c r="X42" s="22"/>
    </row>
    <row r="43" spans="2:24" s="21" customFormat="1" ht="12.95" customHeight="1">
      <c r="B43" s="481">
        <f ca="1">IF(OR(C42&gt;=OP!F$57,C42=""),"",IF(C42+1&gt;OP!$F$57,OP!$F$57+1-$B$23,B42+1))</f>
        <v>21</v>
      </c>
      <c r="C43" s="481">
        <f ca="1">IF(OR($A$2=1,MAX($C$23:C42)&gt;=OP!$F$57),"",C42+(B43-B42))</f>
        <v>20</v>
      </c>
      <c r="D43" s="590" t="str">
        <f ca="1">IF(OR($A$2=1,B43&gt;OP!$C$24),"",OP!$C$52)</f>
        <v/>
      </c>
      <c r="E43" s="591"/>
      <c r="F43" s="590">
        <f t="shared" ca="1" si="1"/>
        <v>47320</v>
      </c>
      <c r="G43" s="591"/>
      <c r="H43" s="590">
        <f ca="1">IF(OR($A$2=1,B43=""),"",ROUND(VLOOKUP(OP!$C$55,DIE,$B43+1,0)*OP!$C$28,0))</f>
        <v>100000</v>
      </c>
      <c r="I43" s="591"/>
      <c r="J43" s="592">
        <f ca="1">IF(OR($A$2=1,$B43=""),"",ROUND(VLOOKUP(OP!$C$55,HL_1,$B43+1,0)*OP!$C$28,0))</f>
        <v>50668</v>
      </c>
      <c r="K43" s="593"/>
      <c r="L43" s="592">
        <f ca="1">IF(OR($A$2=1,$B43=""),"",ROUND(VLOOKUP(OP!$C$55,HL_2,$B43+1,0)*OP!$C$28,0))</f>
        <v>100000</v>
      </c>
      <c r="M43" s="593"/>
      <c r="N43" s="592">
        <f ca="1">IF(OR($A$2=1,$B43=""),"",(ROUND(VLOOKUP(OP!$C$55,HL_2,$B43+1,0)*OP!$C$28,0)+ROUND(OP!$C$28*10000*0.2,0)))</f>
        <v>120000</v>
      </c>
      <c r="O43" s="593"/>
      <c r="P43" s="592">
        <f ca="1">IF(OR($A$2=1,$B43=""),"",ROUND(VLOOKUP(OP!$C$55,HL_3,$B43+1,0)*OP!$C$28,0))</f>
        <v>100000</v>
      </c>
      <c r="Q43" s="593"/>
      <c r="R43" s="590">
        <f ca="1">IF(OR($A$2=1,B43=""),"",ROUND(VLOOKUP(OP!$C$55,EXP,$B43+1,0)*OP!$C$28,0))</f>
        <v>0</v>
      </c>
      <c r="S43" s="591"/>
      <c r="T43" s="590">
        <f ca="1">IF(OR($A$2=1,B43=""),"",ROUND(VLOOKUP(OP!$C$55,CV,$B43+1,0)*OP!$C$28,0))</f>
        <v>5220</v>
      </c>
      <c r="U43" s="591"/>
      <c r="V43" s="590">
        <f ca="1">IF(OR($A$2=1,B43=""),"",ROUND(VLOOKUP(OP!$C$55,PA,$B43+1,0)*OP!$C$28,0))</f>
        <v>0</v>
      </c>
      <c r="W43" s="591"/>
      <c r="X43" s="22"/>
    </row>
    <row r="44" spans="2:24" s="21" customFormat="1" ht="12.95" customHeight="1">
      <c r="B44" s="481">
        <f ca="1">IF(OR(C43&gt;=OP!F$57,C43=""),"",IF(C43+1&gt;OP!$F$57,OP!$F$57+1-$B$23,B43+1))</f>
        <v>22</v>
      </c>
      <c r="C44" s="481">
        <f ca="1">IF(OR($A$2=1,MAX($C$23:C43)&gt;=OP!$F$57),"",C43+(B44-B43))</f>
        <v>21</v>
      </c>
      <c r="D44" s="590" t="str">
        <f ca="1">IF(OR($A$2=1,B44&gt;OP!$C$24),"",OP!$C$52)</f>
        <v/>
      </c>
      <c r="E44" s="591"/>
      <c r="F44" s="590">
        <f t="shared" ca="1" si="1"/>
        <v>47320</v>
      </c>
      <c r="G44" s="591"/>
      <c r="H44" s="590">
        <f ca="1">IF(OR($A$2=1,B44=""),"",ROUND(VLOOKUP(OP!$C$55,DIE,$B44+1,0)*OP!$C$28,0))</f>
        <v>100000</v>
      </c>
      <c r="I44" s="591"/>
      <c r="J44" s="592">
        <f ca="1">IF(OR($A$2=1,$B44=""),"",ROUND(VLOOKUP(OP!$C$55,HL_1,$B44+1,0)*OP!$C$28,0))</f>
        <v>50668</v>
      </c>
      <c r="K44" s="593"/>
      <c r="L44" s="592">
        <f ca="1">IF(OR($A$2=1,$B44=""),"",ROUND(VLOOKUP(OP!$C$55,HL_2,$B44+1,0)*OP!$C$28,0))</f>
        <v>100000</v>
      </c>
      <c r="M44" s="593"/>
      <c r="N44" s="592">
        <f ca="1">IF(OR($A$2=1,$B44=""),"",(ROUND(VLOOKUP(OP!$C$55,HL_2,$B44+1,0)*OP!$C$28,0)+ROUND(OP!$C$28*10000*0.2,0)))</f>
        <v>120000</v>
      </c>
      <c r="O44" s="593"/>
      <c r="P44" s="592">
        <f ca="1">IF(OR($A$2=1,$B44=""),"",ROUND(VLOOKUP(OP!$C$55,HL_3,$B44+1,0)*OP!$C$28,0))</f>
        <v>100000</v>
      </c>
      <c r="Q44" s="593"/>
      <c r="R44" s="590">
        <f ca="1">IF(OR($A$2=1,B44=""),"",ROUND(VLOOKUP(OP!$C$55,EXP,$B44+1,0)*OP!$C$28,0))</f>
        <v>0</v>
      </c>
      <c r="S44" s="591"/>
      <c r="T44" s="590">
        <f ca="1">IF(OR($A$2=1,B44=""),"",ROUND(VLOOKUP(OP!$C$55,CV,$B44+1,0)*OP!$C$28,0))</f>
        <v>5310</v>
      </c>
      <c r="U44" s="591"/>
      <c r="V44" s="590">
        <f ca="1">IF(OR($A$2=1,B44=""),"",ROUND(VLOOKUP(OP!$C$55,PA,$B44+1,0)*OP!$C$28,0))</f>
        <v>0</v>
      </c>
      <c r="W44" s="591"/>
      <c r="X44" s="22"/>
    </row>
    <row r="45" spans="2:24" s="21" customFormat="1" ht="12.95" customHeight="1">
      <c r="B45" s="481">
        <f ca="1">IF(OR(C44&gt;=OP!F$57,C44=""),"",IF(C44+1&gt;OP!$F$57,OP!$F$57+1-$B$23,B44+1))</f>
        <v>23</v>
      </c>
      <c r="C45" s="481">
        <f ca="1">IF(OR($A$2=1,MAX($C$23:C44)&gt;=OP!$F$57),"",C44+(B45-B44))</f>
        <v>22</v>
      </c>
      <c r="D45" s="590" t="str">
        <f ca="1">IF(OR($A$2=1,B45&gt;OP!$C$24),"",OP!$C$52)</f>
        <v/>
      </c>
      <c r="E45" s="591"/>
      <c r="F45" s="590">
        <f t="shared" ca="1" si="1"/>
        <v>47320</v>
      </c>
      <c r="G45" s="591"/>
      <c r="H45" s="590">
        <f ca="1">IF(OR($A$2=1,B45=""),"",ROUND(VLOOKUP(OP!$C$55,DIE,$B45+1,0)*OP!$C$28,0))</f>
        <v>100000</v>
      </c>
      <c r="I45" s="591"/>
      <c r="J45" s="592">
        <f ca="1">IF(OR($A$2=1,$B45=""),"",ROUND(VLOOKUP(OP!$C$55,HL_1,$B45+1,0)*OP!$C$28,0))</f>
        <v>50668</v>
      </c>
      <c r="K45" s="593"/>
      <c r="L45" s="592">
        <f ca="1">IF(OR($A$2=1,$B45=""),"",ROUND(VLOOKUP(OP!$C$55,HL_2,$B45+1,0)*OP!$C$28,0))</f>
        <v>100000</v>
      </c>
      <c r="M45" s="593"/>
      <c r="N45" s="592">
        <f ca="1">IF(OR($A$2=1,$B45=""),"",(ROUND(VLOOKUP(OP!$C$55,HL_2,$B45+1,0)*OP!$C$28,0)+ROUND(OP!$C$28*10000*0.2,0)))</f>
        <v>120000</v>
      </c>
      <c r="O45" s="593"/>
      <c r="P45" s="592">
        <f ca="1">IF(OR($A$2=1,$B45=""),"",ROUND(VLOOKUP(OP!$C$55,HL_3,$B45+1,0)*OP!$C$28,0))</f>
        <v>100000</v>
      </c>
      <c r="Q45" s="593"/>
      <c r="R45" s="590">
        <f ca="1">IF(OR($A$2=1,B45=""),"",ROUND(VLOOKUP(OP!$C$55,EXP,$B45+1,0)*OP!$C$28,0))</f>
        <v>0</v>
      </c>
      <c r="S45" s="591"/>
      <c r="T45" s="590">
        <f ca="1">IF(OR($A$2=1,B45=""),"",ROUND(VLOOKUP(OP!$C$55,CV,$B45+1,0)*OP!$C$28,0))</f>
        <v>5400</v>
      </c>
      <c r="U45" s="591"/>
      <c r="V45" s="590">
        <f ca="1">IF(OR($A$2=1,B45=""),"",ROUND(VLOOKUP(OP!$C$55,PA,$B45+1,0)*OP!$C$28,0))</f>
        <v>0</v>
      </c>
      <c r="W45" s="591"/>
      <c r="X45" s="22"/>
    </row>
    <row r="46" spans="2:24" s="21" customFormat="1" ht="12.95" customHeight="1">
      <c r="B46" s="481">
        <f ca="1">IF(OR(C45&gt;=OP!F$57,C45=""),"",IF(C45+1&gt;OP!$F$57,OP!$F$57+1-$B$23,B45+1))</f>
        <v>24</v>
      </c>
      <c r="C46" s="481">
        <f ca="1">IF(OR($A$2=1,MAX($C$23:C45)&gt;=OP!$F$57),"",C45+(B46-B45))</f>
        <v>23</v>
      </c>
      <c r="D46" s="590" t="str">
        <f ca="1">IF(OR($A$2=1,B46&gt;OP!$C$24),"",OP!$C$52)</f>
        <v/>
      </c>
      <c r="E46" s="591"/>
      <c r="F46" s="590">
        <f t="shared" ca="1" si="1"/>
        <v>47320</v>
      </c>
      <c r="G46" s="591"/>
      <c r="H46" s="590">
        <f ca="1">IF(OR($A$2=1,B46=""),"",ROUND(VLOOKUP(OP!$C$55,DIE,$B46+1,0)*OP!$C$28,0))</f>
        <v>100000</v>
      </c>
      <c r="I46" s="591"/>
      <c r="J46" s="592">
        <f ca="1">IF(OR($A$2=1,$B46=""),"",ROUND(VLOOKUP(OP!$C$55,HL_1,$B46+1,0)*OP!$C$28,0))</f>
        <v>50668</v>
      </c>
      <c r="K46" s="593"/>
      <c r="L46" s="592">
        <f ca="1">IF(OR($A$2=1,$B46=""),"",ROUND(VLOOKUP(OP!$C$55,HL_2,$B46+1,0)*OP!$C$28,0))</f>
        <v>100000</v>
      </c>
      <c r="M46" s="593"/>
      <c r="N46" s="592">
        <f ca="1">IF(OR($A$2=1,$B46=""),"",(ROUND(VLOOKUP(OP!$C$55,HL_2,$B46+1,0)*OP!$C$28,0)+ROUND(OP!$C$28*10000*0.2,0)))</f>
        <v>120000</v>
      </c>
      <c r="O46" s="593"/>
      <c r="P46" s="592">
        <f ca="1">IF(OR($A$2=1,$B46=""),"",ROUND(VLOOKUP(OP!$C$55,HL_3,$B46+1,0)*OP!$C$28,0))</f>
        <v>100000</v>
      </c>
      <c r="Q46" s="593"/>
      <c r="R46" s="590">
        <f ca="1">IF(OR($A$2=1,B46=""),"",ROUND(VLOOKUP(OP!$C$55,EXP,$B46+1,0)*OP!$C$28,0))</f>
        <v>0</v>
      </c>
      <c r="S46" s="591"/>
      <c r="T46" s="590">
        <f ca="1">IF(OR($A$2=1,B46=""),"",ROUND(VLOOKUP(OP!$C$55,CV,$B46+1,0)*OP!$C$28,0))</f>
        <v>5490</v>
      </c>
      <c r="U46" s="591"/>
      <c r="V46" s="590">
        <f ca="1">IF(OR($A$2=1,B46=""),"",ROUND(VLOOKUP(OP!$C$55,PA,$B46+1,0)*OP!$C$28,0))</f>
        <v>0</v>
      </c>
      <c r="W46" s="591"/>
      <c r="X46" s="22"/>
    </row>
    <row r="47" spans="2:24" s="21" customFormat="1" ht="12.95" customHeight="1">
      <c r="B47" s="481">
        <f ca="1">IF(OR(C46&gt;=OP!F$57,C46=""),"",IF(C46+1&gt;OP!$F$57,OP!$F$57+1-$B$23,B46+1))</f>
        <v>25</v>
      </c>
      <c r="C47" s="481">
        <f ca="1">IF(OR($A$2=1,MAX($C$23:C46)&gt;=OP!$F$57),"",C46+(B47-B46))</f>
        <v>24</v>
      </c>
      <c r="D47" s="590" t="str">
        <f ca="1">IF(OR($A$2=1,B47&gt;OP!$C$24),"",OP!$C$52)</f>
        <v/>
      </c>
      <c r="E47" s="591"/>
      <c r="F47" s="590">
        <f t="shared" ca="1" si="1"/>
        <v>47320</v>
      </c>
      <c r="G47" s="591"/>
      <c r="H47" s="590">
        <f ca="1">IF(OR($A$2=1,B47=""),"",ROUND(VLOOKUP(OP!$C$55,DIE,$B47+1,0)*OP!$C$28,0))</f>
        <v>100000</v>
      </c>
      <c r="I47" s="591"/>
      <c r="J47" s="592">
        <f ca="1">IF(OR($A$2=1,$B47=""),"",ROUND(VLOOKUP(OP!$C$55,HL_1,$B47+1,0)*OP!$C$28,0))</f>
        <v>50668</v>
      </c>
      <c r="K47" s="593"/>
      <c r="L47" s="592">
        <f ca="1">IF(OR($A$2=1,$B47=""),"",ROUND(VLOOKUP(OP!$C$55,HL_2,$B47+1,0)*OP!$C$28,0))</f>
        <v>100000</v>
      </c>
      <c r="M47" s="593"/>
      <c r="N47" s="592">
        <f ca="1">IF(OR($A$2=1,$B47=""),"",(ROUND(VLOOKUP(OP!$C$55,HL_2,$B47+1,0)*OP!$C$28,0)+ROUND(OP!$C$28*10000*0.2,0)))</f>
        <v>120000</v>
      </c>
      <c r="O47" s="593"/>
      <c r="P47" s="592">
        <f ca="1">IF(OR($A$2=1,$B47=""),"",ROUND(VLOOKUP(OP!$C$55,HL_3,$B47+1,0)*OP!$C$28,0))</f>
        <v>100000</v>
      </c>
      <c r="Q47" s="593"/>
      <c r="R47" s="590">
        <f ca="1">IF(OR($A$2=1,B47=""),"",ROUND(VLOOKUP(OP!$C$55,EXP,$B47+1,0)*OP!$C$28,0))</f>
        <v>0</v>
      </c>
      <c r="S47" s="591"/>
      <c r="T47" s="590">
        <f ca="1">IF(OR($A$2=1,B47=""),"",ROUND(VLOOKUP(OP!$C$55,CV,$B47+1,0)*OP!$C$28,0))</f>
        <v>5590</v>
      </c>
      <c r="U47" s="591"/>
      <c r="V47" s="590">
        <f ca="1">IF(OR($A$2=1,B47=""),"",ROUND(VLOOKUP(OP!$C$55,PA,$B47+1,0)*OP!$C$28,0))</f>
        <v>0</v>
      </c>
      <c r="W47" s="591"/>
      <c r="X47" s="22"/>
    </row>
    <row r="48" spans="2:24" s="21" customFormat="1" ht="12.95" customHeight="1">
      <c r="B48" s="481">
        <f ca="1">IF(OR(C47&gt;=OP!F$57,C47=""),"",IF(C47+1&gt;OP!$F$57,OP!$F$57+1-$B$23,B47+1))</f>
        <v>26</v>
      </c>
      <c r="C48" s="481">
        <f ca="1">IF(OR($A$2=1,MAX($C$23:C47)&gt;=OP!$F$57),"",C47+(B48-B47))</f>
        <v>25</v>
      </c>
      <c r="D48" s="590" t="str">
        <f ca="1">IF(OR($A$2=1,B48&gt;OP!$C$24),"",OP!$C$52)</f>
        <v/>
      </c>
      <c r="E48" s="591"/>
      <c r="F48" s="590">
        <f t="shared" ca="1" si="1"/>
        <v>47320</v>
      </c>
      <c r="G48" s="591"/>
      <c r="H48" s="590">
        <f ca="1">IF(OR($A$2=1,B48=""),"",ROUND(VLOOKUP(OP!$C$55,DIE,$B48+1,0)*OP!$C$28,0))</f>
        <v>100000</v>
      </c>
      <c r="I48" s="591"/>
      <c r="J48" s="592">
        <f ca="1">IF(OR($A$2=1,$B48=""),"",ROUND(VLOOKUP(OP!$C$55,HL_1,$B48+1,0)*OP!$C$28,0))</f>
        <v>50668</v>
      </c>
      <c r="K48" s="593"/>
      <c r="L48" s="592">
        <f ca="1">IF(OR($A$2=1,$B48=""),"",ROUND(VLOOKUP(OP!$C$55,HL_2,$B48+1,0)*OP!$C$28,0))</f>
        <v>100000</v>
      </c>
      <c r="M48" s="593"/>
      <c r="N48" s="592">
        <f ca="1">IF(OR($A$2=1,$B48=""),"",(ROUND(VLOOKUP(OP!$C$55,HL_2,$B48+1,0)*OP!$C$28,0)+ROUND(OP!$C$28*10000*0.2,0)))</f>
        <v>120000</v>
      </c>
      <c r="O48" s="593"/>
      <c r="P48" s="592">
        <f ca="1">IF(OR($A$2=1,$B48=""),"",ROUND(VLOOKUP(OP!$C$55,HL_3,$B48+1,0)*OP!$C$28,0))</f>
        <v>100000</v>
      </c>
      <c r="Q48" s="593"/>
      <c r="R48" s="590">
        <f ca="1">IF(OR($A$2=1,B48=""),"",ROUND(VLOOKUP(OP!$C$55,EXP,$B48+1,0)*OP!$C$28,0))</f>
        <v>0</v>
      </c>
      <c r="S48" s="591"/>
      <c r="T48" s="590">
        <f ca="1">IF(OR($A$2=1,B48=""),"",ROUND(VLOOKUP(OP!$C$55,CV,$B48+1,0)*OP!$C$28,0))</f>
        <v>5680</v>
      </c>
      <c r="U48" s="591"/>
      <c r="V48" s="590">
        <f ca="1">IF(OR($A$2=1,B48=""),"",ROUND(VLOOKUP(OP!$C$55,PA,$B48+1,0)*OP!$C$28,0))</f>
        <v>0</v>
      </c>
      <c r="W48" s="591"/>
      <c r="X48" s="22"/>
    </row>
    <row r="49" spans="1:24" s="21" customFormat="1" ht="12.95" customHeight="1">
      <c r="B49" s="481">
        <f ca="1">IF(OR(C48&gt;=OP!F$57,C48=""),"",IF(C48+1&gt;OP!$F$57,OP!$F$57+1-$B$23,B48+1))</f>
        <v>27</v>
      </c>
      <c r="C49" s="481">
        <f ca="1">IF(OR($A$2=1,MAX($C$23:C48)&gt;=OP!$F$57),"",C48+(B49-B48))</f>
        <v>26</v>
      </c>
      <c r="D49" s="590" t="str">
        <f ca="1">IF(OR($A$2=1,B49&gt;OP!$C$24),"",OP!$C$52)</f>
        <v/>
      </c>
      <c r="E49" s="591"/>
      <c r="F49" s="590">
        <f t="shared" ca="1" si="1"/>
        <v>47320</v>
      </c>
      <c r="G49" s="591"/>
      <c r="H49" s="590">
        <f ca="1">IF(OR($A$2=1,B49=""),"",ROUND(VLOOKUP(OP!$C$55,DIE,$B49+1,0)*OP!$C$28,0))</f>
        <v>100000</v>
      </c>
      <c r="I49" s="591"/>
      <c r="J49" s="592">
        <f ca="1">IF(OR($A$2=1,$B49=""),"",ROUND(VLOOKUP(OP!$C$55,HL_1,$B49+1,0)*OP!$C$28,0))</f>
        <v>50668</v>
      </c>
      <c r="K49" s="593"/>
      <c r="L49" s="592">
        <f ca="1">IF(OR($A$2=1,$B49=""),"",ROUND(VLOOKUP(OP!$C$55,HL_2,$B49+1,0)*OP!$C$28,0))</f>
        <v>100000</v>
      </c>
      <c r="M49" s="593"/>
      <c r="N49" s="592">
        <f ca="1">IF(OR($A$2=1,$B49=""),"",(ROUND(VLOOKUP(OP!$C$55,HL_2,$B49+1,0)*OP!$C$28,0)+ROUND(OP!$C$28*10000*0.2,0)))</f>
        <v>120000</v>
      </c>
      <c r="O49" s="593"/>
      <c r="P49" s="592">
        <f ca="1">IF(OR($A$2=1,$B49=""),"",ROUND(VLOOKUP(OP!$C$55,HL_3,$B49+1,0)*OP!$C$28,0))</f>
        <v>100000</v>
      </c>
      <c r="Q49" s="593"/>
      <c r="R49" s="590">
        <f ca="1">IF(OR($A$2=1,B49=""),"",ROUND(VLOOKUP(OP!$C$55,EXP,$B49+1,0)*OP!$C$28,0))</f>
        <v>0</v>
      </c>
      <c r="S49" s="591"/>
      <c r="T49" s="590">
        <f ca="1">IF(OR($A$2=1,B49=""),"",ROUND(VLOOKUP(OP!$C$55,CV,$B49+1,0)*OP!$C$28,0))</f>
        <v>5780</v>
      </c>
      <c r="U49" s="591"/>
      <c r="V49" s="590">
        <f ca="1">IF(OR($A$2=1,B49=""),"",ROUND(VLOOKUP(OP!$C$55,PA,$B49+1,0)*OP!$C$28,0))</f>
        <v>0</v>
      </c>
      <c r="W49" s="591"/>
      <c r="X49" s="22"/>
    </row>
    <row r="50" spans="1:24" s="21" customFormat="1" ht="12.95" customHeight="1">
      <c r="B50" s="481">
        <f ca="1">IF(OR(C49&gt;=OP!F$57,C49=""),"",IF(C49+1&gt;OP!$F$57,OP!$F$57+1-$B$23,B49+1))</f>
        <v>28</v>
      </c>
      <c r="C50" s="481">
        <f ca="1">IF(OR($A$2=1,MAX($C$23:C49)&gt;=OP!$F$57),"",C49+(B50-B49))</f>
        <v>27</v>
      </c>
      <c r="D50" s="590" t="str">
        <f ca="1">IF(OR($A$2=1,B50&gt;OP!$C$24),"",OP!$C$52)</f>
        <v/>
      </c>
      <c r="E50" s="591"/>
      <c r="F50" s="590">
        <f t="shared" ca="1" si="1"/>
        <v>47320</v>
      </c>
      <c r="G50" s="591"/>
      <c r="H50" s="590">
        <f ca="1">IF(OR($A$2=1,B50=""),"",ROUND(VLOOKUP(OP!$C$55,DIE,$B50+1,0)*OP!$C$28,0))</f>
        <v>100000</v>
      </c>
      <c r="I50" s="591"/>
      <c r="J50" s="592">
        <f ca="1">IF(OR($A$2=1,$B50=""),"",ROUND(VLOOKUP(OP!$C$55,HL_1,$B50+1,0)*OP!$C$28,0))</f>
        <v>50668</v>
      </c>
      <c r="K50" s="593"/>
      <c r="L50" s="592">
        <f ca="1">IF(OR($A$2=1,$B50=""),"",ROUND(VLOOKUP(OP!$C$55,HL_2,$B50+1,0)*OP!$C$28,0))</f>
        <v>100000</v>
      </c>
      <c r="M50" s="593"/>
      <c r="N50" s="592">
        <f ca="1">IF(OR($A$2=1,$B50=""),"",(ROUND(VLOOKUP(OP!$C$55,HL_2,$B50+1,0)*OP!$C$28,0)+ROUND(OP!$C$28*10000*0.2,0)))</f>
        <v>120000</v>
      </c>
      <c r="O50" s="593"/>
      <c r="P50" s="592">
        <f ca="1">IF(OR($A$2=1,$B50=""),"",ROUND(VLOOKUP(OP!$C$55,HL_3,$B50+1,0)*OP!$C$28,0))</f>
        <v>100000</v>
      </c>
      <c r="Q50" s="593"/>
      <c r="R50" s="590">
        <f ca="1">IF(OR($A$2=1,B50=""),"",ROUND(VLOOKUP(OP!$C$55,EXP,$B50+1,0)*OP!$C$28,0))</f>
        <v>0</v>
      </c>
      <c r="S50" s="591"/>
      <c r="T50" s="590">
        <f ca="1">IF(OR($A$2=1,B50=""),"",ROUND(VLOOKUP(OP!$C$55,CV,$B50+1,0)*OP!$C$28,0))</f>
        <v>5880</v>
      </c>
      <c r="U50" s="591"/>
      <c r="V50" s="590">
        <f ca="1">IF(OR($A$2=1,B50=""),"",ROUND(VLOOKUP(OP!$C$55,PA,$B50+1,0)*OP!$C$28,0))</f>
        <v>0</v>
      </c>
      <c r="W50" s="591"/>
      <c r="X50" s="22"/>
    </row>
    <row r="51" spans="1:24" s="21" customFormat="1" ht="12.95" customHeight="1">
      <c r="B51" s="481">
        <f ca="1">IF(OR(C50&gt;=OP!F$57,C50=""),"",IF(C50+1&gt;OP!$F$57,OP!$F$57+1-$B$23,B50+1))</f>
        <v>29</v>
      </c>
      <c r="C51" s="481">
        <f ca="1">IF(OR($A$2=1,MAX($C$23:C50)&gt;=OP!$F$57),"",C50+(B51-B50))</f>
        <v>28</v>
      </c>
      <c r="D51" s="590" t="str">
        <f ca="1">IF(OR($A$2=1,B51&gt;OP!$C$24),"",OP!$C$52)</f>
        <v/>
      </c>
      <c r="E51" s="591"/>
      <c r="F51" s="590">
        <f t="shared" ca="1" si="1"/>
        <v>47320</v>
      </c>
      <c r="G51" s="591"/>
      <c r="H51" s="590">
        <f ca="1">IF(OR($A$2=1,B51=""),"",ROUND(VLOOKUP(OP!$C$55,DIE,$B51+1,0)*OP!$C$28,0))</f>
        <v>100000</v>
      </c>
      <c r="I51" s="591"/>
      <c r="J51" s="592">
        <f ca="1">IF(OR($A$2=1,$B51=""),"",ROUND(VLOOKUP(OP!$C$55,HL_1,$B51+1,0)*OP!$C$28,0))</f>
        <v>50668</v>
      </c>
      <c r="K51" s="593"/>
      <c r="L51" s="592">
        <f ca="1">IF(OR($A$2=1,$B51=""),"",ROUND(VLOOKUP(OP!$C$55,HL_2,$B51+1,0)*OP!$C$28,0))</f>
        <v>100000</v>
      </c>
      <c r="M51" s="593"/>
      <c r="N51" s="592">
        <f ca="1">IF(OR($A$2=1,$B51=""),"",(ROUND(VLOOKUP(OP!$C$55,HL_2,$B51+1,0)*OP!$C$28,0)+ROUND(OP!$C$28*10000*0.2,0)))</f>
        <v>120000</v>
      </c>
      <c r="O51" s="593"/>
      <c r="P51" s="592">
        <f ca="1">IF(OR($A$2=1,$B51=""),"",ROUND(VLOOKUP(OP!$C$55,HL_3,$B51+1,0)*OP!$C$28,0))</f>
        <v>100000</v>
      </c>
      <c r="Q51" s="593"/>
      <c r="R51" s="590">
        <f ca="1">IF(OR($A$2=1,B51=""),"",ROUND(VLOOKUP(OP!$C$55,EXP,$B51+1,0)*OP!$C$28,0))</f>
        <v>0</v>
      </c>
      <c r="S51" s="591"/>
      <c r="T51" s="590">
        <f ca="1">IF(OR($A$2=1,B51=""),"",ROUND(VLOOKUP(OP!$C$55,CV,$B51+1,0)*OP!$C$28,0))</f>
        <v>5990</v>
      </c>
      <c r="U51" s="591"/>
      <c r="V51" s="590">
        <f ca="1">IF(OR($A$2=1,B51=""),"",ROUND(VLOOKUP(OP!$C$55,PA,$B51+1,0)*OP!$C$28,0))</f>
        <v>0</v>
      </c>
      <c r="W51" s="591"/>
      <c r="X51" s="22"/>
    </row>
    <row r="52" spans="1:24" s="21" customFormat="1" ht="12.95" customHeight="1">
      <c r="B52" s="481">
        <f ca="1">IF(OR(C51&gt;=OP!F$57,C51=""),"",IF(C51+1&gt;OP!$F$57,OP!$F$57+1-$B$23,B51+1))</f>
        <v>30</v>
      </c>
      <c r="C52" s="481">
        <f ca="1">IF(OR($A$2=1,MAX($C$23:C51)&gt;=OP!$F$57),"",C51+(B52-B51))</f>
        <v>29</v>
      </c>
      <c r="D52" s="590" t="str">
        <f ca="1">IF(OR($A$2=1,B52&gt;OP!$C$24),"",OP!$C$52)</f>
        <v/>
      </c>
      <c r="E52" s="591"/>
      <c r="F52" s="590">
        <f t="shared" ca="1" si="1"/>
        <v>47320</v>
      </c>
      <c r="G52" s="591"/>
      <c r="H52" s="590">
        <f ca="1">IF(OR($A$2=1,B52=""),"",ROUND(VLOOKUP(OP!$C$55,DIE,$B52+1,0)*OP!$C$28,0))</f>
        <v>100000</v>
      </c>
      <c r="I52" s="591"/>
      <c r="J52" s="592">
        <f ca="1">IF(OR($A$2=1,$B52=""),"",ROUND(VLOOKUP(OP!$C$55,HL_1,$B52+1,0)*OP!$C$28,0))</f>
        <v>50668</v>
      </c>
      <c r="K52" s="593"/>
      <c r="L52" s="592">
        <f ca="1">IF(OR($A$2=1,$B52=""),"",ROUND(VLOOKUP(OP!$C$55,HL_2,$B52+1,0)*OP!$C$28,0))</f>
        <v>100000</v>
      </c>
      <c r="M52" s="593"/>
      <c r="N52" s="592">
        <f ca="1">IF(OR($A$2=1,$B52=""),"",(ROUND(VLOOKUP(OP!$C$55,HL_2,$B52+1,0)*OP!$C$28,0)+ROUND(OP!$C$28*10000*0.2,0)))</f>
        <v>120000</v>
      </c>
      <c r="O52" s="593"/>
      <c r="P52" s="592">
        <f ca="1">IF(OR($A$2=1,$B52=""),"",ROUND(VLOOKUP(OP!$C$55,HL_3,$B52+1,0)*OP!$C$28,0))</f>
        <v>100000</v>
      </c>
      <c r="Q52" s="593"/>
      <c r="R52" s="590">
        <f ca="1">IF(OR($A$2=1,B52=""),"",ROUND(VLOOKUP(OP!$C$55,EXP,$B52+1,0)*OP!$C$28,0))</f>
        <v>0</v>
      </c>
      <c r="S52" s="591"/>
      <c r="T52" s="590">
        <f ca="1">IF(OR($A$2=1,B52=""),"",ROUND(VLOOKUP(OP!$C$55,CV,$B52+1,0)*OP!$C$28,0))</f>
        <v>6090</v>
      </c>
      <c r="U52" s="591"/>
      <c r="V52" s="590">
        <f ca="1">IF(OR($A$2=1,B52=""),"",ROUND(VLOOKUP(OP!$C$55,PA,$B52+1,0)*OP!$C$28,0))</f>
        <v>0</v>
      </c>
      <c r="W52" s="591"/>
      <c r="X52" s="22"/>
    </row>
    <row r="53" spans="1:24" s="21" customFormat="1" ht="12.95" customHeight="1">
      <c r="B53" s="481">
        <f ca="1">IF(OR(C52&gt;=OP!F$57,C52=""),"",IF(C52+1&gt;OP!$F$57,OP!$F$57+1-$B$23,B52+1))</f>
        <v>31</v>
      </c>
      <c r="C53" s="481">
        <f ca="1">IF(OR($A$2=1,MAX($C$23:C52)&gt;=OP!$F$57),"",C52+(B53-B52))</f>
        <v>30</v>
      </c>
      <c r="D53" s="590" t="str">
        <f ca="1">IF(OR($A$2=1,B53&gt;OP!$C$24),"",OP!$C$52)</f>
        <v/>
      </c>
      <c r="E53" s="591"/>
      <c r="F53" s="590">
        <f t="shared" ca="1" si="1"/>
        <v>47320</v>
      </c>
      <c r="G53" s="591"/>
      <c r="H53" s="590">
        <f ca="1">IF(OR($A$2=1,B53=""),"",ROUND(VLOOKUP(OP!$C$55,DIE,$B53+1,0)*OP!$C$28,0))</f>
        <v>100000</v>
      </c>
      <c r="I53" s="591"/>
      <c r="J53" s="592">
        <f ca="1">IF(OR($A$2=1,$B53=""),"",ROUND(VLOOKUP(OP!$C$55,HL_1,$B53+1,0)*OP!$C$28,0))</f>
        <v>50668</v>
      </c>
      <c r="K53" s="593"/>
      <c r="L53" s="592">
        <f ca="1">IF(OR($A$2=1,$B53=""),"",ROUND(VLOOKUP(OP!$C$55,HL_2,$B53+1,0)*OP!$C$28,0))</f>
        <v>100000</v>
      </c>
      <c r="M53" s="593"/>
      <c r="N53" s="592">
        <f ca="1">IF(OR($A$2=1,$B53=""),"",(ROUND(VLOOKUP(OP!$C$55,HL_2,$B53+1,0)*OP!$C$28,0)+ROUND(OP!$C$28*10000*0.2,0)))</f>
        <v>120000</v>
      </c>
      <c r="O53" s="593"/>
      <c r="P53" s="592">
        <f ca="1">IF(OR($A$2=1,$B53=""),"",ROUND(VLOOKUP(OP!$C$55,HL_3,$B53+1,0)*OP!$C$28,0))</f>
        <v>100000</v>
      </c>
      <c r="Q53" s="593"/>
      <c r="R53" s="590">
        <f ca="1">IF(OR($A$2=1,B53=""),"",ROUND(VLOOKUP(OP!$C$55,EXP,$B53+1,0)*OP!$C$28,0))</f>
        <v>0</v>
      </c>
      <c r="S53" s="591"/>
      <c r="T53" s="590">
        <f ca="1">IF(OR($A$2=1,B53=""),"",ROUND(VLOOKUP(OP!$C$55,CV,$B53+1,0)*OP!$C$28,0))</f>
        <v>6200</v>
      </c>
      <c r="U53" s="591"/>
      <c r="V53" s="590">
        <f ca="1">IF(OR($A$2=1,B53=""),"",ROUND(VLOOKUP(OP!$C$55,PA,$B53+1,0)*OP!$C$28,0))</f>
        <v>0</v>
      </c>
      <c r="W53" s="591"/>
      <c r="X53" s="22"/>
    </row>
    <row r="54" spans="1:24" s="21" customFormat="1" ht="12.95" customHeight="1">
      <c r="B54" s="481">
        <f ca="1">IF(OR(C53&gt;=OP!F$57,C53=""),"",IF(C53+1&gt;OP!$F$57,OP!$F$57+1-$B$23,B53+1))</f>
        <v>32</v>
      </c>
      <c r="C54" s="481">
        <f ca="1">IF(OR($A$2=1,MAX($C$23:C53)&gt;=OP!$F$57),"",C53+(B54-B53))</f>
        <v>31</v>
      </c>
      <c r="D54" s="590" t="str">
        <f ca="1">IF(OR($A$2=1,B54&gt;OP!$C$24),"",OP!$C$52)</f>
        <v/>
      </c>
      <c r="E54" s="591"/>
      <c r="F54" s="590">
        <f t="shared" ca="1" si="1"/>
        <v>47320</v>
      </c>
      <c r="G54" s="591"/>
      <c r="H54" s="590">
        <f ca="1">IF(OR($A$2=1,B54=""),"",ROUND(VLOOKUP(OP!$C$55,DIE,$B54+1,0)*OP!$C$28,0))</f>
        <v>100000</v>
      </c>
      <c r="I54" s="591"/>
      <c r="J54" s="592">
        <f ca="1">IF(OR($A$2=1,$B54=""),"",ROUND(VLOOKUP(OP!$C$55,HL_1,$B54+1,0)*OP!$C$28,0))</f>
        <v>50668</v>
      </c>
      <c r="K54" s="593"/>
      <c r="L54" s="592">
        <f ca="1">IF(OR($A$2=1,$B54=""),"",ROUND(VLOOKUP(OP!$C$55,HL_2,$B54+1,0)*OP!$C$28,0))</f>
        <v>100000</v>
      </c>
      <c r="M54" s="593"/>
      <c r="N54" s="592">
        <f ca="1">IF(OR($A$2=1,$B54=""),"",(ROUND(VLOOKUP(OP!$C$55,HL_2,$B54+1,0)*OP!$C$28,0)+ROUND(OP!$C$28*10000*0.2,0)))</f>
        <v>120000</v>
      </c>
      <c r="O54" s="593"/>
      <c r="P54" s="592">
        <f ca="1">IF(OR($A$2=1,$B54=""),"",ROUND(VLOOKUP(OP!$C$55,HL_3,$B54+1,0)*OP!$C$28,0))</f>
        <v>100000</v>
      </c>
      <c r="Q54" s="593"/>
      <c r="R54" s="590">
        <f ca="1">IF(OR($A$2=1,B54=""),"",ROUND(VLOOKUP(OP!$C$55,EXP,$B54+1,0)*OP!$C$28,0))</f>
        <v>0</v>
      </c>
      <c r="S54" s="591"/>
      <c r="T54" s="590">
        <f ca="1">IF(OR($A$2=1,B54=""),"",ROUND(VLOOKUP(OP!$C$55,CV,$B54+1,0)*OP!$C$28,0))</f>
        <v>6300</v>
      </c>
      <c r="U54" s="591"/>
      <c r="V54" s="590">
        <f ca="1">IF(OR($A$2=1,B54=""),"",ROUND(VLOOKUP(OP!$C$55,PA,$B54+1,0)*OP!$C$28,0))</f>
        <v>0</v>
      </c>
      <c r="W54" s="591"/>
      <c r="X54" s="22"/>
    </row>
    <row r="55" spans="1:24" s="21" customFormat="1" ht="12.95" customHeight="1">
      <c r="B55" s="481">
        <f ca="1">IF(OR(C54&gt;=OP!F$57,C54=""),"",IF(C54+1&gt;OP!$F$57,OP!$F$57+1-$B$23,B54+1))</f>
        <v>33</v>
      </c>
      <c r="C55" s="481">
        <f ca="1">IF(OR($A$2=1,MAX($C$23:C54)&gt;=OP!$F$57),"",C54+(B55-B54))</f>
        <v>32</v>
      </c>
      <c r="D55" s="590" t="str">
        <f ca="1">IF(OR($A$2=1,B55&gt;OP!$C$24),"",OP!$C$52)</f>
        <v/>
      </c>
      <c r="E55" s="591"/>
      <c r="F55" s="590">
        <f t="shared" ca="1" si="1"/>
        <v>47320</v>
      </c>
      <c r="G55" s="591"/>
      <c r="H55" s="590">
        <f ca="1">IF(OR($A$2=1,B55=""),"",ROUND(VLOOKUP(OP!$C$55,DIE,$B55+1,0)*OP!$C$28,0))</f>
        <v>100000</v>
      </c>
      <c r="I55" s="591"/>
      <c r="J55" s="592">
        <f ca="1">IF(OR($A$2=1,$B55=""),"",ROUND(VLOOKUP(OP!$C$55,HL_1,$B55+1,0)*OP!$C$28,0))</f>
        <v>50668</v>
      </c>
      <c r="K55" s="593"/>
      <c r="L55" s="592">
        <f ca="1">IF(OR($A$2=1,$B55=""),"",ROUND(VLOOKUP(OP!$C$55,HL_2,$B55+1,0)*OP!$C$28,0))</f>
        <v>100000</v>
      </c>
      <c r="M55" s="593"/>
      <c r="N55" s="592">
        <f ca="1">IF(OR($A$2=1,$B55=""),"",(ROUND(VLOOKUP(OP!$C$55,HL_2,$B55+1,0)*OP!$C$28,0)+ROUND(OP!$C$28*10000*0.2,0)))</f>
        <v>120000</v>
      </c>
      <c r="O55" s="593"/>
      <c r="P55" s="592">
        <f ca="1">IF(OR($A$2=1,$B55=""),"",ROUND(VLOOKUP(OP!$C$55,HL_3,$B55+1,0)*OP!$C$28,0))</f>
        <v>100000</v>
      </c>
      <c r="Q55" s="593"/>
      <c r="R55" s="590">
        <f ca="1">IF(OR($A$2=1,B55=""),"",ROUND(VLOOKUP(OP!$C$55,EXP,$B55+1,0)*OP!$C$28,0))</f>
        <v>0</v>
      </c>
      <c r="S55" s="591"/>
      <c r="T55" s="590">
        <f ca="1">IF(OR($A$2=1,B55=""),"",ROUND(VLOOKUP(OP!$C$55,CV,$B55+1,0)*OP!$C$28,0))</f>
        <v>6410</v>
      </c>
      <c r="U55" s="591"/>
      <c r="V55" s="590">
        <f ca="1">IF(OR($A$2=1,B55=""),"",ROUND(VLOOKUP(OP!$C$55,PA,$B55+1,0)*OP!$C$28,0))</f>
        <v>0</v>
      </c>
      <c r="W55" s="591"/>
      <c r="X55" s="22"/>
    </row>
    <row r="56" spans="1:24" s="21" customFormat="1" ht="12.95" customHeight="1">
      <c r="B56" s="481">
        <f ca="1">IF(OR(C55&gt;=OP!F$57,C55=""),"",IF(C55+1&gt;OP!$F$57,OP!$F$57+1-$B$23,B55+1))</f>
        <v>34</v>
      </c>
      <c r="C56" s="481">
        <f ca="1">IF(OR($A$2=1,MAX($C$23:C55)&gt;=OP!$F$57),"",C55+(B56-B55))</f>
        <v>33</v>
      </c>
      <c r="D56" s="590" t="str">
        <f ca="1">IF(OR($A$2=1,B56&gt;OP!$C$24),"",OP!$C$52)</f>
        <v/>
      </c>
      <c r="E56" s="591"/>
      <c r="F56" s="590">
        <f t="shared" ca="1" si="1"/>
        <v>47320</v>
      </c>
      <c r="G56" s="591"/>
      <c r="H56" s="590">
        <f ca="1">IF(OR($A$2=1,B56=""),"",ROUND(VLOOKUP(OP!$C$55,DIE,$B56+1,0)*OP!$C$28,0))</f>
        <v>100000</v>
      </c>
      <c r="I56" s="591"/>
      <c r="J56" s="592">
        <f ca="1">IF(OR($A$2=1,$B56=""),"",ROUND(VLOOKUP(OP!$C$55,HL_1,$B56+1,0)*OP!$C$28,0))</f>
        <v>50668</v>
      </c>
      <c r="K56" s="593"/>
      <c r="L56" s="592">
        <f ca="1">IF(OR($A$2=1,$B56=""),"",ROUND(VLOOKUP(OP!$C$55,HL_2,$B56+1,0)*OP!$C$28,0))</f>
        <v>100000</v>
      </c>
      <c r="M56" s="593"/>
      <c r="N56" s="592">
        <f ca="1">IF(OR($A$2=1,$B56=""),"",(ROUND(VLOOKUP(OP!$C$55,HL_2,$B56+1,0)*OP!$C$28,0)+ROUND(OP!$C$28*10000*0.2,0)))</f>
        <v>120000</v>
      </c>
      <c r="O56" s="593"/>
      <c r="P56" s="592">
        <f ca="1">IF(OR($A$2=1,$B56=""),"",ROUND(VLOOKUP(OP!$C$55,HL_3,$B56+1,0)*OP!$C$28,0))</f>
        <v>100000</v>
      </c>
      <c r="Q56" s="593"/>
      <c r="R56" s="590">
        <f ca="1">IF(OR($A$2=1,B56=""),"",ROUND(VLOOKUP(OP!$C$55,EXP,$B56+1,0)*OP!$C$28,0))</f>
        <v>0</v>
      </c>
      <c r="S56" s="591"/>
      <c r="T56" s="590">
        <f ca="1">IF(OR($A$2=1,B56=""),"",ROUND(VLOOKUP(OP!$C$55,CV,$B56+1,0)*OP!$C$28,0))</f>
        <v>6520</v>
      </c>
      <c r="U56" s="591"/>
      <c r="V56" s="590">
        <f ca="1">IF(OR($A$2=1,B56=""),"",ROUND(VLOOKUP(OP!$C$55,PA,$B56+1,0)*OP!$C$28,0))</f>
        <v>0</v>
      </c>
      <c r="W56" s="591"/>
      <c r="X56" s="22"/>
    </row>
    <row r="57" spans="1:24" s="345" customFormat="1" ht="12.95" customHeight="1">
      <c r="B57" s="481">
        <f ca="1">IF(OR(C56&gt;=OP!F$57,C56=""),"",IF(C56+1&gt;OP!$F$57,OP!$F$57+1-$B$23,B56+1))</f>
        <v>35</v>
      </c>
      <c r="C57" s="481">
        <f ca="1">IF(OR($A$2=1,MAX($C$23:C56)&gt;=OP!$F$57),"",C56+(B57-B56))</f>
        <v>34</v>
      </c>
      <c r="D57" s="590" t="str">
        <f ca="1">IF(OR($A$2=1,B57&gt;OP!$C$24),"",OP!$C$52)</f>
        <v/>
      </c>
      <c r="E57" s="591"/>
      <c r="F57" s="590">
        <f t="shared" ca="1" si="1"/>
        <v>47320</v>
      </c>
      <c r="G57" s="591"/>
      <c r="H57" s="590">
        <f ca="1">IF(OR($A$2=1,B57=""),"",ROUND(VLOOKUP(OP!$C$55,DIE,$B57+1,0)*OP!$C$28,0))</f>
        <v>100000</v>
      </c>
      <c r="I57" s="591"/>
      <c r="J57" s="592">
        <f ca="1">IF(OR($A$2=1,$B57=""),"",ROUND(VLOOKUP(OP!$C$55,HL_1,$B57+1,0)*OP!$C$28,0))</f>
        <v>50668</v>
      </c>
      <c r="K57" s="593"/>
      <c r="L57" s="592">
        <f ca="1">IF(OR($A$2=1,$B57=""),"",ROUND(VLOOKUP(OP!$C$55,HL_2,$B57+1,0)*OP!$C$28,0))</f>
        <v>100000</v>
      </c>
      <c r="M57" s="593"/>
      <c r="N57" s="592">
        <f ca="1">IF(OR($A$2=1,$B57=""),"",(ROUND(VLOOKUP(OP!$C$55,HL_2,$B57+1,0)*OP!$C$28,0)+ROUND(OP!$C$28*10000*0.2,0)))</f>
        <v>120000</v>
      </c>
      <c r="O57" s="593"/>
      <c r="P57" s="592">
        <f ca="1">IF(OR($A$2=1,$B57=""),"",ROUND(VLOOKUP(OP!$C$55,HL_3,$B57+1,0)*OP!$C$28,0))</f>
        <v>100000</v>
      </c>
      <c r="Q57" s="593"/>
      <c r="R57" s="590">
        <f ca="1">IF(OR($A$2=1,B57=""),"",ROUND(VLOOKUP(OP!$C$55,EXP,$B57+1,0)*OP!$C$28,0))</f>
        <v>0</v>
      </c>
      <c r="S57" s="591"/>
      <c r="T57" s="590">
        <f ca="1">IF(OR($A$2=1,B57=""),"",ROUND(VLOOKUP(OP!$C$55,CV,$B57+1,0)*OP!$C$28,0))</f>
        <v>6630</v>
      </c>
      <c r="U57" s="591"/>
      <c r="V57" s="590">
        <f ca="1">IF(OR($A$2=1,B57=""),"",ROUND(VLOOKUP(OP!$C$55,PA,$B57+1,0)*OP!$C$28,0))</f>
        <v>0</v>
      </c>
      <c r="W57" s="591"/>
      <c r="X57" s="346"/>
    </row>
    <row r="58" spans="1:24" s="345" customFormat="1" ht="12.95" customHeight="1">
      <c r="B58" s="482"/>
      <c r="C58" s="482"/>
      <c r="D58" s="483"/>
      <c r="E58" s="484"/>
      <c r="F58" s="483"/>
      <c r="G58" s="484"/>
      <c r="H58" s="483"/>
      <c r="I58" s="484"/>
      <c r="J58" s="483"/>
      <c r="K58" s="484"/>
      <c r="L58" s="483"/>
      <c r="M58" s="484"/>
      <c r="N58" s="483"/>
      <c r="O58" s="484"/>
      <c r="P58" s="483"/>
      <c r="Q58" s="484"/>
      <c r="R58" s="483"/>
      <c r="S58" s="484"/>
      <c r="T58" s="483"/>
      <c r="U58" s="484"/>
      <c r="V58" s="483"/>
      <c r="W58" s="484"/>
      <c r="X58" s="346"/>
    </row>
    <row r="59" spans="1:24" s="345" customFormat="1" ht="12.95" customHeight="1">
      <c r="B59" s="482"/>
      <c r="C59" s="482"/>
      <c r="D59" s="483"/>
      <c r="E59" s="484"/>
      <c r="F59" s="483"/>
      <c r="G59" s="484"/>
      <c r="H59" s="483"/>
      <c r="I59" s="484"/>
      <c r="J59" s="483"/>
      <c r="K59" s="484"/>
      <c r="L59" s="483"/>
      <c r="M59" s="484"/>
      <c r="N59" s="483"/>
      <c r="O59" s="484"/>
      <c r="P59" s="483"/>
      <c r="Q59" s="484"/>
      <c r="R59" s="483"/>
      <c r="S59" s="484"/>
      <c r="T59" s="483"/>
      <c r="U59" s="484"/>
      <c r="V59" s="483"/>
      <c r="W59" s="484"/>
      <c r="X59" s="346"/>
    </row>
    <row r="60" spans="1:24" s="345" customFormat="1" ht="12.95" customHeight="1">
      <c r="B60" s="482"/>
      <c r="C60" s="482"/>
      <c r="D60" s="483"/>
      <c r="E60" s="484"/>
      <c r="F60" s="483"/>
      <c r="G60" s="484"/>
      <c r="H60" s="483"/>
      <c r="I60" s="484"/>
      <c r="J60" s="483"/>
      <c r="K60" s="484"/>
      <c r="L60" s="483"/>
      <c r="M60" s="484"/>
      <c r="N60" s="483"/>
      <c r="O60" s="484"/>
      <c r="P60" s="483"/>
      <c r="Q60" s="484"/>
      <c r="R60" s="483"/>
      <c r="S60" s="484"/>
      <c r="T60" s="483"/>
      <c r="U60" s="484"/>
      <c r="V60" s="483"/>
      <c r="W60" s="484"/>
      <c r="X60" s="346"/>
    </row>
    <row r="61" spans="1:24" s="345" customFormat="1" ht="14.1" customHeight="1">
      <c r="B61" s="428"/>
      <c r="C61" s="428"/>
      <c r="D61" s="429"/>
      <c r="E61" s="429"/>
      <c r="F61" s="429"/>
      <c r="G61" s="429"/>
      <c r="H61" s="475"/>
      <c r="I61" s="475"/>
      <c r="J61" s="429"/>
      <c r="K61" s="429"/>
      <c r="L61" s="429"/>
      <c r="M61" s="429"/>
      <c r="N61" s="429"/>
      <c r="O61" s="429"/>
      <c r="P61" s="429"/>
      <c r="Q61" s="429"/>
      <c r="R61" s="429"/>
      <c r="S61" s="429"/>
      <c r="T61" s="429"/>
      <c r="U61" s="429"/>
      <c r="V61" s="429"/>
      <c r="W61" s="429"/>
      <c r="X61" s="346"/>
    </row>
    <row r="62" spans="1:24" s="345" customFormat="1" ht="15" customHeight="1">
      <c r="A62" s="35">
        <v>1</v>
      </c>
      <c r="B62" s="598" t="str">
        <f>OP!$D$107</f>
        <v>本建議書僅供參考，詳細商品內容及其變更，應以投保當時保單條款內容及本公司核保、保全作業規定為準</v>
      </c>
      <c r="C62" s="598"/>
      <c r="D62" s="598"/>
      <c r="E62" s="598"/>
      <c r="F62" s="598"/>
      <c r="G62" s="598"/>
      <c r="H62" s="598"/>
      <c r="I62" s="598"/>
      <c r="J62" s="598"/>
      <c r="K62" s="598"/>
      <c r="L62" s="598"/>
      <c r="M62" s="598"/>
      <c r="N62" s="598"/>
      <c r="O62" s="598"/>
      <c r="P62" s="598"/>
      <c r="Q62" s="598"/>
      <c r="R62" s="598"/>
      <c r="S62" s="598"/>
      <c r="T62" s="598"/>
      <c r="U62" s="598"/>
      <c r="V62" s="598"/>
      <c r="W62" s="598"/>
      <c r="X62" s="346"/>
    </row>
    <row r="63" spans="1:24" s="24" customFormat="1" ht="15" customHeight="1">
      <c r="B63" s="375"/>
      <c r="C63" s="376"/>
      <c r="F63" s="559" t="str">
        <f>OP!$D$106</f>
        <v xml:space="preserve"> ※本契約條款樣張須於訂立契約前提供要保人至少三日審閱期間</v>
      </c>
      <c r="G63" s="560"/>
      <c r="H63" s="560"/>
      <c r="I63" s="560"/>
      <c r="J63" s="560"/>
      <c r="K63" s="560"/>
      <c r="L63" s="560"/>
      <c r="M63" s="560"/>
      <c r="N63" s="560"/>
      <c r="O63" s="560"/>
      <c r="P63" s="560"/>
      <c r="Q63" s="560"/>
      <c r="R63" s="485"/>
      <c r="S63" s="227"/>
      <c r="T63" s="160"/>
      <c r="U63" s="160"/>
      <c r="V63" s="160"/>
      <c r="W63" s="161" t="str">
        <f ca="1">OP!$D$105</f>
        <v>V1.2-1150101 試算日：1150101</v>
      </c>
      <c r="X63" s="23"/>
    </row>
    <row r="64" spans="1:24" s="24" customFormat="1" ht="16.5" customHeight="1">
      <c r="B64" s="228"/>
      <c r="C64" s="370"/>
      <c r="D64" s="370"/>
      <c r="E64" s="370"/>
      <c r="F64" s="370"/>
      <c r="G64" s="370"/>
      <c r="H64" s="370"/>
      <c r="I64" s="370"/>
      <c r="J64" s="370"/>
      <c r="K64" s="370"/>
      <c r="L64" s="370"/>
      <c r="M64" s="370"/>
      <c r="N64" s="370"/>
      <c r="O64" s="370"/>
      <c r="P64" s="370"/>
      <c r="Q64" s="370"/>
      <c r="R64" s="370"/>
      <c r="S64" s="370"/>
      <c r="U64" s="373" t="str">
        <f>IF(OP!$C$105="停售","本商品已停售","")</f>
        <v/>
      </c>
      <c r="V64" s="371"/>
      <c r="W64" s="477" t="s">
        <v>769</v>
      </c>
      <c r="X64" s="23"/>
    </row>
    <row r="65" spans="2:24" s="369" customFormat="1" ht="15" customHeight="1">
      <c r="B65" s="585" t="s">
        <v>316</v>
      </c>
      <c r="C65" s="585" t="s">
        <v>0</v>
      </c>
      <c r="D65" s="585" t="s">
        <v>631</v>
      </c>
      <c r="E65" s="586"/>
      <c r="F65" s="585" t="s">
        <v>985</v>
      </c>
      <c r="G65" s="586"/>
      <c r="H65" s="585" t="s">
        <v>752</v>
      </c>
      <c r="I65" s="586"/>
      <c r="J65" s="594" t="s">
        <v>753</v>
      </c>
      <c r="K65" s="595"/>
      <c r="L65" s="595"/>
      <c r="M65" s="595"/>
      <c r="N65" s="585" t="s">
        <v>1044</v>
      </c>
      <c r="O65" s="586"/>
      <c r="P65" s="585" t="s">
        <v>984</v>
      </c>
      <c r="Q65" s="586"/>
      <c r="R65" s="585" t="s">
        <v>826</v>
      </c>
      <c r="S65" s="586"/>
      <c r="T65" s="585" t="s">
        <v>632</v>
      </c>
      <c r="U65" s="586"/>
      <c r="V65" s="585" t="s">
        <v>761</v>
      </c>
      <c r="W65" s="586"/>
      <c r="X65" s="368"/>
    </row>
    <row r="66" spans="2:24" s="369" customFormat="1" ht="54.95" customHeight="1">
      <c r="B66" s="602"/>
      <c r="C66" s="603"/>
      <c r="D66" s="586"/>
      <c r="E66" s="586"/>
      <c r="F66" s="586"/>
      <c r="G66" s="586"/>
      <c r="H66" s="586"/>
      <c r="I66" s="586"/>
      <c r="J66" s="594" t="s">
        <v>630</v>
      </c>
      <c r="K66" s="596"/>
      <c r="L66" s="585" t="s">
        <v>767</v>
      </c>
      <c r="M66" s="597"/>
      <c r="N66" s="586"/>
      <c r="O66" s="586"/>
      <c r="P66" s="586"/>
      <c r="Q66" s="586"/>
      <c r="R66" s="586"/>
      <c r="S66" s="586"/>
      <c r="T66" s="586"/>
      <c r="U66" s="586"/>
      <c r="V66" s="586"/>
      <c r="W66" s="586"/>
      <c r="X66" s="368"/>
    </row>
    <row r="67" spans="2:24" s="345" customFormat="1" ht="12.95" customHeight="1">
      <c r="B67" s="481">
        <f ca="1">IF(OR(C57&gt;=OP!F$57,C57=""),"",IF(C57+1&gt;OP!$F$57,OP!$F$57+1-$B$23,B57+1))</f>
        <v>36</v>
      </c>
      <c r="C67" s="481">
        <f ca="1">IF(OR($A$2=1,MAX($C$23:$C$57)&gt;=OP!$F$57),"",C57+(B67-B57))</f>
        <v>35</v>
      </c>
      <c r="D67" s="590" t="str">
        <f ca="1">IF(OR($A$2=1,B67&gt;OP!$C$24),"",OP!$C$52)</f>
        <v/>
      </c>
      <c r="E67" s="591"/>
      <c r="F67" s="590">
        <f ca="1">IF(OR($A$2=1,B67=""),"",N(F57)+N(D67))</f>
        <v>47320</v>
      </c>
      <c r="G67" s="591"/>
      <c r="H67" s="590">
        <f ca="1">IF(OR($A$2=1,B67=""),"",ROUND(VLOOKUP(OP!$C$55,DIE,$B67+1,0)*OP!$C$28,0))</f>
        <v>100000</v>
      </c>
      <c r="I67" s="591"/>
      <c r="J67" s="592">
        <f ca="1">IF(OR($A$2=1,$B67=""),"",ROUND(VLOOKUP(OP!$C$55,HL_1,$B67+1,0)*OP!$C$28,0))</f>
        <v>50668</v>
      </c>
      <c r="K67" s="593"/>
      <c r="L67" s="592">
        <f ca="1">IF(OR($A$2=1,$B67=""),"",ROUND(VLOOKUP(OP!$C$55,HL_2,$B67+1,0)*OP!$C$28,0))</f>
        <v>100000</v>
      </c>
      <c r="M67" s="593"/>
      <c r="N67" s="592">
        <f ca="1">IF(OR($A$2=1,$B67=""),"",(ROUND(VLOOKUP(OP!$C$55,HL_2,$B67+1,0)*OP!$C$28,0)+ROUND(OP!$C$28*10000*0.2,0)))</f>
        <v>120000</v>
      </c>
      <c r="O67" s="593"/>
      <c r="P67" s="592">
        <f ca="1">IF(OR($A$2=1,$B67=""),"",ROUND(VLOOKUP(OP!$C$55,HL_3,$B67+1,0)*OP!$C$28,0))</f>
        <v>100000</v>
      </c>
      <c r="Q67" s="593"/>
      <c r="R67" s="590">
        <f ca="1">IF(OR($A$2=1,B67=""),"",ROUND(VLOOKUP(OP!$C$55,EXP,$B67+1,0)*OP!$C$28,0))</f>
        <v>0</v>
      </c>
      <c r="S67" s="591"/>
      <c r="T67" s="590">
        <f ca="1">IF(OR($A$2=1,B67=""),"",ROUND(VLOOKUP(OP!$C$55,CV,$B67+1,0)*OP!$C$28,0))</f>
        <v>6740</v>
      </c>
      <c r="U67" s="591"/>
      <c r="V67" s="590">
        <f ca="1">IF(OR($A$2=1,B67=""),"",ROUND(VLOOKUP(OP!$C$55,PA,$B67+1,0)*OP!$C$28,0))</f>
        <v>0</v>
      </c>
      <c r="W67" s="591"/>
      <c r="X67" s="346"/>
    </row>
    <row r="68" spans="2:24" s="345" customFormat="1" ht="12.95" customHeight="1">
      <c r="B68" s="481">
        <f ca="1">IF(OR(C67&gt;=OP!F$57,C67=""),"",IF(C67+1&gt;OP!$F$57,OP!$F$57+1-$B$23,B67+1))</f>
        <v>37</v>
      </c>
      <c r="C68" s="481">
        <f ca="1">IF(OR($A$2=1,MAX($C$23:$C$57,$C$67:C67)&gt;=OP!$F$57),"",C67+(B68-B67))</f>
        <v>36</v>
      </c>
      <c r="D68" s="590" t="str">
        <f ca="1">IF(OR($A$2=1,B68&gt;OP!$C$24),"",OP!$C$52)</f>
        <v/>
      </c>
      <c r="E68" s="591"/>
      <c r="F68" s="590">
        <f t="shared" ref="F68" ca="1" si="2">IF(OR($A$2=1,B68=""),"",N(F67)+N(D68))</f>
        <v>47320</v>
      </c>
      <c r="G68" s="591"/>
      <c r="H68" s="590">
        <f ca="1">IF(OR($A$2=1,B68=""),"",ROUND(VLOOKUP(OP!$C$55,DIE,$B68+1,0)*OP!$C$28,0))</f>
        <v>100000</v>
      </c>
      <c r="I68" s="591"/>
      <c r="J68" s="592">
        <f ca="1">IF(OR($A$2=1,$B68=""),"",ROUND(VLOOKUP(OP!$C$55,HL_1,$B68+1,0)*OP!$C$28,0))</f>
        <v>50668</v>
      </c>
      <c r="K68" s="593"/>
      <c r="L68" s="592">
        <f ca="1">IF(OR($A$2=1,$B68=""),"",ROUND(VLOOKUP(OP!$C$55,HL_2,$B68+1,0)*OP!$C$28,0))</f>
        <v>100000</v>
      </c>
      <c r="M68" s="593"/>
      <c r="N68" s="592">
        <f ca="1">IF(OR($A$2=1,$B68=""),"",(ROUND(VLOOKUP(OP!$C$55,HL_2,$B68+1,0)*OP!$C$28,0)+ROUND(OP!$C$28*10000*0.2,0)))</f>
        <v>120000</v>
      </c>
      <c r="O68" s="593"/>
      <c r="P68" s="592">
        <f ca="1">IF(OR($A$2=1,$B68=""),"",ROUND(VLOOKUP(OP!$C$55,HL_3,$B68+1,0)*OP!$C$28,0))</f>
        <v>100000</v>
      </c>
      <c r="Q68" s="593"/>
      <c r="R68" s="590">
        <f ca="1">IF(OR($A$2=1,B68=""),"",ROUND(VLOOKUP(OP!$C$55,EXP,$B68+1,0)*OP!$C$28,0))</f>
        <v>0</v>
      </c>
      <c r="S68" s="591"/>
      <c r="T68" s="590">
        <f ca="1">IF(OR($A$2=1,B68=""),"",ROUND(VLOOKUP(OP!$C$55,CV,$B68+1,0)*OP!$C$28,0))</f>
        <v>6860</v>
      </c>
      <c r="U68" s="591"/>
      <c r="V68" s="590">
        <f ca="1">IF(OR($A$2=1,B68=""),"",ROUND(VLOOKUP(OP!$C$55,PA,$B68+1,0)*OP!$C$28,0))</f>
        <v>0</v>
      </c>
      <c r="W68" s="591"/>
      <c r="X68" s="346"/>
    </row>
    <row r="69" spans="2:24" s="345" customFormat="1" ht="12.95" customHeight="1">
      <c r="B69" s="481">
        <f ca="1">IF(OR(C68&gt;=OP!F$57,C68=""),"",IF(C68+1&gt;OP!$F$57,OP!$F$57+1-$B$23,B68+1))</f>
        <v>38</v>
      </c>
      <c r="C69" s="481">
        <f ca="1">IF(OR($A$2=1,MAX($C$23:$C$57,$C$67:C68)&gt;=OP!$F$57),"",C68+(B69-B68))</f>
        <v>37</v>
      </c>
      <c r="D69" s="590" t="str">
        <f ca="1">IF(OR($A$2=1,B69&gt;OP!$C$24),"",OP!$C$52)</f>
        <v/>
      </c>
      <c r="E69" s="591"/>
      <c r="F69" s="590">
        <f t="shared" ref="F69:F116" ca="1" si="3">IF(OR($A$2=1,B69=""),"",N(F68)+N(D69))</f>
        <v>47320</v>
      </c>
      <c r="G69" s="591"/>
      <c r="H69" s="590">
        <f ca="1">IF(OR($A$2=1,B69=""),"",ROUND(VLOOKUP(OP!$C$55,DIE,$B69+1,0)*OP!$C$28,0))</f>
        <v>100000</v>
      </c>
      <c r="I69" s="591"/>
      <c r="J69" s="592">
        <f ca="1">IF(OR($A$2=1,$B69=""),"",ROUND(VLOOKUP(OP!$C$55,HL_1,$B69+1,0)*OP!$C$28,0))</f>
        <v>50668</v>
      </c>
      <c r="K69" s="593"/>
      <c r="L69" s="592">
        <f ca="1">IF(OR($A$2=1,$B69=""),"",ROUND(VLOOKUP(OP!$C$55,HL_2,$B69+1,0)*OP!$C$28,0))</f>
        <v>100000</v>
      </c>
      <c r="M69" s="593"/>
      <c r="N69" s="592">
        <f ca="1">IF(OR($A$2=1,$B69=""),"",(ROUND(VLOOKUP(OP!$C$55,HL_2,$B69+1,0)*OP!$C$28,0)+ROUND(OP!$C$28*10000*0.2,0)))</f>
        <v>120000</v>
      </c>
      <c r="O69" s="593"/>
      <c r="P69" s="592">
        <f ca="1">IF(OR($A$2=1,$B69=""),"",ROUND(VLOOKUP(OP!$C$55,HL_3,$B69+1,0)*OP!$C$28,0))</f>
        <v>100000</v>
      </c>
      <c r="Q69" s="593"/>
      <c r="R69" s="590">
        <f ca="1">IF(OR($A$2=1,B69=""),"",ROUND(VLOOKUP(OP!$C$55,EXP,$B69+1,0)*OP!$C$28,0))</f>
        <v>0</v>
      </c>
      <c r="S69" s="591"/>
      <c r="T69" s="590">
        <f ca="1">IF(OR($A$2=1,B69=""),"",ROUND(VLOOKUP(OP!$C$55,CV,$B69+1,0)*OP!$C$28,0))</f>
        <v>6970</v>
      </c>
      <c r="U69" s="591"/>
      <c r="V69" s="590">
        <f ca="1">IF(OR($A$2=1,B69=""),"",ROUND(VLOOKUP(OP!$C$55,PA,$B69+1,0)*OP!$C$28,0))</f>
        <v>0</v>
      </c>
      <c r="W69" s="591"/>
      <c r="X69" s="346"/>
    </row>
    <row r="70" spans="2:24" s="345" customFormat="1" ht="12.95" customHeight="1">
      <c r="B70" s="481">
        <f ca="1">IF(OR(C69&gt;=OP!F$57,C69=""),"",IF(C69+1&gt;OP!$F$57,OP!$F$57+1-$B$23,B69+1))</f>
        <v>39</v>
      </c>
      <c r="C70" s="481">
        <f ca="1">IF(OR($A$2=1,MAX($C$23:$C$57,$C$67:C69)&gt;=OP!$F$57),"",C69+(B70-B69))</f>
        <v>38</v>
      </c>
      <c r="D70" s="590" t="str">
        <f ca="1">IF(OR($A$2=1,B70&gt;OP!$C$24),"",OP!$C$52)</f>
        <v/>
      </c>
      <c r="E70" s="591"/>
      <c r="F70" s="590">
        <f t="shared" ca="1" si="3"/>
        <v>47320</v>
      </c>
      <c r="G70" s="591"/>
      <c r="H70" s="590">
        <f ca="1">IF(OR($A$2=1,B70=""),"",ROUND(VLOOKUP(OP!$C$55,DIE,$B70+1,0)*OP!$C$28,0))</f>
        <v>100000</v>
      </c>
      <c r="I70" s="591"/>
      <c r="J70" s="592">
        <f ca="1">IF(OR($A$2=1,$B70=""),"",ROUND(VLOOKUP(OP!$C$55,HL_1,$B70+1,0)*OP!$C$28,0))</f>
        <v>50668</v>
      </c>
      <c r="K70" s="593"/>
      <c r="L70" s="592">
        <f ca="1">IF(OR($A$2=1,$B70=""),"",ROUND(VLOOKUP(OP!$C$55,HL_2,$B70+1,0)*OP!$C$28,0))</f>
        <v>100000</v>
      </c>
      <c r="M70" s="593"/>
      <c r="N70" s="592">
        <f ca="1">IF(OR($A$2=1,$B70=""),"",(ROUND(VLOOKUP(OP!$C$55,HL_2,$B70+1,0)*OP!$C$28,0)+ROUND(OP!$C$28*10000*0.2,0)))</f>
        <v>120000</v>
      </c>
      <c r="O70" s="593"/>
      <c r="P70" s="592">
        <f ca="1">IF(OR($A$2=1,$B70=""),"",ROUND(VLOOKUP(OP!$C$55,HL_3,$B70+1,0)*OP!$C$28,0))</f>
        <v>100000</v>
      </c>
      <c r="Q70" s="593"/>
      <c r="R70" s="590">
        <f ca="1">IF(OR($A$2=1,B70=""),"",ROUND(VLOOKUP(OP!$C$55,EXP,$B70+1,0)*OP!$C$28,0))</f>
        <v>0</v>
      </c>
      <c r="S70" s="591"/>
      <c r="T70" s="590">
        <f ca="1">IF(OR($A$2=1,B70=""),"",ROUND(VLOOKUP(OP!$C$55,CV,$B70+1,0)*OP!$C$28,0))</f>
        <v>7090</v>
      </c>
      <c r="U70" s="591"/>
      <c r="V70" s="590">
        <f ca="1">IF(OR($A$2=1,B70=""),"",ROUND(VLOOKUP(OP!$C$55,PA,$B70+1,0)*OP!$C$28,0))</f>
        <v>0</v>
      </c>
      <c r="W70" s="591"/>
      <c r="X70" s="346"/>
    </row>
    <row r="71" spans="2:24" s="345" customFormat="1" ht="12.95" customHeight="1">
      <c r="B71" s="481">
        <f ca="1">IF(OR(C70&gt;=OP!F$57,C70=""),"",IF(C70+1&gt;OP!$F$57,OP!$F$57+1-$B$23,B70+1))</f>
        <v>40</v>
      </c>
      <c r="C71" s="481">
        <f ca="1">IF(OR($A$2=1,MAX($C$23:$C$57,$C$67:C70)&gt;=OP!$F$57),"",C70+(B71-B70))</f>
        <v>39</v>
      </c>
      <c r="D71" s="590" t="str">
        <f ca="1">IF(OR($A$2=1,B71&gt;OP!$C$24),"",OP!$C$52)</f>
        <v/>
      </c>
      <c r="E71" s="591"/>
      <c r="F71" s="590">
        <f t="shared" ca="1" si="3"/>
        <v>47320</v>
      </c>
      <c r="G71" s="591"/>
      <c r="H71" s="590">
        <f ca="1">IF(OR($A$2=1,B71=""),"",ROUND(VLOOKUP(OP!$C$55,DIE,$B71+1,0)*OP!$C$28,0))</f>
        <v>100000</v>
      </c>
      <c r="I71" s="591"/>
      <c r="J71" s="592">
        <f ca="1">IF(OR($A$2=1,$B71=""),"",ROUND(VLOOKUP(OP!$C$55,HL_1,$B71+1,0)*OP!$C$28,0))</f>
        <v>50668</v>
      </c>
      <c r="K71" s="593"/>
      <c r="L71" s="592">
        <f ca="1">IF(OR($A$2=1,$B71=""),"",ROUND(VLOOKUP(OP!$C$55,HL_2,$B71+1,0)*OP!$C$28,0))</f>
        <v>100000</v>
      </c>
      <c r="M71" s="593"/>
      <c r="N71" s="592">
        <f ca="1">IF(OR($A$2=1,$B71=""),"",(ROUND(VLOOKUP(OP!$C$55,HL_2,$B71+1,0)*OP!$C$28,0)+ROUND(OP!$C$28*10000*0.2,0)))</f>
        <v>120000</v>
      </c>
      <c r="O71" s="593"/>
      <c r="P71" s="592">
        <f ca="1">IF(OR($A$2=1,$B71=""),"",ROUND(VLOOKUP(OP!$C$55,HL_3,$B71+1,0)*OP!$C$28,0))</f>
        <v>100000</v>
      </c>
      <c r="Q71" s="593"/>
      <c r="R71" s="590">
        <f ca="1">IF(OR($A$2=1,B71=""),"",ROUND(VLOOKUP(OP!$C$55,EXP,$B71+1,0)*OP!$C$28,0))</f>
        <v>0</v>
      </c>
      <c r="S71" s="591"/>
      <c r="T71" s="590">
        <f ca="1">IF(OR($A$2=1,B71=""),"",ROUND(VLOOKUP(OP!$C$55,CV,$B71+1,0)*OP!$C$28,0))</f>
        <v>7210</v>
      </c>
      <c r="U71" s="591"/>
      <c r="V71" s="590">
        <f ca="1">IF(OR($A$2=1,B71=""),"",ROUND(VLOOKUP(OP!$C$55,PA,$B71+1,0)*OP!$C$28,0))</f>
        <v>0</v>
      </c>
      <c r="W71" s="591"/>
      <c r="X71" s="346"/>
    </row>
    <row r="72" spans="2:24" s="345" customFormat="1" ht="12.95" customHeight="1">
      <c r="B72" s="481">
        <f ca="1">IF(OR(C71&gt;=OP!F$57,C71=""),"",IF(C71+1&gt;OP!$F$57,OP!$F$57+1-$B$23,B71+1))</f>
        <v>41</v>
      </c>
      <c r="C72" s="481">
        <f ca="1">IF(OR($A$2=1,MAX($C$23:$C$57,$C$67:C71)&gt;=OP!$F$57),"",C71+(B72-B71))</f>
        <v>40</v>
      </c>
      <c r="D72" s="590" t="str">
        <f ca="1">IF(OR($A$2=1,B72&gt;OP!$C$24),"",OP!$C$52)</f>
        <v/>
      </c>
      <c r="E72" s="591"/>
      <c r="F72" s="590">
        <f t="shared" ca="1" si="3"/>
        <v>47320</v>
      </c>
      <c r="G72" s="591"/>
      <c r="H72" s="590">
        <f ca="1">IF(OR($A$2=1,B72=""),"",ROUND(VLOOKUP(OP!$C$55,DIE,$B72+1,0)*OP!$C$28,0))</f>
        <v>100000</v>
      </c>
      <c r="I72" s="591"/>
      <c r="J72" s="592">
        <f ca="1">IF(OR($A$2=1,$B72=""),"",ROUND(VLOOKUP(OP!$C$55,HL_1,$B72+1,0)*OP!$C$28,0))</f>
        <v>50668</v>
      </c>
      <c r="K72" s="593"/>
      <c r="L72" s="592">
        <f ca="1">IF(OR($A$2=1,$B72=""),"",ROUND(VLOOKUP(OP!$C$55,HL_2,$B72+1,0)*OP!$C$28,0))</f>
        <v>100000</v>
      </c>
      <c r="M72" s="593"/>
      <c r="N72" s="592">
        <f ca="1">IF(OR($A$2=1,$B72=""),"",(ROUND(VLOOKUP(OP!$C$55,HL_2,$B72+1,0)*OP!$C$28,0)+ROUND(OP!$C$28*10000*0.2,0)))</f>
        <v>120000</v>
      </c>
      <c r="O72" s="593"/>
      <c r="P72" s="592">
        <f ca="1">IF(OR($A$2=1,$B72=""),"",ROUND(VLOOKUP(OP!$C$55,HL_3,$B72+1,0)*OP!$C$28,0))</f>
        <v>100000</v>
      </c>
      <c r="Q72" s="593"/>
      <c r="R72" s="590">
        <f ca="1">IF(OR($A$2=1,B72=""),"",ROUND(VLOOKUP(OP!$C$55,EXP,$B72+1,0)*OP!$C$28,0))</f>
        <v>0</v>
      </c>
      <c r="S72" s="591"/>
      <c r="T72" s="590">
        <f ca="1">IF(OR($A$2=1,B72=""),"",ROUND(VLOOKUP(OP!$C$55,CV,$B72+1,0)*OP!$C$28,0))</f>
        <v>7340</v>
      </c>
      <c r="U72" s="591"/>
      <c r="V72" s="590">
        <f ca="1">IF(OR($A$2=1,B72=""),"",ROUND(VLOOKUP(OP!$C$55,PA,$B72+1,0)*OP!$C$28,0))</f>
        <v>0</v>
      </c>
      <c r="W72" s="591"/>
      <c r="X72" s="346"/>
    </row>
    <row r="73" spans="2:24" s="345" customFormat="1" ht="12.95" customHeight="1">
      <c r="B73" s="481">
        <f ca="1">IF(OR(C72&gt;=OP!F$57,C72=""),"",IF(C72+1&gt;OP!$F$57,OP!$F$57+1-$B$23,B72+1))</f>
        <v>42</v>
      </c>
      <c r="C73" s="481">
        <f ca="1">IF(OR($A$2=1,MAX($C$23:$C$57,$C$67:C72)&gt;=OP!$F$57),"",C72+(B73-B72))</f>
        <v>41</v>
      </c>
      <c r="D73" s="590" t="str">
        <f ca="1">IF(OR($A$2=1,B73&gt;OP!$C$24),"",OP!$C$52)</f>
        <v/>
      </c>
      <c r="E73" s="591"/>
      <c r="F73" s="590">
        <f t="shared" ca="1" si="3"/>
        <v>47320</v>
      </c>
      <c r="G73" s="591"/>
      <c r="H73" s="590">
        <f ca="1">IF(OR($A$2=1,B73=""),"",ROUND(VLOOKUP(OP!$C$55,DIE,$B73+1,0)*OP!$C$28,0))</f>
        <v>100000</v>
      </c>
      <c r="I73" s="591"/>
      <c r="J73" s="592">
        <f ca="1">IF(OR($A$2=1,$B73=""),"",ROUND(VLOOKUP(OP!$C$55,HL_1,$B73+1,0)*OP!$C$28,0))</f>
        <v>50668</v>
      </c>
      <c r="K73" s="593"/>
      <c r="L73" s="592">
        <f ca="1">IF(OR($A$2=1,$B73=""),"",ROUND(VLOOKUP(OP!$C$55,HL_2,$B73+1,0)*OP!$C$28,0))</f>
        <v>100000</v>
      </c>
      <c r="M73" s="593"/>
      <c r="N73" s="592">
        <f ca="1">IF(OR($A$2=1,$B73=""),"",(ROUND(VLOOKUP(OP!$C$55,HL_2,$B73+1,0)*OP!$C$28,0)+ROUND(OP!$C$28*10000*0.2,0)))</f>
        <v>120000</v>
      </c>
      <c r="O73" s="593"/>
      <c r="P73" s="592">
        <f ca="1">IF(OR($A$2=1,$B73=""),"",ROUND(VLOOKUP(OP!$C$55,HL_3,$B73+1,0)*OP!$C$28,0))</f>
        <v>100000</v>
      </c>
      <c r="Q73" s="593"/>
      <c r="R73" s="590">
        <f ca="1">IF(OR($A$2=1,B73=""),"",ROUND(VLOOKUP(OP!$C$55,EXP,$B73+1,0)*OP!$C$28,0))</f>
        <v>0</v>
      </c>
      <c r="S73" s="591"/>
      <c r="T73" s="590">
        <f ca="1">IF(OR($A$2=1,B73=""),"",ROUND(VLOOKUP(OP!$C$55,CV,$B73+1,0)*OP!$C$28,0))</f>
        <v>7480</v>
      </c>
      <c r="U73" s="591"/>
      <c r="V73" s="590">
        <f ca="1">IF(OR($A$2=1,B73=""),"",ROUND(VLOOKUP(OP!$C$55,PA,$B73+1,0)*OP!$C$28,0))</f>
        <v>0</v>
      </c>
      <c r="W73" s="591"/>
      <c r="X73" s="346"/>
    </row>
    <row r="74" spans="2:24" s="345" customFormat="1" ht="12.95" customHeight="1">
      <c r="B74" s="481">
        <f ca="1">IF(OR(C73&gt;=OP!F$57,C73=""),"",IF(C73+1&gt;OP!$F$57,OP!$F$57+1-$B$23,B73+1))</f>
        <v>43</v>
      </c>
      <c r="C74" s="481">
        <f ca="1">IF(OR($A$2=1,MAX($C$23:$C$57,$C$67:C73)&gt;=OP!$F$57),"",C73+(B74-B73))</f>
        <v>42</v>
      </c>
      <c r="D74" s="590" t="str">
        <f ca="1">IF(OR($A$2=1,B74&gt;OP!$C$24),"",OP!$C$52)</f>
        <v/>
      </c>
      <c r="E74" s="591"/>
      <c r="F74" s="590">
        <f t="shared" ca="1" si="3"/>
        <v>47320</v>
      </c>
      <c r="G74" s="591"/>
      <c r="H74" s="590">
        <f ca="1">IF(OR($A$2=1,B74=""),"",ROUND(VLOOKUP(OP!$C$55,DIE,$B74+1,0)*OP!$C$28,0))</f>
        <v>100000</v>
      </c>
      <c r="I74" s="591"/>
      <c r="J74" s="592">
        <f ca="1">IF(OR($A$2=1,$B74=""),"",ROUND(VLOOKUP(OP!$C$55,HL_1,$B74+1,0)*OP!$C$28,0))</f>
        <v>50668</v>
      </c>
      <c r="K74" s="593"/>
      <c r="L74" s="592">
        <f ca="1">IF(OR($A$2=1,$B74=""),"",ROUND(VLOOKUP(OP!$C$55,HL_2,$B74+1,0)*OP!$C$28,0))</f>
        <v>100000</v>
      </c>
      <c r="M74" s="593"/>
      <c r="N74" s="592">
        <f ca="1">IF(OR($A$2=1,$B74=""),"",(ROUND(VLOOKUP(OP!$C$55,HL_2,$B74+1,0)*OP!$C$28,0)+ROUND(OP!$C$28*10000*0.2,0)))</f>
        <v>120000</v>
      </c>
      <c r="O74" s="593"/>
      <c r="P74" s="592">
        <f ca="1">IF(OR($A$2=1,$B74=""),"",ROUND(VLOOKUP(OP!$C$55,HL_3,$B74+1,0)*OP!$C$28,0))</f>
        <v>100000</v>
      </c>
      <c r="Q74" s="593"/>
      <c r="R74" s="590">
        <f ca="1">IF(OR($A$2=1,B74=""),"",ROUND(VLOOKUP(OP!$C$55,EXP,$B74+1,0)*OP!$C$28,0))</f>
        <v>0</v>
      </c>
      <c r="S74" s="591"/>
      <c r="T74" s="590">
        <f ca="1">IF(OR($A$2=1,B74=""),"",ROUND(VLOOKUP(OP!$C$55,CV,$B74+1,0)*OP!$C$28,0))</f>
        <v>7620</v>
      </c>
      <c r="U74" s="591"/>
      <c r="V74" s="590">
        <f ca="1">IF(OR($A$2=1,B74=""),"",ROUND(VLOOKUP(OP!$C$55,PA,$B74+1,0)*OP!$C$28,0))</f>
        <v>0</v>
      </c>
      <c r="W74" s="591"/>
      <c r="X74" s="346"/>
    </row>
    <row r="75" spans="2:24" s="345" customFormat="1" ht="12.95" customHeight="1">
      <c r="B75" s="481">
        <f ca="1">IF(OR(C74&gt;=OP!F$57,C74=""),"",IF(C74+1&gt;OP!$F$57,OP!$F$57+1-$B$23,B74+1))</f>
        <v>44</v>
      </c>
      <c r="C75" s="481">
        <f ca="1">IF(OR($A$2=1,MAX($C$23:$C$57,$C$67:C74)&gt;=OP!$F$57),"",C74+(B75-B74))</f>
        <v>43</v>
      </c>
      <c r="D75" s="590" t="str">
        <f ca="1">IF(OR($A$2=1,B75&gt;OP!$C$24),"",OP!$C$52)</f>
        <v/>
      </c>
      <c r="E75" s="591"/>
      <c r="F75" s="590">
        <f t="shared" ca="1" si="3"/>
        <v>47320</v>
      </c>
      <c r="G75" s="591"/>
      <c r="H75" s="590">
        <f ca="1">IF(OR($A$2=1,B75=""),"",ROUND(VLOOKUP(OP!$C$55,DIE,$B75+1,0)*OP!$C$28,0))</f>
        <v>100000</v>
      </c>
      <c r="I75" s="591"/>
      <c r="J75" s="592">
        <f ca="1">IF(OR($A$2=1,$B75=""),"",ROUND(VLOOKUP(OP!$C$55,HL_1,$B75+1,0)*OP!$C$28,0))</f>
        <v>50668</v>
      </c>
      <c r="K75" s="593"/>
      <c r="L75" s="592">
        <f ca="1">IF(OR($A$2=1,$B75=""),"",ROUND(VLOOKUP(OP!$C$55,HL_2,$B75+1,0)*OP!$C$28,0))</f>
        <v>100000</v>
      </c>
      <c r="M75" s="593"/>
      <c r="N75" s="592">
        <f ca="1">IF(OR($A$2=1,$B75=""),"",(ROUND(VLOOKUP(OP!$C$55,HL_2,$B75+1,0)*OP!$C$28,0)+ROUND(OP!$C$28*10000*0.2,0)))</f>
        <v>120000</v>
      </c>
      <c r="O75" s="593"/>
      <c r="P75" s="592">
        <f ca="1">IF(OR($A$2=1,$B75=""),"",ROUND(VLOOKUP(OP!$C$55,HL_3,$B75+1,0)*OP!$C$28,0))</f>
        <v>100000</v>
      </c>
      <c r="Q75" s="593"/>
      <c r="R75" s="590">
        <f ca="1">IF(OR($A$2=1,B75=""),"",ROUND(VLOOKUP(OP!$C$55,EXP,$B75+1,0)*OP!$C$28,0))</f>
        <v>0</v>
      </c>
      <c r="S75" s="591"/>
      <c r="T75" s="590">
        <f ca="1">IF(OR($A$2=1,B75=""),"",ROUND(VLOOKUP(OP!$C$55,CV,$B75+1,0)*OP!$C$28,0))</f>
        <v>7760</v>
      </c>
      <c r="U75" s="591"/>
      <c r="V75" s="590">
        <f ca="1">IF(OR($A$2=1,B75=""),"",ROUND(VLOOKUP(OP!$C$55,PA,$B75+1,0)*OP!$C$28,0))</f>
        <v>0</v>
      </c>
      <c r="W75" s="591"/>
      <c r="X75" s="346"/>
    </row>
    <row r="76" spans="2:24" s="345" customFormat="1" ht="12.95" customHeight="1">
      <c r="B76" s="481">
        <f ca="1">IF(OR(C75&gt;=OP!F$57,C75=""),"",IF(C75+1&gt;OP!$F$57,OP!$F$57+1-$B$23,B75+1))</f>
        <v>45</v>
      </c>
      <c r="C76" s="481">
        <f ca="1">IF(OR($A$2=1,MAX($C$23:$C$57,$C$67:C75)&gt;=OP!$F$57),"",C75+(B76-B75))</f>
        <v>44</v>
      </c>
      <c r="D76" s="590" t="str">
        <f ca="1">IF(OR($A$2=1,B76&gt;OP!$C$24),"",OP!$C$52)</f>
        <v/>
      </c>
      <c r="E76" s="591"/>
      <c r="F76" s="590">
        <f t="shared" ca="1" si="3"/>
        <v>47320</v>
      </c>
      <c r="G76" s="591"/>
      <c r="H76" s="590">
        <f ca="1">IF(OR($A$2=1,B76=""),"",ROUND(VLOOKUP(OP!$C$55,DIE,$B76+1,0)*OP!$C$28,0))</f>
        <v>100000</v>
      </c>
      <c r="I76" s="591"/>
      <c r="J76" s="592">
        <f ca="1">IF(OR($A$2=1,$B76=""),"",ROUND(VLOOKUP(OP!$C$55,HL_1,$B76+1,0)*OP!$C$28,0))</f>
        <v>50668</v>
      </c>
      <c r="K76" s="593"/>
      <c r="L76" s="592">
        <f ca="1">IF(OR($A$2=1,$B76=""),"",ROUND(VLOOKUP(OP!$C$55,HL_2,$B76+1,0)*OP!$C$28,0))</f>
        <v>100000</v>
      </c>
      <c r="M76" s="593"/>
      <c r="N76" s="592">
        <f ca="1">IF(OR($A$2=1,$B76=""),"",(ROUND(VLOOKUP(OP!$C$55,HL_2,$B76+1,0)*OP!$C$28,0)+ROUND(OP!$C$28*10000*0.2,0)))</f>
        <v>120000</v>
      </c>
      <c r="O76" s="593"/>
      <c r="P76" s="592">
        <f ca="1">IF(OR($A$2=1,$B76=""),"",ROUND(VLOOKUP(OP!$C$55,HL_3,$B76+1,0)*OP!$C$28,0))</f>
        <v>100000</v>
      </c>
      <c r="Q76" s="593"/>
      <c r="R76" s="590">
        <f ca="1">IF(OR($A$2=1,B76=""),"",ROUND(VLOOKUP(OP!$C$55,EXP,$B76+1,0)*OP!$C$28,0))</f>
        <v>0</v>
      </c>
      <c r="S76" s="591"/>
      <c r="T76" s="590">
        <f ca="1">IF(OR($A$2=1,B76=""),"",ROUND(VLOOKUP(OP!$C$55,CV,$B76+1,0)*OP!$C$28,0))</f>
        <v>7910</v>
      </c>
      <c r="U76" s="591"/>
      <c r="V76" s="590">
        <f ca="1">IF(OR($A$2=1,B76=""),"",ROUND(VLOOKUP(OP!$C$55,PA,$B76+1,0)*OP!$C$28,0))</f>
        <v>0</v>
      </c>
      <c r="W76" s="591"/>
      <c r="X76" s="346"/>
    </row>
    <row r="77" spans="2:24" s="345" customFormat="1" ht="12.95" customHeight="1">
      <c r="B77" s="481">
        <f ca="1">IF(OR(C76&gt;=OP!F$57,C76=""),"",IF(C76+1&gt;OP!$F$57,OP!$F$57+1-$B$23,B76+1))</f>
        <v>46</v>
      </c>
      <c r="C77" s="481">
        <f ca="1">IF(OR($A$2=1,MAX($C$23:$C$57,$C$67:C76)&gt;=OP!$F$57),"",C76+(B77-B76))</f>
        <v>45</v>
      </c>
      <c r="D77" s="590" t="str">
        <f ca="1">IF(OR($A$2=1,B77&gt;OP!$C$24),"",OP!$C$52)</f>
        <v/>
      </c>
      <c r="E77" s="591"/>
      <c r="F77" s="590">
        <f t="shared" ca="1" si="3"/>
        <v>47320</v>
      </c>
      <c r="G77" s="591"/>
      <c r="H77" s="590">
        <f ca="1">IF(OR($A$2=1,B77=""),"",ROUND(VLOOKUP(OP!$C$55,DIE,$B77+1,0)*OP!$C$28,0))</f>
        <v>100000</v>
      </c>
      <c r="I77" s="591"/>
      <c r="J77" s="592">
        <f ca="1">IF(OR($A$2=1,$B77=""),"",ROUND(VLOOKUP(OP!$C$55,HL_1,$B77+1,0)*OP!$C$28,0))</f>
        <v>50668</v>
      </c>
      <c r="K77" s="593"/>
      <c r="L77" s="592">
        <f ca="1">IF(OR($A$2=1,$B77=""),"",ROUND(VLOOKUP(OP!$C$55,HL_2,$B77+1,0)*OP!$C$28,0))</f>
        <v>100000</v>
      </c>
      <c r="M77" s="593"/>
      <c r="N77" s="592">
        <f ca="1">IF(OR($A$2=1,$B77=""),"",(ROUND(VLOOKUP(OP!$C$55,HL_2,$B77+1,0)*OP!$C$28,0)+ROUND(OP!$C$28*10000*0.2,0)))</f>
        <v>120000</v>
      </c>
      <c r="O77" s="593"/>
      <c r="P77" s="592">
        <f ca="1">IF(OR($A$2=1,$B77=""),"",ROUND(VLOOKUP(OP!$C$55,HL_3,$B77+1,0)*OP!$C$28,0))</f>
        <v>100000</v>
      </c>
      <c r="Q77" s="593"/>
      <c r="R77" s="590">
        <f ca="1">IF(OR($A$2=1,B77=""),"",ROUND(VLOOKUP(OP!$C$55,EXP,$B77+1,0)*OP!$C$28,0))</f>
        <v>0</v>
      </c>
      <c r="S77" s="591"/>
      <c r="T77" s="590">
        <f ca="1">IF(OR($A$2=1,B77=""),"",ROUND(VLOOKUP(OP!$C$55,CV,$B77+1,0)*OP!$C$28,0))</f>
        <v>8070</v>
      </c>
      <c r="U77" s="591"/>
      <c r="V77" s="590">
        <f ca="1">IF(OR($A$2=1,B77=""),"",ROUND(VLOOKUP(OP!$C$55,PA,$B77+1,0)*OP!$C$28,0))</f>
        <v>0</v>
      </c>
      <c r="W77" s="591"/>
      <c r="X77" s="346"/>
    </row>
    <row r="78" spans="2:24" s="345" customFormat="1" ht="12.95" customHeight="1">
      <c r="B78" s="481">
        <f ca="1">IF(OR(C77&gt;=OP!F$57,C77=""),"",IF(C77+1&gt;OP!$F$57,OP!$F$57+1-$B$23,B77+1))</f>
        <v>47</v>
      </c>
      <c r="C78" s="481">
        <f ca="1">IF(OR($A$2=1,MAX($C$23:$C$57,$C$67:C77)&gt;=OP!$F$57),"",C77+(B78-B77))</f>
        <v>46</v>
      </c>
      <c r="D78" s="590" t="str">
        <f ca="1">IF(OR($A$2=1,B78&gt;OP!$C$24),"",OP!$C$52)</f>
        <v/>
      </c>
      <c r="E78" s="591"/>
      <c r="F78" s="590">
        <f t="shared" ca="1" si="3"/>
        <v>47320</v>
      </c>
      <c r="G78" s="591"/>
      <c r="H78" s="590">
        <f ca="1">IF(OR($A$2=1,B78=""),"",ROUND(VLOOKUP(OP!$C$55,DIE,$B78+1,0)*OP!$C$28,0))</f>
        <v>100000</v>
      </c>
      <c r="I78" s="591"/>
      <c r="J78" s="592">
        <f ca="1">IF(OR($A$2=1,$B78=""),"",ROUND(VLOOKUP(OP!$C$55,HL_1,$B78+1,0)*OP!$C$28,0))</f>
        <v>50668</v>
      </c>
      <c r="K78" s="593"/>
      <c r="L78" s="592">
        <f ca="1">IF(OR($A$2=1,$B78=""),"",ROUND(VLOOKUP(OP!$C$55,HL_2,$B78+1,0)*OP!$C$28,0))</f>
        <v>100000</v>
      </c>
      <c r="M78" s="593"/>
      <c r="N78" s="592">
        <f ca="1">IF(OR($A$2=1,$B78=""),"",(ROUND(VLOOKUP(OP!$C$55,HL_2,$B78+1,0)*OP!$C$28,0)+ROUND(OP!$C$28*10000*0.2,0)))</f>
        <v>120000</v>
      </c>
      <c r="O78" s="593"/>
      <c r="P78" s="592">
        <f ca="1">IF(OR($A$2=1,$B78=""),"",ROUND(VLOOKUP(OP!$C$55,HL_3,$B78+1,0)*OP!$C$28,0))</f>
        <v>100000</v>
      </c>
      <c r="Q78" s="593"/>
      <c r="R78" s="590">
        <f ca="1">IF(OR($A$2=1,B78=""),"",ROUND(VLOOKUP(OP!$C$55,EXP,$B78+1,0)*OP!$C$28,0))</f>
        <v>0</v>
      </c>
      <c r="S78" s="591"/>
      <c r="T78" s="590">
        <f ca="1">IF(OR($A$2=1,B78=""),"",ROUND(VLOOKUP(OP!$C$55,CV,$B78+1,0)*OP!$C$28,0))</f>
        <v>8250</v>
      </c>
      <c r="U78" s="591"/>
      <c r="V78" s="590">
        <f ca="1">IF(OR($A$2=1,B78=""),"",ROUND(VLOOKUP(OP!$C$55,PA,$B78+1,0)*OP!$C$28,0))</f>
        <v>0</v>
      </c>
      <c r="W78" s="591"/>
      <c r="X78" s="346"/>
    </row>
    <row r="79" spans="2:24" s="345" customFormat="1" ht="12.95" customHeight="1">
      <c r="B79" s="481">
        <f ca="1">IF(OR(C78&gt;=OP!F$57,C78=""),"",IF(C78+1&gt;OP!$F$57,OP!$F$57+1-$B$23,B78+1))</f>
        <v>48</v>
      </c>
      <c r="C79" s="481">
        <f ca="1">IF(OR($A$2=1,MAX($C$23:$C$57,$C$67:C78)&gt;=OP!$F$57),"",C78+(B79-B78))</f>
        <v>47</v>
      </c>
      <c r="D79" s="590" t="str">
        <f ca="1">IF(OR($A$2=1,B79&gt;OP!$C$24),"",OP!$C$52)</f>
        <v/>
      </c>
      <c r="E79" s="591"/>
      <c r="F79" s="590">
        <f t="shared" ca="1" si="3"/>
        <v>47320</v>
      </c>
      <c r="G79" s="591"/>
      <c r="H79" s="590">
        <f ca="1">IF(OR($A$2=1,B79=""),"",ROUND(VLOOKUP(OP!$C$55,DIE,$B79+1,0)*OP!$C$28,0))</f>
        <v>100000</v>
      </c>
      <c r="I79" s="591"/>
      <c r="J79" s="592">
        <f ca="1">IF(OR($A$2=1,$B79=""),"",ROUND(VLOOKUP(OP!$C$55,HL_1,$B79+1,0)*OP!$C$28,0))</f>
        <v>50668</v>
      </c>
      <c r="K79" s="593"/>
      <c r="L79" s="592">
        <f ca="1">IF(OR($A$2=1,$B79=""),"",ROUND(VLOOKUP(OP!$C$55,HL_2,$B79+1,0)*OP!$C$28,0))</f>
        <v>100000</v>
      </c>
      <c r="M79" s="593"/>
      <c r="N79" s="592">
        <f ca="1">IF(OR($A$2=1,$B79=""),"",(ROUND(VLOOKUP(OP!$C$55,HL_2,$B79+1,0)*OP!$C$28,0)+ROUND(OP!$C$28*10000*0.2,0)))</f>
        <v>120000</v>
      </c>
      <c r="O79" s="593"/>
      <c r="P79" s="592">
        <f ca="1">IF(OR($A$2=1,$B79=""),"",ROUND(VLOOKUP(OP!$C$55,HL_3,$B79+1,0)*OP!$C$28,0))</f>
        <v>100000</v>
      </c>
      <c r="Q79" s="593"/>
      <c r="R79" s="590">
        <f ca="1">IF(OR($A$2=1,B79=""),"",ROUND(VLOOKUP(OP!$C$55,EXP,$B79+1,0)*OP!$C$28,0))</f>
        <v>0</v>
      </c>
      <c r="S79" s="591"/>
      <c r="T79" s="590">
        <f ca="1">IF(OR($A$2=1,B79=""),"",ROUND(VLOOKUP(OP!$C$55,CV,$B79+1,0)*OP!$C$28,0))</f>
        <v>8430</v>
      </c>
      <c r="U79" s="591"/>
      <c r="V79" s="590">
        <f ca="1">IF(OR($A$2=1,B79=""),"",ROUND(VLOOKUP(OP!$C$55,PA,$B79+1,0)*OP!$C$28,0))</f>
        <v>0</v>
      </c>
      <c r="W79" s="591"/>
      <c r="X79" s="346"/>
    </row>
    <row r="80" spans="2:24" s="345" customFormat="1" ht="12.95" customHeight="1">
      <c r="B80" s="481">
        <f ca="1">IF(OR(C79&gt;=OP!F$57,C79=""),"",IF(C79+1&gt;OP!$F$57,OP!$F$57+1-$B$23,B79+1))</f>
        <v>49</v>
      </c>
      <c r="C80" s="481">
        <f ca="1">IF(OR($A$2=1,MAX($C$23:$C$57,$C$67:C79)&gt;=OP!$F$57),"",C79+(B80-B79))</f>
        <v>48</v>
      </c>
      <c r="D80" s="590" t="str">
        <f ca="1">IF(OR($A$2=1,B80&gt;OP!$C$24),"",OP!$C$52)</f>
        <v/>
      </c>
      <c r="E80" s="591"/>
      <c r="F80" s="590">
        <f t="shared" ca="1" si="3"/>
        <v>47320</v>
      </c>
      <c r="G80" s="591"/>
      <c r="H80" s="590">
        <f ca="1">IF(OR($A$2=1,B80=""),"",ROUND(VLOOKUP(OP!$C$55,DIE,$B80+1,0)*OP!$C$28,0))</f>
        <v>100000</v>
      </c>
      <c r="I80" s="591"/>
      <c r="J80" s="592">
        <f ca="1">IF(OR($A$2=1,$B80=""),"",ROUND(VLOOKUP(OP!$C$55,HL_1,$B80+1,0)*OP!$C$28,0))</f>
        <v>50668</v>
      </c>
      <c r="K80" s="593"/>
      <c r="L80" s="592">
        <f ca="1">IF(OR($A$2=1,$B80=""),"",ROUND(VLOOKUP(OP!$C$55,HL_2,$B80+1,0)*OP!$C$28,0))</f>
        <v>100000</v>
      </c>
      <c r="M80" s="593"/>
      <c r="N80" s="592">
        <f ca="1">IF(OR($A$2=1,$B80=""),"",(ROUND(VLOOKUP(OP!$C$55,HL_2,$B80+1,0)*OP!$C$28,0)+ROUND(OP!$C$28*10000*0.2,0)))</f>
        <v>120000</v>
      </c>
      <c r="O80" s="593"/>
      <c r="P80" s="592">
        <f ca="1">IF(OR($A$2=1,$B80=""),"",ROUND(VLOOKUP(OP!$C$55,HL_3,$B80+1,0)*OP!$C$28,0))</f>
        <v>100000</v>
      </c>
      <c r="Q80" s="593"/>
      <c r="R80" s="590">
        <f ca="1">IF(OR($A$2=1,B80=""),"",ROUND(VLOOKUP(OP!$C$55,EXP,$B80+1,0)*OP!$C$28,0))</f>
        <v>0</v>
      </c>
      <c r="S80" s="591"/>
      <c r="T80" s="590">
        <f ca="1">IF(OR($A$2=1,B80=""),"",ROUND(VLOOKUP(OP!$C$55,CV,$B80+1,0)*OP!$C$28,0))</f>
        <v>8620</v>
      </c>
      <c r="U80" s="591"/>
      <c r="V80" s="590">
        <f ca="1">IF(OR($A$2=1,B80=""),"",ROUND(VLOOKUP(OP!$C$55,PA,$B80+1,0)*OP!$C$28,0))</f>
        <v>0</v>
      </c>
      <c r="W80" s="591"/>
      <c r="X80" s="346"/>
    </row>
    <row r="81" spans="1:24" s="345" customFormat="1" ht="12.95" customHeight="1">
      <c r="A81" s="35"/>
      <c r="B81" s="481">
        <f ca="1">IF(OR(C80&gt;=OP!F$57,C80=""),"",IF(C80+1&gt;OP!$F$57,OP!$F$57+1-$B$23,B80+1))</f>
        <v>50</v>
      </c>
      <c r="C81" s="481">
        <f ca="1">IF(OR($A$2=1,MAX($C$23:$C$57,$C$67:C80)&gt;=OP!$F$57),"",C80+(B81-B80))</f>
        <v>49</v>
      </c>
      <c r="D81" s="590" t="str">
        <f ca="1">IF(OR($A$2=1,B81&gt;OP!$C$24),"",OP!$C$52)</f>
        <v/>
      </c>
      <c r="E81" s="591"/>
      <c r="F81" s="590">
        <f t="shared" ca="1" si="3"/>
        <v>47320</v>
      </c>
      <c r="G81" s="591"/>
      <c r="H81" s="590">
        <f ca="1">IF(OR($A$2=1,B81=""),"",ROUND(VLOOKUP(OP!$C$55,DIE,$B81+1,0)*OP!$C$28,0))</f>
        <v>100000</v>
      </c>
      <c r="I81" s="591"/>
      <c r="J81" s="592">
        <f ca="1">IF(OR($A$2=1,$B81=""),"",ROUND(VLOOKUP(OP!$C$55,HL_1,$B81+1,0)*OP!$C$28,0))</f>
        <v>50668</v>
      </c>
      <c r="K81" s="593"/>
      <c r="L81" s="592">
        <f ca="1">IF(OR($A$2=1,$B81=""),"",ROUND(VLOOKUP(OP!$C$55,HL_2,$B81+1,0)*OP!$C$28,0))</f>
        <v>100000</v>
      </c>
      <c r="M81" s="593"/>
      <c r="N81" s="592">
        <f ca="1">IF(OR($A$2=1,$B81=""),"",(ROUND(VLOOKUP(OP!$C$55,HL_2,$B81+1,0)*OP!$C$28,0)+ROUND(OP!$C$28*10000*0.2,0)))</f>
        <v>120000</v>
      </c>
      <c r="O81" s="593"/>
      <c r="P81" s="592">
        <f ca="1">IF(OR($A$2=1,$B81=""),"",ROUND(VLOOKUP(OP!$C$55,HL_3,$B81+1,0)*OP!$C$28,0))</f>
        <v>100000</v>
      </c>
      <c r="Q81" s="593"/>
      <c r="R81" s="590">
        <f ca="1">IF(OR($A$2=1,B81=""),"",ROUND(VLOOKUP(OP!$C$55,EXP,$B81+1,0)*OP!$C$28,0))</f>
        <v>0</v>
      </c>
      <c r="S81" s="591"/>
      <c r="T81" s="590">
        <f ca="1">IF(OR($A$2=1,B81=""),"",ROUND(VLOOKUP(OP!$C$55,CV,$B81+1,0)*OP!$C$28,0))</f>
        <v>8830</v>
      </c>
      <c r="U81" s="591"/>
      <c r="V81" s="590">
        <f ca="1">IF(OR($A$2=1,B81=""),"",ROUND(VLOOKUP(OP!$C$55,PA,$B81+1,0)*OP!$C$28,0))</f>
        <v>0</v>
      </c>
      <c r="W81" s="591"/>
      <c r="X81" s="346"/>
    </row>
    <row r="82" spans="1:24" s="347" customFormat="1" ht="12.95" customHeight="1">
      <c r="A82" s="10"/>
      <c r="B82" s="481">
        <f ca="1">IF(OR(C81&gt;=OP!F$57,C81=""),"",IF(C81+1&gt;OP!$F$57,OP!$F$57+1-$B$23,B81+1))</f>
        <v>51</v>
      </c>
      <c r="C82" s="481">
        <f ca="1">IF(OR($A$2=1,MAX($C$23:$C$57,$C$67:C81)&gt;=OP!$F$57),"",C81+(B82-B81))</f>
        <v>50</v>
      </c>
      <c r="D82" s="590" t="str">
        <f ca="1">IF(OR($A$2=1,B82&gt;OP!$C$24),"",OP!$C$52)</f>
        <v/>
      </c>
      <c r="E82" s="591"/>
      <c r="F82" s="590">
        <f t="shared" ca="1" si="3"/>
        <v>47320</v>
      </c>
      <c r="G82" s="591"/>
      <c r="H82" s="590">
        <f ca="1">IF(OR($A$2=1,B82=""),"",ROUND(VLOOKUP(OP!$C$55,DIE,$B82+1,0)*OP!$C$28,0))</f>
        <v>100000</v>
      </c>
      <c r="I82" s="591"/>
      <c r="J82" s="592">
        <f ca="1">IF(OR($A$2=1,$B82=""),"",ROUND(VLOOKUP(OP!$C$55,HL_1,$B82+1,0)*OP!$C$28,0))</f>
        <v>50668</v>
      </c>
      <c r="K82" s="593"/>
      <c r="L82" s="592">
        <f ca="1">IF(OR($A$2=1,$B82=""),"",ROUND(VLOOKUP(OP!$C$55,HL_2,$B82+1,0)*OP!$C$28,0))</f>
        <v>100000</v>
      </c>
      <c r="M82" s="593"/>
      <c r="N82" s="592">
        <f ca="1">IF(OR($A$2=1,$B82=""),"",(ROUND(VLOOKUP(OP!$C$55,HL_2,$B82+1,0)*OP!$C$28,0)+ROUND(OP!$C$28*10000*0.2,0)))</f>
        <v>120000</v>
      </c>
      <c r="O82" s="593"/>
      <c r="P82" s="592">
        <f ca="1">IF(OR($A$2=1,$B82=""),"",ROUND(VLOOKUP(OP!$C$55,HL_3,$B82+1,0)*OP!$C$28,0))</f>
        <v>100000</v>
      </c>
      <c r="Q82" s="593"/>
      <c r="R82" s="590">
        <f ca="1">IF(OR($A$2=1,B82=""),"",ROUND(VLOOKUP(OP!$C$55,EXP,$B82+1,0)*OP!$C$28,0))</f>
        <v>0</v>
      </c>
      <c r="S82" s="591"/>
      <c r="T82" s="590">
        <f ca="1">IF(OR($A$2=1,B82=""),"",ROUND(VLOOKUP(OP!$C$55,CV,$B82+1,0)*OP!$C$28,0))</f>
        <v>9070</v>
      </c>
      <c r="U82" s="591"/>
      <c r="V82" s="590">
        <f ca="1">IF(OR($A$2=1,B82=""),"",ROUND(VLOOKUP(OP!$C$55,PA,$B82+1,0)*OP!$C$28,0))</f>
        <v>0</v>
      </c>
      <c r="W82" s="591"/>
    </row>
    <row r="83" spans="1:24" ht="12.95" customHeight="1">
      <c r="A83" s="10"/>
      <c r="B83" s="481">
        <f ca="1">IF(OR(C82&gt;=OP!F$57,C82=""),"",IF(C82+1&gt;OP!$F$57,OP!$F$57+1-$B$23,B82+1))</f>
        <v>52</v>
      </c>
      <c r="C83" s="481">
        <f ca="1">IF(OR($A$2=1,MAX($C$23:$C$57,$C$67:C82)&gt;=OP!$F$57),"",C82+(B83-B82))</f>
        <v>51</v>
      </c>
      <c r="D83" s="590" t="str">
        <f ca="1">IF(OR($A$2=1,B83&gt;OP!$C$24),"",OP!$C$52)</f>
        <v/>
      </c>
      <c r="E83" s="591"/>
      <c r="F83" s="590">
        <f t="shared" ca="1" si="3"/>
        <v>47320</v>
      </c>
      <c r="G83" s="591"/>
      <c r="H83" s="590">
        <f ca="1">IF(OR($A$2=1,B83=""),"",ROUND(VLOOKUP(OP!$C$55,DIE,$B83+1,0)*OP!$C$28,0))</f>
        <v>100000</v>
      </c>
      <c r="I83" s="591"/>
      <c r="J83" s="592">
        <f ca="1">IF(OR($A$2=1,$B83=""),"",ROUND(VLOOKUP(OP!$C$55,HL_1,$B83+1,0)*OP!$C$28,0))</f>
        <v>50668</v>
      </c>
      <c r="K83" s="593"/>
      <c r="L83" s="592">
        <f ca="1">IF(OR($A$2=1,$B83=""),"",ROUND(VLOOKUP(OP!$C$55,HL_2,$B83+1,0)*OP!$C$28,0))</f>
        <v>100000</v>
      </c>
      <c r="M83" s="593"/>
      <c r="N83" s="592">
        <f ca="1">IF(OR($A$2=1,$B83=""),"",(ROUND(VLOOKUP(OP!$C$55,HL_2,$B83+1,0)*OP!$C$28,0)+ROUND(OP!$C$28*10000*0.2,0)))</f>
        <v>120000</v>
      </c>
      <c r="O83" s="593"/>
      <c r="P83" s="592">
        <f ca="1">IF(OR($A$2=1,$B83=""),"",ROUND(VLOOKUP(OP!$C$55,HL_3,$B83+1,0)*OP!$C$28,0))</f>
        <v>100000</v>
      </c>
      <c r="Q83" s="593"/>
      <c r="R83" s="590">
        <f ca="1">IF(OR($A$2=1,B83=""),"",ROUND(VLOOKUP(OP!$C$55,EXP,$B83+1,0)*OP!$C$28,0))</f>
        <v>0</v>
      </c>
      <c r="S83" s="591"/>
      <c r="T83" s="590">
        <f ca="1">IF(OR($A$2=1,B83=""),"",ROUND(VLOOKUP(OP!$C$55,CV,$B83+1,0)*OP!$C$28,0))</f>
        <v>9320</v>
      </c>
      <c r="U83" s="591"/>
      <c r="V83" s="590">
        <f ca="1">IF(OR($A$2=1,B83=""),"",ROUND(VLOOKUP(OP!$C$55,PA,$B83+1,0)*OP!$C$28,0))</f>
        <v>0</v>
      </c>
      <c r="W83" s="591"/>
    </row>
    <row r="84" spans="1:24" ht="12.95" customHeight="1">
      <c r="A84" s="10"/>
      <c r="B84" s="481">
        <f ca="1">IF(OR(C83&gt;=OP!F$57,C83=""),"",IF(C83+1&gt;OP!$F$57,OP!$F$57+1-$B$23,B83+1))</f>
        <v>53</v>
      </c>
      <c r="C84" s="481">
        <f ca="1">IF(OR($A$2=1,MAX($C$23:$C$57,$C$67:C83)&gt;=OP!$F$57),"",C83+(B84-B83))</f>
        <v>52</v>
      </c>
      <c r="D84" s="590" t="str">
        <f ca="1">IF(OR($A$2=1,B84&gt;OP!$C$24),"",OP!$C$52)</f>
        <v/>
      </c>
      <c r="E84" s="591"/>
      <c r="F84" s="590">
        <f t="shared" ca="1" si="3"/>
        <v>47320</v>
      </c>
      <c r="G84" s="591"/>
      <c r="H84" s="590">
        <f ca="1">IF(OR($A$2=1,B84=""),"",ROUND(VLOOKUP(OP!$C$55,DIE,$B84+1,0)*OP!$C$28,0))</f>
        <v>100000</v>
      </c>
      <c r="I84" s="591"/>
      <c r="J84" s="592">
        <f ca="1">IF(OR($A$2=1,$B84=""),"",ROUND(VLOOKUP(OP!$C$55,HL_1,$B84+1,0)*OP!$C$28,0))</f>
        <v>50668</v>
      </c>
      <c r="K84" s="593"/>
      <c r="L84" s="592">
        <f ca="1">IF(OR($A$2=1,$B84=""),"",ROUND(VLOOKUP(OP!$C$55,HL_2,$B84+1,0)*OP!$C$28,0))</f>
        <v>100000</v>
      </c>
      <c r="M84" s="593"/>
      <c r="N84" s="592">
        <f ca="1">IF(OR($A$2=1,$B84=""),"",(ROUND(VLOOKUP(OP!$C$55,HL_2,$B84+1,0)*OP!$C$28,0)+ROUND(OP!$C$28*10000*0.2,0)))</f>
        <v>120000</v>
      </c>
      <c r="O84" s="593"/>
      <c r="P84" s="592">
        <f ca="1">IF(OR($A$2=1,$B84=""),"",ROUND(VLOOKUP(OP!$C$55,HL_3,$B84+1,0)*OP!$C$28,0))</f>
        <v>100000</v>
      </c>
      <c r="Q84" s="593"/>
      <c r="R84" s="590">
        <f ca="1">IF(OR($A$2=1,B84=""),"",ROUND(VLOOKUP(OP!$C$55,EXP,$B84+1,0)*OP!$C$28,0))</f>
        <v>0</v>
      </c>
      <c r="S84" s="591"/>
      <c r="T84" s="590">
        <f ca="1">IF(OR($A$2=1,B84=""),"",ROUND(VLOOKUP(OP!$C$55,CV,$B84+1,0)*OP!$C$28,0))</f>
        <v>9590</v>
      </c>
      <c r="U84" s="591"/>
      <c r="V84" s="590">
        <f ca="1">IF(OR($A$2=1,B84=""),"",ROUND(VLOOKUP(OP!$C$55,PA,$B84+1,0)*OP!$C$28,0))</f>
        <v>0</v>
      </c>
      <c r="W84" s="591"/>
    </row>
    <row r="85" spans="1:24" s="348" customFormat="1" ht="12.95" customHeight="1">
      <c r="B85" s="481">
        <f ca="1">IF(OR(C84&gt;=OP!F$57,C84=""),"",IF(C84+1&gt;OP!$F$57,OP!$F$57+1-$B$23,B84+1))</f>
        <v>54</v>
      </c>
      <c r="C85" s="481">
        <f ca="1">IF(OR($A$2=1,MAX($C$23:$C$57,$C$67:C84)&gt;=OP!$F$57),"",C84+(B85-B84))</f>
        <v>53</v>
      </c>
      <c r="D85" s="590" t="str">
        <f ca="1">IF(OR($A$2=1,B85&gt;OP!$C$24),"",OP!$C$52)</f>
        <v/>
      </c>
      <c r="E85" s="591"/>
      <c r="F85" s="590">
        <f t="shared" ca="1" si="3"/>
        <v>47320</v>
      </c>
      <c r="G85" s="591"/>
      <c r="H85" s="590">
        <f ca="1">IF(OR($A$2=1,B85=""),"",ROUND(VLOOKUP(OP!$C$55,DIE,$B85+1,0)*OP!$C$28,0))</f>
        <v>100000</v>
      </c>
      <c r="I85" s="591"/>
      <c r="J85" s="592">
        <f ca="1">IF(OR($A$2=1,$B85=""),"",ROUND(VLOOKUP(OP!$C$55,HL_1,$B85+1,0)*OP!$C$28,0))</f>
        <v>50668</v>
      </c>
      <c r="K85" s="593"/>
      <c r="L85" s="592">
        <f ca="1">IF(OR($A$2=1,$B85=""),"",ROUND(VLOOKUP(OP!$C$55,HL_2,$B85+1,0)*OP!$C$28,0))</f>
        <v>100000</v>
      </c>
      <c r="M85" s="593"/>
      <c r="N85" s="592">
        <f ca="1">IF(OR($A$2=1,$B85=""),"",(ROUND(VLOOKUP(OP!$C$55,HL_2,$B85+1,0)*OP!$C$28,0)+ROUND(OP!$C$28*10000*0.2,0)))</f>
        <v>120000</v>
      </c>
      <c r="O85" s="593"/>
      <c r="P85" s="592">
        <f ca="1">IF(OR($A$2=1,$B85=""),"",ROUND(VLOOKUP(OP!$C$55,HL_3,$B85+1,0)*OP!$C$28,0))</f>
        <v>100000</v>
      </c>
      <c r="Q85" s="593"/>
      <c r="R85" s="590">
        <f ca="1">IF(OR($A$2=1,B85=""),"",ROUND(VLOOKUP(OP!$C$55,EXP,$B85+1,0)*OP!$C$28,0))</f>
        <v>0</v>
      </c>
      <c r="S85" s="591"/>
      <c r="T85" s="590">
        <f ca="1">IF(OR($A$2=1,B85=""),"",ROUND(VLOOKUP(OP!$C$55,CV,$B85+1,0)*OP!$C$28,0))</f>
        <v>9880</v>
      </c>
      <c r="U85" s="591"/>
      <c r="V85" s="590">
        <f ca="1">IF(OR($A$2=1,B85=""),"",ROUND(VLOOKUP(OP!$C$55,PA,$B85+1,0)*OP!$C$28,0))</f>
        <v>0</v>
      </c>
      <c r="W85" s="591"/>
      <c r="X85" s="349"/>
    </row>
    <row r="86" spans="1:24" s="348" customFormat="1" ht="12.95" customHeight="1">
      <c r="B86" s="481">
        <f ca="1">IF(OR(C85&gt;=OP!F$57,C85=""),"",IF(C85+1&gt;OP!$F$57,OP!$F$57+1-$B$23,B85+1))</f>
        <v>55</v>
      </c>
      <c r="C86" s="481">
        <f ca="1">IF(OR($A$2=1,MAX($C$23:$C$57,$C$67:C85)&gt;=OP!$F$57),"",C85+(B86-B85))</f>
        <v>54</v>
      </c>
      <c r="D86" s="590" t="str">
        <f ca="1">IF(OR($A$2=1,B86&gt;OP!$C$24),"",OP!$C$52)</f>
        <v/>
      </c>
      <c r="E86" s="591"/>
      <c r="F86" s="590">
        <f t="shared" ca="1" si="3"/>
        <v>47320</v>
      </c>
      <c r="G86" s="591"/>
      <c r="H86" s="590">
        <f ca="1">IF(OR($A$2=1,B86=""),"",ROUND(VLOOKUP(OP!$C$55,DIE,$B86+1,0)*OP!$C$28,0))</f>
        <v>100000</v>
      </c>
      <c r="I86" s="591"/>
      <c r="J86" s="592">
        <f ca="1">IF(OR($A$2=1,$B86=""),"",ROUND(VLOOKUP(OP!$C$55,HL_1,$B86+1,0)*OP!$C$28,0))</f>
        <v>50668</v>
      </c>
      <c r="K86" s="593"/>
      <c r="L86" s="592">
        <f ca="1">IF(OR($A$2=1,$B86=""),"",ROUND(VLOOKUP(OP!$C$55,HL_2,$B86+1,0)*OP!$C$28,0))</f>
        <v>100000</v>
      </c>
      <c r="M86" s="593"/>
      <c r="N86" s="592">
        <f ca="1">IF(OR($A$2=1,$B86=""),"",(ROUND(VLOOKUP(OP!$C$55,HL_2,$B86+1,0)*OP!$C$28,0)+ROUND(OP!$C$28*10000*0.2,0)))</f>
        <v>120000</v>
      </c>
      <c r="O86" s="593"/>
      <c r="P86" s="592">
        <f ca="1">IF(OR($A$2=1,$B86=""),"",ROUND(VLOOKUP(OP!$C$55,HL_3,$B86+1,0)*OP!$C$28,0))</f>
        <v>100000</v>
      </c>
      <c r="Q86" s="593"/>
      <c r="R86" s="590">
        <f ca="1">IF(OR($A$2=1,B86=""),"",ROUND(VLOOKUP(OP!$C$55,EXP,$B86+1,0)*OP!$C$28,0))</f>
        <v>0</v>
      </c>
      <c r="S86" s="591"/>
      <c r="T86" s="590">
        <f ca="1">IF(OR($A$2=1,B86=""),"",ROUND(VLOOKUP(OP!$C$55,CV,$B86+1,0)*OP!$C$28,0))</f>
        <v>10190</v>
      </c>
      <c r="U86" s="591"/>
      <c r="V86" s="590">
        <f ca="1">IF(OR($A$2=1,B86=""),"",ROUND(VLOOKUP(OP!$C$55,PA,$B86+1,0)*OP!$C$28,0))</f>
        <v>0</v>
      </c>
      <c r="W86" s="591"/>
      <c r="X86" s="349"/>
    </row>
    <row r="87" spans="1:24" s="348" customFormat="1" ht="12.95" customHeight="1">
      <c r="B87" s="481">
        <f ca="1">IF(OR(C86&gt;=OP!F$57,C86=""),"",IF(C86+1&gt;OP!$F$57,OP!$F$57+1-$B$23,B86+1))</f>
        <v>56</v>
      </c>
      <c r="C87" s="481">
        <f ca="1">IF(OR($A$2=1,MAX($C$23:$C$57,$C$67:C86)&gt;=OP!$F$57),"",C86+(B87-B86))</f>
        <v>55</v>
      </c>
      <c r="D87" s="590" t="str">
        <f ca="1">IF(OR($A$2=1,B87&gt;OP!$C$24),"",OP!$C$52)</f>
        <v/>
      </c>
      <c r="E87" s="591"/>
      <c r="F87" s="590">
        <f t="shared" ca="1" si="3"/>
        <v>47320</v>
      </c>
      <c r="G87" s="591"/>
      <c r="H87" s="590">
        <f ca="1">IF(OR($A$2=1,B87=""),"",ROUND(VLOOKUP(OP!$C$55,DIE,$B87+1,0)*OP!$C$28,0))</f>
        <v>100000</v>
      </c>
      <c r="I87" s="591"/>
      <c r="J87" s="592">
        <f ca="1">IF(OR($A$2=1,$B87=""),"",ROUND(VLOOKUP(OP!$C$55,HL_1,$B87+1,0)*OP!$C$28,0))</f>
        <v>50668</v>
      </c>
      <c r="K87" s="593"/>
      <c r="L87" s="592">
        <f ca="1">IF(OR($A$2=1,$B87=""),"",ROUND(VLOOKUP(OP!$C$55,HL_2,$B87+1,0)*OP!$C$28,0))</f>
        <v>100000</v>
      </c>
      <c r="M87" s="593"/>
      <c r="N87" s="592">
        <f ca="1">IF(OR($A$2=1,$B87=""),"",(ROUND(VLOOKUP(OP!$C$55,HL_2,$B87+1,0)*OP!$C$28,0)+ROUND(OP!$C$28*10000*0.2,0)))</f>
        <v>120000</v>
      </c>
      <c r="O87" s="593"/>
      <c r="P87" s="592">
        <f ca="1">IF(OR($A$2=1,$B87=""),"",ROUND(VLOOKUP(OP!$C$55,HL_3,$B87+1,0)*OP!$C$28,0))</f>
        <v>100000</v>
      </c>
      <c r="Q87" s="593"/>
      <c r="R87" s="590">
        <f ca="1">IF(OR($A$2=1,B87=""),"",ROUND(VLOOKUP(OP!$C$55,EXP,$B87+1,0)*OP!$C$28,0))</f>
        <v>0</v>
      </c>
      <c r="S87" s="591"/>
      <c r="T87" s="590">
        <f ca="1">IF(OR($A$2=1,B87=""),"",ROUND(VLOOKUP(OP!$C$55,CV,$B87+1,0)*OP!$C$28,0))</f>
        <v>10540</v>
      </c>
      <c r="U87" s="591"/>
      <c r="V87" s="590">
        <f ca="1">IF(OR($A$2=1,B87=""),"",ROUND(VLOOKUP(OP!$C$55,PA,$B87+1,0)*OP!$C$28,0))</f>
        <v>0</v>
      </c>
      <c r="W87" s="591"/>
      <c r="X87" s="349"/>
    </row>
    <row r="88" spans="1:24" s="348" customFormat="1" ht="12.95" customHeight="1">
      <c r="B88" s="481">
        <f ca="1">IF(OR(C87&gt;=OP!F$57,C87=""),"",IF(C87+1&gt;OP!$F$57,OP!$F$57+1-$B$23,B87+1))</f>
        <v>57</v>
      </c>
      <c r="C88" s="481">
        <f ca="1">IF(OR($A$2=1,MAX($C$23:$C$57,$C$67:C87)&gt;=OP!$F$57),"",C87+(B88-B87))</f>
        <v>56</v>
      </c>
      <c r="D88" s="590" t="str">
        <f ca="1">IF(OR($A$2=1,B88&gt;OP!$C$24),"",OP!$C$52)</f>
        <v/>
      </c>
      <c r="E88" s="591"/>
      <c r="F88" s="590">
        <f t="shared" ca="1" si="3"/>
        <v>47320</v>
      </c>
      <c r="G88" s="591"/>
      <c r="H88" s="590">
        <f ca="1">IF(OR($A$2=1,B88=""),"",ROUND(VLOOKUP(OP!$C$55,DIE,$B88+1,0)*OP!$C$28,0))</f>
        <v>100000</v>
      </c>
      <c r="I88" s="591"/>
      <c r="J88" s="592">
        <f ca="1">IF(OR($A$2=1,$B88=""),"",ROUND(VLOOKUP(OP!$C$55,HL_1,$B88+1,0)*OP!$C$28,0))</f>
        <v>50668</v>
      </c>
      <c r="K88" s="593"/>
      <c r="L88" s="592">
        <f ca="1">IF(OR($A$2=1,$B88=""),"",ROUND(VLOOKUP(OP!$C$55,HL_2,$B88+1,0)*OP!$C$28,0))</f>
        <v>100000</v>
      </c>
      <c r="M88" s="593"/>
      <c r="N88" s="592">
        <f ca="1">IF(OR($A$2=1,$B88=""),"",(ROUND(VLOOKUP(OP!$C$55,HL_2,$B88+1,0)*OP!$C$28,0)+ROUND(OP!$C$28*10000*0.2,0)))</f>
        <v>120000</v>
      </c>
      <c r="O88" s="593"/>
      <c r="P88" s="592">
        <f ca="1">IF(OR($A$2=1,$B88=""),"",ROUND(VLOOKUP(OP!$C$55,HL_3,$B88+1,0)*OP!$C$28,0))</f>
        <v>100000</v>
      </c>
      <c r="Q88" s="593"/>
      <c r="R88" s="590">
        <f ca="1">IF(OR($A$2=1,B88=""),"",ROUND(VLOOKUP(OP!$C$55,EXP,$B88+1,0)*OP!$C$28,0))</f>
        <v>0</v>
      </c>
      <c r="S88" s="591"/>
      <c r="T88" s="590">
        <f ca="1">IF(OR($A$2=1,B88=""),"",ROUND(VLOOKUP(OP!$C$55,CV,$B88+1,0)*OP!$C$28,0))</f>
        <v>10900</v>
      </c>
      <c r="U88" s="591"/>
      <c r="V88" s="590">
        <f ca="1">IF(OR($A$2=1,B88=""),"",ROUND(VLOOKUP(OP!$C$55,PA,$B88+1,0)*OP!$C$28,0))</f>
        <v>0</v>
      </c>
      <c r="W88" s="591"/>
      <c r="X88" s="349"/>
    </row>
    <row r="89" spans="1:24" s="348" customFormat="1" ht="12.95" customHeight="1">
      <c r="B89" s="481">
        <f ca="1">IF(OR(C88&gt;=OP!F$57,C88=""),"",IF(C88+1&gt;OP!$F$57,OP!$F$57+1-$B$23,B88+1))</f>
        <v>58</v>
      </c>
      <c r="C89" s="481">
        <f ca="1">IF(OR($A$2=1,MAX($C$23:$C$57,$C$67:C88)&gt;=OP!$F$57),"",C88+(B89-B88))</f>
        <v>57</v>
      </c>
      <c r="D89" s="590" t="str">
        <f ca="1">IF(OR($A$2=1,B89&gt;OP!$C$24),"",OP!$C$52)</f>
        <v/>
      </c>
      <c r="E89" s="591"/>
      <c r="F89" s="590">
        <f t="shared" ca="1" si="3"/>
        <v>47320</v>
      </c>
      <c r="G89" s="591"/>
      <c r="H89" s="590">
        <f ca="1">IF(OR($A$2=1,B89=""),"",ROUND(VLOOKUP(OP!$C$55,DIE,$B89+1,0)*OP!$C$28,0))</f>
        <v>100000</v>
      </c>
      <c r="I89" s="591"/>
      <c r="J89" s="592">
        <f ca="1">IF(OR($A$2=1,$B89=""),"",ROUND(VLOOKUP(OP!$C$55,HL_1,$B89+1,0)*OP!$C$28,0))</f>
        <v>50668</v>
      </c>
      <c r="K89" s="593"/>
      <c r="L89" s="592">
        <f ca="1">IF(OR($A$2=1,$B89=""),"",ROUND(VLOOKUP(OP!$C$55,HL_2,$B89+1,0)*OP!$C$28,0))</f>
        <v>100000</v>
      </c>
      <c r="M89" s="593"/>
      <c r="N89" s="592">
        <f ca="1">IF(OR($A$2=1,$B89=""),"",(ROUND(VLOOKUP(OP!$C$55,HL_2,$B89+1,0)*OP!$C$28,0)+ROUND(OP!$C$28*10000*0.2,0)))</f>
        <v>120000</v>
      </c>
      <c r="O89" s="593"/>
      <c r="P89" s="592">
        <f ca="1">IF(OR($A$2=1,$B89=""),"",ROUND(VLOOKUP(OP!$C$55,HL_3,$B89+1,0)*OP!$C$28,0))</f>
        <v>100000</v>
      </c>
      <c r="Q89" s="593"/>
      <c r="R89" s="590">
        <f ca="1">IF(OR($A$2=1,B89=""),"",ROUND(VLOOKUP(OP!$C$55,EXP,$B89+1,0)*OP!$C$28,0))</f>
        <v>0</v>
      </c>
      <c r="S89" s="591"/>
      <c r="T89" s="590">
        <f ca="1">IF(OR($A$2=1,B89=""),"",ROUND(VLOOKUP(OP!$C$55,CV,$B89+1,0)*OP!$C$28,0))</f>
        <v>11290</v>
      </c>
      <c r="U89" s="591"/>
      <c r="V89" s="590">
        <f ca="1">IF(OR($A$2=1,B89=""),"",ROUND(VLOOKUP(OP!$C$55,PA,$B89+1,0)*OP!$C$28,0))</f>
        <v>0</v>
      </c>
      <c r="W89" s="591"/>
      <c r="X89" s="349"/>
    </row>
    <row r="90" spans="1:24" s="348" customFormat="1" ht="12.95" customHeight="1">
      <c r="B90" s="481">
        <f ca="1">IF(OR(C89&gt;=OP!F$57,C89=""),"",IF(C89+1&gt;OP!$F$57,OP!$F$57+1-$B$23,B89+1))</f>
        <v>59</v>
      </c>
      <c r="C90" s="481">
        <f ca="1">IF(OR($A$2=1,MAX($C$23:$C$57,$C$67:C89)&gt;=OP!$F$57),"",C89+(B90-B89))</f>
        <v>58</v>
      </c>
      <c r="D90" s="590" t="str">
        <f ca="1">IF(OR($A$2=1,B90&gt;OP!$C$24),"",OP!$C$52)</f>
        <v/>
      </c>
      <c r="E90" s="591"/>
      <c r="F90" s="590">
        <f t="shared" ca="1" si="3"/>
        <v>47320</v>
      </c>
      <c r="G90" s="591"/>
      <c r="H90" s="590">
        <f ca="1">IF(OR($A$2=1,B90=""),"",ROUND(VLOOKUP(OP!$C$55,DIE,$B90+1,0)*OP!$C$28,0))</f>
        <v>100000</v>
      </c>
      <c r="I90" s="591"/>
      <c r="J90" s="592">
        <f ca="1">IF(OR($A$2=1,$B90=""),"",ROUND(VLOOKUP(OP!$C$55,HL_1,$B90+1,0)*OP!$C$28,0))</f>
        <v>50668</v>
      </c>
      <c r="K90" s="593"/>
      <c r="L90" s="592">
        <f ca="1">IF(OR($A$2=1,$B90=""),"",ROUND(VLOOKUP(OP!$C$55,HL_2,$B90+1,0)*OP!$C$28,0))</f>
        <v>100000</v>
      </c>
      <c r="M90" s="593"/>
      <c r="N90" s="592">
        <f ca="1">IF(OR($A$2=1,$B90=""),"",(ROUND(VLOOKUP(OP!$C$55,HL_2,$B90+1,0)*OP!$C$28,0)+ROUND(OP!$C$28*10000*0.2,0)))</f>
        <v>120000</v>
      </c>
      <c r="O90" s="593"/>
      <c r="P90" s="592">
        <f ca="1">IF(OR($A$2=1,$B90=""),"",ROUND(VLOOKUP(OP!$C$55,HL_3,$B90+1,0)*OP!$C$28,0))</f>
        <v>100000</v>
      </c>
      <c r="Q90" s="593"/>
      <c r="R90" s="590">
        <f ca="1">IF(OR($A$2=1,B90=""),"",ROUND(VLOOKUP(OP!$C$55,EXP,$B90+1,0)*OP!$C$28,0))</f>
        <v>0</v>
      </c>
      <c r="S90" s="591"/>
      <c r="T90" s="590">
        <f ca="1">IF(OR($A$2=1,B90=""),"",ROUND(VLOOKUP(OP!$C$55,CV,$B90+1,0)*OP!$C$28,0))</f>
        <v>11730</v>
      </c>
      <c r="U90" s="591"/>
      <c r="V90" s="590">
        <f ca="1">IF(OR($A$2=1,B90=""),"",ROUND(VLOOKUP(OP!$C$55,PA,$B90+1,0)*OP!$C$28,0))</f>
        <v>0</v>
      </c>
      <c r="W90" s="591"/>
      <c r="X90" s="349"/>
    </row>
    <row r="91" spans="1:24" s="348" customFormat="1" ht="12.95" customHeight="1">
      <c r="B91" s="481">
        <f ca="1">IF(OR(C90&gt;=OP!F$57,C90=""),"",IF(C90+1&gt;OP!$F$57,OP!$F$57+1-$B$23,B90+1))</f>
        <v>60</v>
      </c>
      <c r="C91" s="481">
        <f ca="1">IF(OR($A$2=1,MAX($C$23:$C$57,$C$67:C90)&gt;=OP!$F$57),"",C90+(B91-B90))</f>
        <v>59</v>
      </c>
      <c r="D91" s="590" t="str">
        <f ca="1">IF(OR($A$2=1,B91&gt;OP!$C$24),"",OP!$C$52)</f>
        <v/>
      </c>
      <c r="E91" s="591"/>
      <c r="F91" s="590">
        <f t="shared" ca="1" si="3"/>
        <v>47320</v>
      </c>
      <c r="G91" s="591"/>
      <c r="H91" s="590">
        <f ca="1">IF(OR($A$2=1,B91=""),"",ROUND(VLOOKUP(OP!$C$55,DIE,$B91+1,0)*OP!$C$28,0))</f>
        <v>100000</v>
      </c>
      <c r="I91" s="591"/>
      <c r="J91" s="592">
        <f ca="1">IF(OR($A$2=1,$B91=""),"",ROUND(VLOOKUP(OP!$C$55,HL_1,$B91+1,0)*OP!$C$28,0))</f>
        <v>50668</v>
      </c>
      <c r="K91" s="593"/>
      <c r="L91" s="592">
        <f ca="1">IF(OR($A$2=1,$B91=""),"",ROUND(VLOOKUP(OP!$C$55,HL_2,$B91+1,0)*OP!$C$28,0))</f>
        <v>100000</v>
      </c>
      <c r="M91" s="593"/>
      <c r="N91" s="592">
        <f ca="1">IF(OR($A$2=1,$B91=""),"",(ROUND(VLOOKUP(OP!$C$55,HL_2,$B91+1,0)*OP!$C$28,0)+ROUND(OP!$C$28*10000*0.2,0)))</f>
        <v>120000</v>
      </c>
      <c r="O91" s="593"/>
      <c r="P91" s="592">
        <f ca="1">IF(OR($A$2=1,$B91=""),"",ROUND(VLOOKUP(OP!$C$55,HL_3,$B91+1,0)*OP!$C$28,0))</f>
        <v>100000</v>
      </c>
      <c r="Q91" s="593"/>
      <c r="R91" s="590">
        <f ca="1">IF(OR($A$2=1,B91=""),"",ROUND(VLOOKUP(OP!$C$55,EXP,$B91+1,0)*OP!$C$28,0))</f>
        <v>0</v>
      </c>
      <c r="S91" s="591"/>
      <c r="T91" s="590">
        <f ca="1">IF(OR($A$2=1,B91=""),"",ROUND(VLOOKUP(OP!$C$55,CV,$B91+1,0)*OP!$C$28,0))</f>
        <v>12200</v>
      </c>
      <c r="U91" s="591"/>
      <c r="V91" s="590">
        <f ca="1">IF(OR($A$2=1,B91=""),"",ROUND(VLOOKUP(OP!$C$55,PA,$B91+1,0)*OP!$C$28,0))</f>
        <v>0</v>
      </c>
      <c r="W91" s="591"/>
      <c r="X91" s="349"/>
    </row>
    <row r="92" spans="1:24" s="348" customFormat="1" ht="12.95" customHeight="1">
      <c r="B92" s="481">
        <f ca="1">IF(OR(C91&gt;=OP!F$57,C91=""),"",IF(C91+1&gt;OP!$F$57,OP!$F$57+1-$B$23,B91+1))</f>
        <v>61</v>
      </c>
      <c r="C92" s="481">
        <f ca="1">IF(OR($A$2=1,MAX($C$23:$C$57,$C$67:C91)&gt;=OP!$F$57),"",C91+(B92-B91))</f>
        <v>60</v>
      </c>
      <c r="D92" s="590" t="str">
        <f ca="1">IF(OR($A$2=1,B92&gt;OP!$C$24),"",OP!$C$52)</f>
        <v/>
      </c>
      <c r="E92" s="591"/>
      <c r="F92" s="590">
        <f t="shared" ca="1" si="3"/>
        <v>47320</v>
      </c>
      <c r="G92" s="591"/>
      <c r="H92" s="590">
        <f ca="1">IF(OR($A$2=1,B92=""),"",ROUND(VLOOKUP(OP!$C$55,DIE,$B92+1,0)*OP!$C$28,0))</f>
        <v>100000</v>
      </c>
      <c r="I92" s="591"/>
      <c r="J92" s="592">
        <f ca="1">IF(OR($A$2=1,$B92=""),"",ROUND(VLOOKUP(OP!$C$55,HL_1,$B92+1,0)*OP!$C$28,0))</f>
        <v>50668</v>
      </c>
      <c r="K92" s="593"/>
      <c r="L92" s="592">
        <f ca="1">IF(OR($A$2=1,$B92=""),"",ROUND(VLOOKUP(OP!$C$55,HL_2,$B92+1,0)*OP!$C$28,0))</f>
        <v>100000</v>
      </c>
      <c r="M92" s="593"/>
      <c r="N92" s="592">
        <f ca="1">IF(OR($A$2=1,$B92=""),"",(ROUND(VLOOKUP(OP!$C$55,HL_2,$B92+1,0)*OP!$C$28,0)+ROUND(OP!$C$28*10000*0.2,0)))</f>
        <v>120000</v>
      </c>
      <c r="O92" s="593"/>
      <c r="P92" s="592">
        <f ca="1">IF(OR($A$2=1,$B92=""),"",ROUND(VLOOKUP(OP!$C$55,HL_3,$B92+1,0)*OP!$C$28,0))</f>
        <v>100000</v>
      </c>
      <c r="Q92" s="593"/>
      <c r="R92" s="590">
        <f ca="1">IF(OR($A$2=1,B92=""),"",ROUND(VLOOKUP(OP!$C$55,EXP,$B92+1,0)*OP!$C$28,0))</f>
        <v>0</v>
      </c>
      <c r="S92" s="591"/>
      <c r="T92" s="590">
        <f ca="1">IF(OR($A$2=1,B92=""),"",ROUND(VLOOKUP(OP!$C$55,CV,$B92+1,0)*OP!$C$28,0))</f>
        <v>12720</v>
      </c>
      <c r="U92" s="591"/>
      <c r="V92" s="590">
        <f ca="1">IF(OR($A$2=1,B92=""),"",ROUND(VLOOKUP(OP!$C$55,PA,$B92+1,0)*OP!$C$28,0))</f>
        <v>0</v>
      </c>
      <c r="W92" s="591"/>
      <c r="X92" s="349"/>
    </row>
    <row r="93" spans="1:24" s="348" customFormat="1" ht="12.95" customHeight="1">
      <c r="B93" s="481">
        <f ca="1">IF(OR(C92&gt;=OP!F$57,C92=""),"",IF(C92+1&gt;OP!$F$57,OP!$F$57+1-$B$23,B92+1))</f>
        <v>62</v>
      </c>
      <c r="C93" s="481">
        <f ca="1">IF(OR($A$2=1,MAX($C$23:$C$57,$C$67:C92)&gt;=OP!$F$57),"",C92+(B93-B92))</f>
        <v>61</v>
      </c>
      <c r="D93" s="590" t="str">
        <f ca="1">IF(OR($A$2=1,B93&gt;OP!$C$24),"",OP!$C$52)</f>
        <v/>
      </c>
      <c r="E93" s="591"/>
      <c r="F93" s="590">
        <f t="shared" ca="1" si="3"/>
        <v>47320</v>
      </c>
      <c r="G93" s="591"/>
      <c r="H93" s="590">
        <f ca="1">IF(OR($A$2=1,B93=""),"",ROUND(VLOOKUP(OP!$C$55,DIE,$B93+1,0)*OP!$C$28,0))</f>
        <v>100000</v>
      </c>
      <c r="I93" s="591"/>
      <c r="J93" s="592">
        <f ca="1">IF(OR($A$2=1,$B93=""),"",ROUND(VLOOKUP(OP!$C$55,HL_1,$B93+1,0)*OP!$C$28,0))</f>
        <v>50668</v>
      </c>
      <c r="K93" s="593"/>
      <c r="L93" s="592">
        <f ca="1">IF(OR($A$2=1,$B93=""),"",ROUND(VLOOKUP(OP!$C$55,HL_2,$B93+1,0)*OP!$C$28,0))</f>
        <v>100000</v>
      </c>
      <c r="M93" s="593"/>
      <c r="N93" s="592">
        <f ca="1">IF(OR($A$2=1,$B93=""),"",(ROUND(VLOOKUP(OP!$C$55,HL_2,$B93+1,0)*OP!$C$28,0)+ROUND(OP!$C$28*10000*0.2,0)))</f>
        <v>120000</v>
      </c>
      <c r="O93" s="593"/>
      <c r="P93" s="592">
        <f ca="1">IF(OR($A$2=1,$B93=""),"",ROUND(VLOOKUP(OP!$C$55,HL_3,$B93+1,0)*OP!$C$28,0))</f>
        <v>100000</v>
      </c>
      <c r="Q93" s="593"/>
      <c r="R93" s="590">
        <f ca="1">IF(OR($A$2=1,B93=""),"",ROUND(VLOOKUP(OP!$C$55,EXP,$B93+1,0)*OP!$C$28,0))</f>
        <v>0</v>
      </c>
      <c r="S93" s="591"/>
      <c r="T93" s="590">
        <f ca="1">IF(OR($A$2=1,B93=""),"",ROUND(VLOOKUP(OP!$C$55,CV,$B93+1,0)*OP!$C$28,0))</f>
        <v>13280</v>
      </c>
      <c r="U93" s="591"/>
      <c r="V93" s="590">
        <f ca="1">IF(OR($A$2=1,B93=""),"",ROUND(VLOOKUP(OP!$C$55,PA,$B93+1,0)*OP!$C$28,0))</f>
        <v>0</v>
      </c>
      <c r="W93" s="591"/>
      <c r="X93" s="349"/>
    </row>
    <row r="94" spans="1:24" s="348" customFormat="1" ht="12.95" customHeight="1">
      <c r="B94" s="481">
        <f ca="1">IF(OR(C93&gt;=OP!F$57,C93=""),"",IF(C93+1&gt;OP!$F$57,OP!$F$57+1-$B$23,B93+1))</f>
        <v>63</v>
      </c>
      <c r="C94" s="481">
        <f ca="1">IF(OR($A$2=1,MAX($C$23:$C$57,$C$67:C93)&gt;=OP!$F$57),"",C93+(B94-B93))</f>
        <v>62</v>
      </c>
      <c r="D94" s="590" t="str">
        <f ca="1">IF(OR($A$2=1,B94&gt;OP!$C$24),"",OP!$C$52)</f>
        <v/>
      </c>
      <c r="E94" s="591"/>
      <c r="F94" s="590">
        <f t="shared" ca="1" si="3"/>
        <v>47320</v>
      </c>
      <c r="G94" s="591"/>
      <c r="H94" s="590">
        <f ca="1">IF(OR($A$2=1,B94=""),"",ROUND(VLOOKUP(OP!$C$55,DIE,$B94+1,0)*OP!$C$28,0))</f>
        <v>100000</v>
      </c>
      <c r="I94" s="591"/>
      <c r="J94" s="592">
        <f ca="1">IF(OR($A$2=1,$B94=""),"",ROUND(VLOOKUP(OP!$C$55,HL_1,$B94+1,0)*OP!$C$28,0))</f>
        <v>50668</v>
      </c>
      <c r="K94" s="593"/>
      <c r="L94" s="592">
        <f ca="1">IF(OR($A$2=1,$B94=""),"",ROUND(VLOOKUP(OP!$C$55,HL_2,$B94+1,0)*OP!$C$28,0))</f>
        <v>100000</v>
      </c>
      <c r="M94" s="593"/>
      <c r="N94" s="592">
        <f ca="1">IF(OR($A$2=1,$B94=""),"",(ROUND(VLOOKUP(OP!$C$55,HL_2,$B94+1,0)*OP!$C$28,0)+ROUND(OP!$C$28*10000*0.2,0)))</f>
        <v>120000</v>
      </c>
      <c r="O94" s="593"/>
      <c r="P94" s="592">
        <f ca="1">IF(OR($A$2=1,$B94=""),"",ROUND(VLOOKUP(OP!$C$55,HL_3,$B94+1,0)*OP!$C$28,0))</f>
        <v>100000</v>
      </c>
      <c r="Q94" s="593"/>
      <c r="R94" s="590">
        <f ca="1">IF(OR($A$2=1,B94=""),"",ROUND(VLOOKUP(OP!$C$55,EXP,$B94+1,0)*OP!$C$28,0))</f>
        <v>0</v>
      </c>
      <c r="S94" s="591"/>
      <c r="T94" s="590">
        <f ca="1">IF(OR($A$2=1,B94=""),"",ROUND(VLOOKUP(OP!$C$55,CV,$B94+1,0)*OP!$C$28,0))</f>
        <v>13880</v>
      </c>
      <c r="U94" s="591"/>
      <c r="V94" s="590">
        <f ca="1">IF(OR($A$2=1,B94=""),"",ROUND(VLOOKUP(OP!$C$55,PA,$B94+1,0)*OP!$C$28,0))</f>
        <v>0</v>
      </c>
      <c r="W94" s="591"/>
      <c r="X94" s="349"/>
    </row>
    <row r="95" spans="1:24" s="348" customFormat="1" ht="12.95" customHeight="1">
      <c r="B95" s="481">
        <f ca="1">IF(OR(C94&gt;=OP!F$57,C94=""),"",IF(C94+1&gt;OP!$F$57,OP!$F$57+1-$B$23,B94+1))</f>
        <v>64</v>
      </c>
      <c r="C95" s="481">
        <f ca="1">IF(OR($A$2=1,MAX($C$23:$C$57,$C$67:C94)&gt;=OP!$F$57),"",C94+(B95-B94))</f>
        <v>63</v>
      </c>
      <c r="D95" s="590" t="str">
        <f ca="1">IF(OR($A$2=1,B95&gt;OP!$C$24),"",OP!$C$52)</f>
        <v/>
      </c>
      <c r="E95" s="591"/>
      <c r="F95" s="590">
        <f t="shared" ca="1" si="3"/>
        <v>47320</v>
      </c>
      <c r="G95" s="591"/>
      <c r="H95" s="590">
        <f ca="1">IF(OR($A$2=1,B95=""),"",ROUND(VLOOKUP(OP!$C$55,DIE,$B95+1,0)*OP!$C$28,0))</f>
        <v>100000</v>
      </c>
      <c r="I95" s="591"/>
      <c r="J95" s="592">
        <f ca="1">IF(OR($A$2=1,$B95=""),"",ROUND(VLOOKUP(OP!$C$55,HL_1,$B95+1,0)*OP!$C$28,0))</f>
        <v>50668</v>
      </c>
      <c r="K95" s="593"/>
      <c r="L95" s="592">
        <f ca="1">IF(OR($A$2=1,$B95=""),"",ROUND(VLOOKUP(OP!$C$55,HL_2,$B95+1,0)*OP!$C$28,0))</f>
        <v>100000</v>
      </c>
      <c r="M95" s="593"/>
      <c r="N95" s="592">
        <f ca="1">IF(OR($A$2=1,$B95=""),"",(ROUND(VLOOKUP(OP!$C$55,HL_2,$B95+1,0)*OP!$C$28,0)+ROUND(OP!$C$28*10000*0.2,0)))</f>
        <v>120000</v>
      </c>
      <c r="O95" s="593"/>
      <c r="P95" s="592">
        <f ca="1">IF(OR($A$2=1,$B95=""),"",ROUND(VLOOKUP(OP!$C$55,HL_3,$B95+1,0)*OP!$C$28,0))</f>
        <v>100000</v>
      </c>
      <c r="Q95" s="593"/>
      <c r="R95" s="590">
        <f ca="1">IF(OR($A$2=1,B95=""),"",ROUND(VLOOKUP(OP!$C$55,EXP,$B95+1,0)*OP!$C$28,0))</f>
        <v>0</v>
      </c>
      <c r="S95" s="591"/>
      <c r="T95" s="590">
        <f ca="1">IF(OR($A$2=1,B95=""),"",ROUND(VLOOKUP(OP!$C$55,CV,$B95+1,0)*OP!$C$28,0))</f>
        <v>14550</v>
      </c>
      <c r="U95" s="591"/>
      <c r="V95" s="590">
        <f ca="1">IF(OR($A$2=1,B95=""),"",ROUND(VLOOKUP(OP!$C$55,PA,$B95+1,0)*OP!$C$28,0))</f>
        <v>0</v>
      </c>
      <c r="W95" s="591"/>
      <c r="X95" s="349"/>
    </row>
    <row r="96" spans="1:24" s="348" customFormat="1" ht="12.95" customHeight="1">
      <c r="B96" s="481">
        <f ca="1">IF(OR(C95&gt;=OP!F$57,C95=""),"",IF(C95+1&gt;OP!$F$57,OP!$F$57+1-$B$23,B95+1))</f>
        <v>65</v>
      </c>
      <c r="C96" s="481">
        <f ca="1">IF(OR($A$2=1,MAX($C$23:$C$57,$C$67:C95)&gt;=OP!$F$57),"",C95+(B96-B95))</f>
        <v>64</v>
      </c>
      <c r="D96" s="590" t="str">
        <f ca="1">IF(OR($A$2=1,B96&gt;OP!$C$24),"",OP!$C$52)</f>
        <v/>
      </c>
      <c r="E96" s="591"/>
      <c r="F96" s="590">
        <f t="shared" ca="1" si="3"/>
        <v>47320</v>
      </c>
      <c r="G96" s="591"/>
      <c r="H96" s="590">
        <f ca="1">IF(OR($A$2=1,B96=""),"",ROUND(VLOOKUP(OP!$C$55,DIE,$B96+1,0)*OP!$C$28,0))</f>
        <v>100000</v>
      </c>
      <c r="I96" s="591"/>
      <c r="J96" s="592">
        <f ca="1">IF(OR($A$2=1,$B96=""),"",ROUND(VLOOKUP(OP!$C$55,HL_1,$B96+1,0)*OP!$C$28,0))</f>
        <v>50668</v>
      </c>
      <c r="K96" s="593"/>
      <c r="L96" s="592">
        <f ca="1">IF(OR($A$2=1,$B96=""),"",ROUND(VLOOKUP(OP!$C$55,HL_2,$B96+1,0)*OP!$C$28,0))</f>
        <v>100000</v>
      </c>
      <c r="M96" s="593"/>
      <c r="N96" s="592">
        <f ca="1">IF(OR($A$2=1,$B96=""),"",(ROUND(VLOOKUP(OP!$C$55,HL_2,$B96+1,0)*OP!$C$28,0)+ROUND(OP!$C$28*10000*0.2,0)))</f>
        <v>120000</v>
      </c>
      <c r="O96" s="593"/>
      <c r="P96" s="592">
        <f ca="1">IF(OR($A$2=1,$B96=""),"",ROUND(VLOOKUP(OP!$C$55,HL_3,$B96+1,0)*OP!$C$28,0))</f>
        <v>100000</v>
      </c>
      <c r="Q96" s="593"/>
      <c r="R96" s="590">
        <f ca="1">IF(OR($A$2=1,B96=""),"",ROUND(VLOOKUP(OP!$C$55,EXP,$B96+1,0)*OP!$C$28,0))</f>
        <v>0</v>
      </c>
      <c r="S96" s="591"/>
      <c r="T96" s="590">
        <f ca="1">IF(OR($A$2=1,B96=""),"",ROUND(VLOOKUP(OP!$C$55,CV,$B96+1,0)*OP!$C$28,0))</f>
        <v>15270</v>
      </c>
      <c r="U96" s="591"/>
      <c r="V96" s="590">
        <f ca="1">IF(OR($A$2=1,B96=""),"",ROUND(VLOOKUP(OP!$C$55,PA,$B96+1,0)*OP!$C$28,0))</f>
        <v>0</v>
      </c>
      <c r="W96" s="591"/>
      <c r="X96" s="349"/>
    </row>
    <row r="97" spans="2:24" s="348" customFormat="1" ht="12.95" customHeight="1">
      <c r="B97" s="481">
        <f ca="1">IF(OR(C96&gt;=OP!F$57,C96=""),"",IF(C96+1&gt;OP!$F$57,OP!$F$57+1-$B$23,B96+1))</f>
        <v>66</v>
      </c>
      <c r="C97" s="481">
        <f ca="1">IF(OR($A$2=1,MAX($C$23:$C$57,$C$67:C96)&gt;=OP!$F$57),"",C96+(B97-B96))</f>
        <v>65</v>
      </c>
      <c r="D97" s="590" t="str">
        <f ca="1">IF(OR($A$2=1,B97&gt;OP!$C$24),"",OP!$C$52)</f>
        <v/>
      </c>
      <c r="E97" s="591"/>
      <c r="F97" s="590">
        <f t="shared" ca="1" si="3"/>
        <v>47320</v>
      </c>
      <c r="G97" s="591"/>
      <c r="H97" s="590">
        <f ca="1">IF(OR($A$2=1,B97=""),"",ROUND(VLOOKUP(OP!$C$55,DIE,$B97+1,0)*OP!$C$28,0))</f>
        <v>100000</v>
      </c>
      <c r="I97" s="591"/>
      <c r="J97" s="592">
        <f ca="1">IF(OR($A$2=1,$B97=""),"",ROUND(VLOOKUP(OP!$C$55,HL_1,$B97+1,0)*OP!$C$28,0))</f>
        <v>50668</v>
      </c>
      <c r="K97" s="593"/>
      <c r="L97" s="592">
        <f ca="1">IF(OR($A$2=1,$B97=""),"",ROUND(VLOOKUP(OP!$C$55,HL_2,$B97+1,0)*OP!$C$28,0))</f>
        <v>100000</v>
      </c>
      <c r="M97" s="593"/>
      <c r="N97" s="592">
        <f ca="1">IF(OR($A$2=1,$B97=""),"",(ROUND(VLOOKUP(OP!$C$55,HL_2,$B97+1,0)*OP!$C$28,0)+ROUND(OP!$C$28*10000*0.2,0)))</f>
        <v>120000</v>
      </c>
      <c r="O97" s="593"/>
      <c r="P97" s="592">
        <f ca="1">IF(OR($A$2=1,$B97=""),"",ROUND(VLOOKUP(OP!$C$55,HL_3,$B97+1,0)*OP!$C$28,0))</f>
        <v>100000</v>
      </c>
      <c r="Q97" s="593"/>
      <c r="R97" s="590">
        <f ca="1">IF(OR($A$2=1,B97=""),"",ROUND(VLOOKUP(OP!$C$55,EXP,$B97+1,0)*OP!$C$28,0))</f>
        <v>0</v>
      </c>
      <c r="S97" s="591"/>
      <c r="T97" s="590">
        <f ca="1">IF(OR($A$2=1,B97=""),"",ROUND(VLOOKUP(OP!$C$55,CV,$B97+1,0)*OP!$C$28,0))</f>
        <v>16100</v>
      </c>
      <c r="U97" s="591"/>
      <c r="V97" s="590">
        <f ca="1">IF(OR($A$2=1,B97=""),"",ROUND(VLOOKUP(OP!$C$55,PA,$B97+1,0)*OP!$C$28,0))</f>
        <v>0</v>
      </c>
      <c r="W97" s="591"/>
      <c r="X97" s="349"/>
    </row>
    <row r="98" spans="2:24" s="348" customFormat="1" ht="12.95" customHeight="1">
      <c r="B98" s="481">
        <f ca="1">IF(OR(C97&gt;=OP!F$57,C97=""),"",IF(C97+1&gt;OP!$F$57,OP!$F$57+1-$B$23,B97+1))</f>
        <v>67</v>
      </c>
      <c r="C98" s="481">
        <f ca="1">IF(OR($A$2=1,MAX($C$23:$C$57,$C$67:C97)&gt;=OP!$F$57),"",C97+(B98-B97))</f>
        <v>66</v>
      </c>
      <c r="D98" s="590" t="str">
        <f ca="1">IF(OR($A$2=1,B98&gt;OP!$C$24),"",OP!$C$52)</f>
        <v/>
      </c>
      <c r="E98" s="591"/>
      <c r="F98" s="590">
        <f t="shared" ca="1" si="3"/>
        <v>47320</v>
      </c>
      <c r="G98" s="591"/>
      <c r="H98" s="590">
        <f ca="1">IF(OR($A$2=1,B98=""),"",ROUND(VLOOKUP(OP!$C$55,DIE,$B98+1,0)*OP!$C$28,0))</f>
        <v>100000</v>
      </c>
      <c r="I98" s="591"/>
      <c r="J98" s="592">
        <f ca="1">IF(OR($A$2=1,$B98=""),"",ROUND(VLOOKUP(OP!$C$55,HL_1,$B98+1,0)*OP!$C$28,0))</f>
        <v>50668</v>
      </c>
      <c r="K98" s="593"/>
      <c r="L98" s="592">
        <f ca="1">IF(OR($A$2=1,$B98=""),"",ROUND(VLOOKUP(OP!$C$55,HL_2,$B98+1,0)*OP!$C$28,0))</f>
        <v>100000</v>
      </c>
      <c r="M98" s="593"/>
      <c r="N98" s="592">
        <f ca="1">IF(OR($A$2=1,$B98=""),"",(ROUND(VLOOKUP(OP!$C$55,HL_2,$B98+1,0)*OP!$C$28,0)+ROUND(OP!$C$28*10000*0.2,0)))</f>
        <v>120000</v>
      </c>
      <c r="O98" s="593"/>
      <c r="P98" s="592">
        <f ca="1">IF(OR($A$2=1,$B98=""),"",ROUND(VLOOKUP(OP!$C$55,HL_3,$B98+1,0)*OP!$C$28,0))</f>
        <v>100000</v>
      </c>
      <c r="Q98" s="593"/>
      <c r="R98" s="590">
        <f ca="1">IF(OR($A$2=1,B98=""),"",ROUND(VLOOKUP(OP!$C$55,EXP,$B98+1,0)*OP!$C$28,0))</f>
        <v>0</v>
      </c>
      <c r="S98" s="591"/>
      <c r="T98" s="590">
        <f ca="1">IF(OR($A$2=1,B98=""),"",ROUND(VLOOKUP(OP!$C$55,CV,$B98+1,0)*OP!$C$28,0))</f>
        <v>17010</v>
      </c>
      <c r="U98" s="591"/>
      <c r="V98" s="590">
        <f ca="1">IF(OR($A$2=1,B98=""),"",ROUND(VLOOKUP(OP!$C$55,PA,$B98+1,0)*OP!$C$28,0))</f>
        <v>0</v>
      </c>
      <c r="W98" s="591"/>
      <c r="X98" s="349"/>
    </row>
    <row r="99" spans="2:24" s="348" customFormat="1" ht="12.95" customHeight="1">
      <c r="B99" s="481">
        <f ca="1">IF(OR(C98&gt;=OP!F$57,C98=""),"",IF(C98+1&gt;OP!$F$57,OP!$F$57+1-$B$23,B98+1))</f>
        <v>68</v>
      </c>
      <c r="C99" s="481">
        <f ca="1">IF(OR($A$2=1,MAX($C$23:$C$57,$C$67:C98)&gt;=OP!$F$57),"",C98+(B99-B98))</f>
        <v>67</v>
      </c>
      <c r="D99" s="590" t="str">
        <f ca="1">IF(OR($A$2=1,B99&gt;OP!$C$24),"",OP!$C$52)</f>
        <v/>
      </c>
      <c r="E99" s="591"/>
      <c r="F99" s="590">
        <f t="shared" ca="1" si="3"/>
        <v>47320</v>
      </c>
      <c r="G99" s="591"/>
      <c r="H99" s="590">
        <f ca="1">IF(OR($A$2=1,B99=""),"",ROUND(VLOOKUP(OP!$C$55,DIE,$B99+1,0)*OP!$C$28,0))</f>
        <v>100000</v>
      </c>
      <c r="I99" s="591"/>
      <c r="J99" s="592">
        <f ca="1">IF(OR($A$2=1,$B99=""),"",ROUND(VLOOKUP(OP!$C$55,HL_1,$B99+1,0)*OP!$C$28,0))</f>
        <v>50668</v>
      </c>
      <c r="K99" s="593"/>
      <c r="L99" s="592">
        <f ca="1">IF(OR($A$2=1,$B99=""),"",ROUND(VLOOKUP(OP!$C$55,HL_2,$B99+1,0)*OP!$C$28,0))</f>
        <v>100000</v>
      </c>
      <c r="M99" s="593"/>
      <c r="N99" s="592">
        <f ca="1">IF(OR($A$2=1,$B99=""),"",(ROUND(VLOOKUP(OP!$C$55,HL_2,$B99+1,0)*OP!$C$28,0)+ROUND(OP!$C$28*10000*0.2,0)))</f>
        <v>120000</v>
      </c>
      <c r="O99" s="593"/>
      <c r="P99" s="592">
        <f ca="1">IF(OR($A$2=1,$B99=""),"",ROUND(VLOOKUP(OP!$C$55,HL_3,$B99+1,0)*OP!$C$28,0))</f>
        <v>100000</v>
      </c>
      <c r="Q99" s="593"/>
      <c r="R99" s="590">
        <f ca="1">IF(OR($A$2=1,B99=""),"",ROUND(VLOOKUP(OP!$C$55,EXP,$B99+1,0)*OP!$C$28,0))</f>
        <v>0</v>
      </c>
      <c r="S99" s="591"/>
      <c r="T99" s="590">
        <f ca="1">IF(OR($A$2=1,B99=""),"",ROUND(VLOOKUP(OP!$C$55,CV,$B99+1,0)*OP!$C$28,0))</f>
        <v>18010</v>
      </c>
      <c r="U99" s="591"/>
      <c r="V99" s="590">
        <f ca="1">IF(OR($A$2=1,B99=""),"",ROUND(VLOOKUP(OP!$C$55,PA,$B99+1,0)*OP!$C$28,0))</f>
        <v>0</v>
      </c>
      <c r="W99" s="591"/>
      <c r="X99" s="349"/>
    </row>
    <row r="100" spans="2:24" s="348" customFormat="1" ht="12.95" customHeight="1">
      <c r="B100" s="481">
        <f ca="1">IF(OR(C99&gt;=OP!F$57,C99=""),"",IF(C99+1&gt;OP!$F$57,OP!$F$57+1-$B$23,B99+1))</f>
        <v>69</v>
      </c>
      <c r="C100" s="481">
        <f ca="1">IF(OR($A$2=1,MAX($C$23:$C$57,$C$67:C99)&gt;=OP!$F$57),"",C99+(B100-B99))</f>
        <v>68</v>
      </c>
      <c r="D100" s="590" t="str">
        <f ca="1">IF(OR($A$2=1,B100&gt;OP!$C$24),"",OP!$C$52)</f>
        <v/>
      </c>
      <c r="E100" s="591"/>
      <c r="F100" s="590">
        <f t="shared" ca="1" si="3"/>
        <v>47320</v>
      </c>
      <c r="G100" s="591"/>
      <c r="H100" s="590">
        <f ca="1">IF(OR($A$2=1,B100=""),"",ROUND(VLOOKUP(OP!$C$55,DIE,$B100+1,0)*OP!$C$28,0))</f>
        <v>100000</v>
      </c>
      <c r="I100" s="591"/>
      <c r="J100" s="592">
        <f ca="1">IF(OR($A$2=1,$B100=""),"",ROUND(VLOOKUP(OP!$C$55,HL_1,$B100+1,0)*OP!$C$28,0))</f>
        <v>50668</v>
      </c>
      <c r="K100" s="593"/>
      <c r="L100" s="592">
        <f ca="1">IF(OR($A$2=1,$B100=""),"",ROUND(VLOOKUP(OP!$C$55,HL_2,$B100+1,0)*OP!$C$28,0))</f>
        <v>100000</v>
      </c>
      <c r="M100" s="593"/>
      <c r="N100" s="592">
        <f ca="1">IF(OR($A$2=1,$B100=""),"",(ROUND(VLOOKUP(OP!$C$55,HL_2,$B100+1,0)*OP!$C$28,0)+ROUND(OP!$C$28*10000*0.2,0)))</f>
        <v>120000</v>
      </c>
      <c r="O100" s="593"/>
      <c r="P100" s="592">
        <f ca="1">IF(OR($A$2=1,$B100=""),"",ROUND(VLOOKUP(OP!$C$55,HL_3,$B100+1,0)*OP!$C$28,0))</f>
        <v>100000</v>
      </c>
      <c r="Q100" s="593"/>
      <c r="R100" s="590">
        <f ca="1">IF(OR($A$2=1,B100=""),"",ROUND(VLOOKUP(OP!$C$55,EXP,$B100+1,0)*OP!$C$28,0))</f>
        <v>0</v>
      </c>
      <c r="S100" s="591"/>
      <c r="T100" s="590">
        <f ca="1">IF(OR($A$2=1,B100=""),"",ROUND(VLOOKUP(OP!$C$55,CV,$B100+1,0)*OP!$C$28,0))</f>
        <v>19080</v>
      </c>
      <c r="U100" s="591"/>
      <c r="V100" s="590">
        <f ca="1">IF(OR($A$2=1,B100=""),"",ROUND(VLOOKUP(OP!$C$55,PA,$B100+1,0)*OP!$C$28,0))</f>
        <v>0</v>
      </c>
      <c r="W100" s="591"/>
      <c r="X100" s="349"/>
    </row>
    <row r="101" spans="2:24" s="348" customFormat="1" ht="12.95" customHeight="1">
      <c r="B101" s="481">
        <f ca="1">IF(OR(C100&gt;=OP!F$57,C100=""),"",IF(C100+1&gt;OP!$F$57,OP!$F$57+1-$B$23,B100+1))</f>
        <v>70</v>
      </c>
      <c r="C101" s="481">
        <f ca="1">IF(OR($A$2=1,MAX($C$23:$C$57,$C$67:C100)&gt;=OP!$F$57),"",C100+(B101-B100))</f>
        <v>69</v>
      </c>
      <c r="D101" s="590" t="str">
        <f ca="1">IF(OR($A$2=1,B101&gt;OP!$C$24),"",OP!$C$52)</f>
        <v/>
      </c>
      <c r="E101" s="591"/>
      <c r="F101" s="590">
        <f t="shared" ca="1" si="3"/>
        <v>47320</v>
      </c>
      <c r="G101" s="591"/>
      <c r="H101" s="590">
        <f ca="1">IF(OR($A$2=1,B101=""),"",ROUND(VLOOKUP(OP!$C$55,DIE,$B101+1,0)*OP!$C$28,0))</f>
        <v>100000</v>
      </c>
      <c r="I101" s="591"/>
      <c r="J101" s="592">
        <f ca="1">IF(OR($A$2=1,$B101=""),"",ROUND(VLOOKUP(OP!$C$55,HL_1,$B101+1,0)*OP!$C$28,0))</f>
        <v>50668</v>
      </c>
      <c r="K101" s="593"/>
      <c r="L101" s="592">
        <f ca="1">IF(OR($A$2=1,$B101=""),"",ROUND(VLOOKUP(OP!$C$55,HL_2,$B101+1,0)*OP!$C$28,0))</f>
        <v>100000</v>
      </c>
      <c r="M101" s="593"/>
      <c r="N101" s="592">
        <f ca="1">IF(OR($A$2=1,$B101=""),"",(ROUND(VLOOKUP(OP!$C$55,HL_2,$B101+1,0)*OP!$C$28,0)+ROUND(OP!$C$28*10000*0.2,0)))</f>
        <v>120000</v>
      </c>
      <c r="O101" s="593"/>
      <c r="P101" s="592">
        <f ca="1">IF(OR($A$2=1,$B101=""),"",ROUND(VLOOKUP(OP!$C$55,HL_3,$B101+1,0)*OP!$C$28,0))</f>
        <v>100000</v>
      </c>
      <c r="Q101" s="593"/>
      <c r="R101" s="590">
        <f ca="1">IF(OR($A$2=1,B101=""),"",ROUND(VLOOKUP(OP!$C$55,EXP,$B101+1,0)*OP!$C$28,0))</f>
        <v>0</v>
      </c>
      <c r="S101" s="591"/>
      <c r="T101" s="590">
        <f ca="1">IF(OR($A$2=1,B101=""),"",ROUND(VLOOKUP(OP!$C$55,CV,$B101+1,0)*OP!$C$28,0))</f>
        <v>20280</v>
      </c>
      <c r="U101" s="591"/>
      <c r="V101" s="590">
        <f ca="1">IF(OR($A$2=1,B101=""),"",ROUND(VLOOKUP(OP!$C$55,PA,$B101+1,0)*OP!$C$28,0))</f>
        <v>0</v>
      </c>
      <c r="W101" s="591"/>
      <c r="X101" s="349"/>
    </row>
    <row r="102" spans="2:24" s="348" customFormat="1" ht="12.95" customHeight="1">
      <c r="B102" s="481">
        <f ca="1">IF(OR(C101&gt;=OP!F$57,C101=""),"",IF(C101+1&gt;OP!$F$57,OP!$F$57+1-$B$23,B101+1))</f>
        <v>71</v>
      </c>
      <c r="C102" s="481">
        <f ca="1">IF(OR($A$2=1,MAX($C$23:$C$57,$C$67:C101)&gt;=OP!$F$57),"",C101+(B102-B101))</f>
        <v>70</v>
      </c>
      <c r="D102" s="590" t="str">
        <f ca="1">IF(OR($A$2=1,B102&gt;OP!$C$24),"",OP!$C$52)</f>
        <v/>
      </c>
      <c r="E102" s="591"/>
      <c r="F102" s="590">
        <f t="shared" ca="1" si="3"/>
        <v>47320</v>
      </c>
      <c r="G102" s="591"/>
      <c r="H102" s="590">
        <f ca="1">IF(OR($A$2=1,B102=""),"",ROUND(VLOOKUP(OP!$C$55,DIE,$B102+1,0)*OP!$C$28,0))</f>
        <v>100000</v>
      </c>
      <c r="I102" s="591"/>
      <c r="J102" s="592">
        <f ca="1">IF(OR($A$2=1,$B102=""),"",ROUND(VLOOKUP(OP!$C$55,HL_1,$B102+1,0)*OP!$C$28,0))</f>
        <v>50668</v>
      </c>
      <c r="K102" s="593"/>
      <c r="L102" s="592">
        <f ca="1">IF(OR($A$2=1,$B102=""),"",ROUND(VLOOKUP(OP!$C$55,HL_2,$B102+1,0)*OP!$C$28,0))</f>
        <v>100000</v>
      </c>
      <c r="M102" s="593"/>
      <c r="N102" s="592">
        <f ca="1">IF(OR($A$2=1,$B102=""),"",(ROUND(VLOOKUP(OP!$C$55,HL_2,$B102+1,0)*OP!$C$28,0)+ROUND(OP!$C$28*10000*0.2,0)))</f>
        <v>120000</v>
      </c>
      <c r="O102" s="593"/>
      <c r="P102" s="592">
        <f ca="1">IF(OR($A$2=1,$B102=""),"",ROUND(VLOOKUP(OP!$C$55,HL_3,$B102+1,0)*OP!$C$28,0))</f>
        <v>100000</v>
      </c>
      <c r="Q102" s="593"/>
      <c r="R102" s="590">
        <f ca="1">IF(OR($A$2=1,B102=""),"",ROUND(VLOOKUP(OP!$C$55,EXP,$B102+1,0)*OP!$C$28,0))</f>
        <v>0</v>
      </c>
      <c r="S102" s="591"/>
      <c r="T102" s="590">
        <f ca="1">IF(OR($A$2=1,B102=""),"",ROUND(VLOOKUP(OP!$C$55,CV,$B102+1,0)*OP!$C$28,0))</f>
        <v>21690</v>
      </c>
      <c r="U102" s="591"/>
      <c r="V102" s="590">
        <f ca="1">IF(OR($A$2=1,B102=""),"",ROUND(VLOOKUP(OP!$C$55,PA,$B102+1,0)*OP!$C$28,0))</f>
        <v>0</v>
      </c>
      <c r="W102" s="591"/>
      <c r="X102" s="349"/>
    </row>
    <row r="103" spans="2:24" s="348" customFormat="1" ht="12.95" customHeight="1">
      <c r="B103" s="481">
        <f ca="1">IF(OR(C102&gt;=OP!F$57,C102=""),"",IF(C102+1&gt;OP!$F$57,OP!$F$57+1-$B$23,B102+1))</f>
        <v>72</v>
      </c>
      <c r="C103" s="481">
        <f ca="1">IF(OR($A$2=1,MAX($C$23:$C$57,$C$67:C102)&gt;=OP!$F$57),"",C102+(B103-B102))</f>
        <v>71</v>
      </c>
      <c r="D103" s="590" t="str">
        <f ca="1">IF(OR($A$2=1,B103&gt;OP!$C$24),"",OP!$C$52)</f>
        <v/>
      </c>
      <c r="E103" s="591"/>
      <c r="F103" s="590">
        <f t="shared" ca="1" si="3"/>
        <v>47320</v>
      </c>
      <c r="G103" s="591"/>
      <c r="H103" s="590">
        <f ca="1">IF(OR($A$2=1,B103=""),"",ROUND(VLOOKUP(OP!$C$55,DIE,$B103+1,0)*OP!$C$28,0))</f>
        <v>100000</v>
      </c>
      <c r="I103" s="591"/>
      <c r="J103" s="592">
        <f ca="1">IF(OR($A$2=1,$B103=""),"",ROUND(VLOOKUP(OP!$C$55,HL_1,$B103+1,0)*OP!$C$28,0))</f>
        <v>50668</v>
      </c>
      <c r="K103" s="593"/>
      <c r="L103" s="592">
        <f ca="1">IF(OR($A$2=1,$B103=""),"",ROUND(VLOOKUP(OP!$C$55,HL_2,$B103+1,0)*OP!$C$28,0))</f>
        <v>100000</v>
      </c>
      <c r="M103" s="593"/>
      <c r="N103" s="592">
        <f ca="1">IF(OR($A$2=1,$B103=""),"",(ROUND(VLOOKUP(OP!$C$55,HL_2,$B103+1,0)*OP!$C$28,0)+ROUND(OP!$C$28*10000*0.2,0)))</f>
        <v>120000</v>
      </c>
      <c r="O103" s="593"/>
      <c r="P103" s="592">
        <f ca="1">IF(OR($A$2=1,$B103=""),"",ROUND(VLOOKUP(OP!$C$55,HL_3,$B103+1,0)*OP!$C$28,0))</f>
        <v>100000</v>
      </c>
      <c r="Q103" s="593"/>
      <c r="R103" s="590">
        <f ca="1">IF(OR($A$2=1,B103=""),"",ROUND(VLOOKUP(OP!$C$55,EXP,$B103+1,0)*OP!$C$28,0))</f>
        <v>0</v>
      </c>
      <c r="S103" s="591"/>
      <c r="T103" s="590">
        <f ca="1">IF(OR($A$2=1,B103=""),"",ROUND(VLOOKUP(OP!$C$55,CV,$B103+1,0)*OP!$C$28,0))</f>
        <v>23240</v>
      </c>
      <c r="U103" s="591"/>
      <c r="V103" s="590">
        <f ca="1">IF(OR($A$2=1,B103=""),"",ROUND(VLOOKUP(OP!$C$55,PA,$B103+1,0)*OP!$C$28,0))</f>
        <v>0</v>
      </c>
      <c r="W103" s="591"/>
      <c r="X103" s="349"/>
    </row>
    <row r="104" spans="2:24" s="348" customFormat="1" ht="12.95" customHeight="1">
      <c r="B104" s="481">
        <f ca="1">IF(OR(C103&gt;=OP!F$57,C103=""),"",IF(C103+1&gt;OP!$F$57,OP!$F$57+1-$B$23,B103+1))</f>
        <v>73</v>
      </c>
      <c r="C104" s="481">
        <f ca="1">IF(OR($A$2=1,MAX($C$23:$C$57,$C$67:C103)&gt;=OP!$F$57),"",C103+(B104-B103))</f>
        <v>72</v>
      </c>
      <c r="D104" s="590" t="str">
        <f ca="1">IF(OR($A$2=1,B104&gt;OP!$C$24),"",OP!$C$52)</f>
        <v/>
      </c>
      <c r="E104" s="591"/>
      <c r="F104" s="590">
        <f t="shared" ca="1" si="3"/>
        <v>47320</v>
      </c>
      <c r="G104" s="591"/>
      <c r="H104" s="590">
        <f ca="1">IF(OR($A$2=1,B104=""),"",ROUND(VLOOKUP(OP!$C$55,DIE,$B104+1,0)*OP!$C$28,0))</f>
        <v>100000</v>
      </c>
      <c r="I104" s="591"/>
      <c r="J104" s="592">
        <f ca="1">IF(OR($A$2=1,$B104=""),"",ROUND(VLOOKUP(OP!$C$55,HL_1,$B104+1,0)*OP!$C$28,0))</f>
        <v>50668</v>
      </c>
      <c r="K104" s="593"/>
      <c r="L104" s="592">
        <f ca="1">IF(OR($A$2=1,$B104=""),"",ROUND(VLOOKUP(OP!$C$55,HL_2,$B104+1,0)*OP!$C$28,0))</f>
        <v>100000</v>
      </c>
      <c r="M104" s="593"/>
      <c r="N104" s="592">
        <f ca="1">IF(OR($A$2=1,$B104=""),"",(ROUND(VLOOKUP(OP!$C$55,HL_2,$B104+1,0)*OP!$C$28,0)+ROUND(OP!$C$28*10000*0.2,0)))</f>
        <v>120000</v>
      </c>
      <c r="O104" s="593"/>
      <c r="P104" s="592">
        <f ca="1">IF(OR($A$2=1,$B104=""),"",ROUND(VLOOKUP(OP!$C$55,HL_3,$B104+1,0)*OP!$C$28,0))</f>
        <v>100000</v>
      </c>
      <c r="Q104" s="593"/>
      <c r="R104" s="590">
        <f ca="1">IF(OR($A$2=1,B104=""),"",ROUND(VLOOKUP(OP!$C$55,EXP,$B104+1,0)*OP!$C$28,0))</f>
        <v>0</v>
      </c>
      <c r="S104" s="591"/>
      <c r="T104" s="590">
        <f ca="1">IF(OR($A$2=1,B104=""),"",ROUND(VLOOKUP(OP!$C$55,CV,$B104+1,0)*OP!$C$28,0))</f>
        <v>24990</v>
      </c>
      <c r="U104" s="591"/>
      <c r="V104" s="590">
        <f ca="1">IF(OR($A$2=1,B104=""),"",ROUND(VLOOKUP(OP!$C$55,PA,$B104+1,0)*OP!$C$28,0))</f>
        <v>0</v>
      </c>
      <c r="W104" s="591"/>
      <c r="X104" s="349"/>
    </row>
    <row r="105" spans="2:24" s="348" customFormat="1" ht="12.95" customHeight="1">
      <c r="B105" s="481">
        <f ca="1">IF(OR(C104&gt;=OP!F$57,C104=""),"",IF(C104+1&gt;OP!$F$57,OP!$F$57+1-$B$23,B104+1))</f>
        <v>74</v>
      </c>
      <c r="C105" s="481">
        <f ca="1">IF(OR($A$2=1,MAX($C$23:$C$57,$C$67:C104)&gt;=OP!$F$57),"",C104+(B105-B104))</f>
        <v>73</v>
      </c>
      <c r="D105" s="590" t="str">
        <f ca="1">IF(OR($A$2=1,B105&gt;OP!$C$24),"",OP!$C$52)</f>
        <v/>
      </c>
      <c r="E105" s="591"/>
      <c r="F105" s="590">
        <f t="shared" ca="1" si="3"/>
        <v>47320</v>
      </c>
      <c r="G105" s="591"/>
      <c r="H105" s="590">
        <f ca="1">IF(OR($A$2=1,B105=""),"",ROUND(VLOOKUP(OP!$C$55,DIE,$B105+1,0)*OP!$C$28,0))</f>
        <v>100000</v>
      </c>
      <c r="I105" s="591"/>
      <c r="J105" s="592">
        <f ca="1">IF(OR($A$2=1,$B105=""),"",ROUND(VLOOKUP(OP!$C$55,HL_1,$B105+1,0)*OP!$C$28,0))</f>
        <v>50668</v>
      </c>
      <c r="K105" s="593"/>
      <c r="L105" s="592">
        <f ca="1">IF(OR($A$2=1,$B105=""),"",ROUND(VLOOKUP(OP!$C$55,HL_2,$B105+1,0)*OP!$C$28,0))</f>
        <v>100000</v>
      </c>
      <c r="M105" s="593"/>
      <c r="N105" s="592">
        <f ca="1">IF(OR($A$2=1,$B105=""),"",(ROUND(VLOOKUP(OP!$C$55,HL_2,$B105+1,0)*OP!$C$28,0)+ROUND(OP!$C$28*10000*0.2,0)))</f>
        <v>120000</v>
      </c>
      <c r="O105" s="593"/>
      <c r="P105" s="592">
        <f ca="1">IF(OR($A$2=1,$B105=""),"",ROUND(VLOOKUP(OP!$C$55,HL_3,$B105+1,0)*OP!$C$28,0))</f>
        <v>100000</v>
      </c>
      <c r="Q105" s="593"/>
      <c r="R105" s="590">
        <f ca="1">IF(OR($A$2=1,B105=""),"",ROUND(VLOOKUP(OP!$C$55,EXP,$B105+1,0)*OP!$C$28,0))</f>
        <v>0</v>
      </c>
      <c r="S105" s="591"/>
      <c r="T105" s="590">
        <f ca="1">IF(OR($A$2=1,B105=""),"",ROUND(VLOOKUP(OP!$C$55,CV,$B105+1,0)*OP!$C$28,0))</f>
        <v>26960</v>
      </c>
      <c r="U105" s="591"/>
      <c r="V105" s="590">
        <f ca="1">IF(OR($A$2=1,B105=""),"",ROUND(VLOOKUP(OP!$C$55,PA,$B105+1,0)*OP!$C$28,0))</f>
        <v>0</v>
      </c>
      <c r="W105" s="591"/>
      <c r="X105" s="349"/>
    </row>
    <row r="106" spans="2:24" s="348" customFormat="1" ht="12.95" customHeight="1">
      <c r="B106" s="481">
        <f ca="1">IF(OR(C105&gt;=OP!F$57,C105=""),"",IF(C105+1&gt;OP!$F$57,OP!$F$57+1-$B$23,B105+1))</f>
        <v>75</v>
      </c>
      <c r="C106" s="481">
        <f ca="1">IF(OR($A$2=1,MAX($C$23:$C$57,$C$67:C105)&gt;=OP!$F$57),"",C105+(B106-B105))</f>
        <v>74</v>
      </c>
      <c r="D106" s="590" t="str">
        <f ca="1">IF(OR($A$2=1,B106&gt;OP!$C$24),"",OP!$C$52)</f>
        <v/>
      </c>
      <c r="E106" s="591"/>
      <c r="F106" s="590">
        <f t="shared" ca="1" si="3"/>
        <v>47320</v>
      </c>
      <c r="G106" s="591"/>
      <c r="H106" s="590">
        <f ca="1">IF(OR($A$2=1,B106=""),"",ROUND(VLOOKUP(OP!$C$55,DIE,$B106+1,0)*OP!$C$28,0))</f>
        <v>100000</v>
      </c>
      <c r="I106" s="591"/>
      <c r="J106" s="592">
        <f ca="1">IF(OR($A$2=1,$B106=""),"",ROUND(VLOOKUP(OP!$C$55,HL_1,$B106+1,0)*OP!$C$28,0))</f>
        <v>50668</v>
      </c>
      <c r="K106" s="593"/>
      <c r="L106" s="592">
        <f ca="1">IF(OR($A$2=1,$B106=""),"",ROUND(VLOOKUP(OP!$C$55,HL_2,$B106+1,0)*OP!$C$28,0))</f>
        <v>100000</v>
      </c>
      <c r="M106" s="593"/>
      <c r="N106" s="592">
        <f ca="1">IF(OR($A$2=1,$B106=""),"",(ROUND(VLOOKUP(OP!$C$55,HL_2,$B106+1,0)*OP!$C$28,0)+ROUND(OP!$C$28*10000*0.2,0)))</f>
        <v>120000</v>
      </c>
      <c r="O106" s="593"/>
      <c r="P106" s="592">
        <f ca="1">IF(OR($A$2=1,$B106=""),"",ROUND(VLOOKUP(OP!$C$55,HL_3,$B106+1,0)*OP!$C$28,0))</f>
        <v>100000</v>
      </c>
      <c r="Q106" s="593"/>
      <c r="R106" s="590">
        <f ca="1">IF(OR($A$2=1,B106=""),"",ROUND(VLOOKUP(OP!$C$55,EXP,$B106+1,0)*OP!$C$28,0))</f>
        <v>0</v>
      </c>
      <c r="S106" s="591"/>
      <c r="T106" s="590">
        <f ca="1">IF(OR($A$2=1,B106=""),"",ROUND(VLOOKUP(OP!$C$55,CV,$B106+1,0)*OP!$C$28,0))</f>
        <v>29200</v>
      </c>
      <c r="U106" s="591"/>
      <c r="V106" s="590">
        <f ca="1">IF(OR($A$2=1,B106=""),"",ROUND(VLOOKUP(OP!$C$55,PA,$B106+1,0)*OP!$C$28,0))</f>
        <v>0</v>
      </c>
      <c r="W106" s="591"/>
      <c r="X106" s="349"/>
    </row>
    <row r="107" spans="2:24" s="348" customFormat="1" ht="12.95" customHeight="1">
      <c r="B107" s="481">
        <f ca="1">IF(OR(C106&gt;=OP!F$57,C106=""),"",IF(C106+1&gt;OP!$F$57,OP!$F$57+1-$B$23,B106+1))</f>
        <v>76</v>
      </c>
      <c r="C107" s="481">
        <f ca="1">IF(OR($A$2=1,MAX($C$23:$C$57,$C$67:C106)&gt;=OP!$F$57),"",C106+(B107-B106))</f>
        <v>75</v>
      </c>
      <c r="D107" s="590" t="str">
        <f ca="1">IF(OR($A$2=1,B107&gt;OP!$C$24),"",OP!$C$52)</f>
        <v/>
      </c>
      <c r="E107" s="591"/>
      <c r="F107" s="590">
        <f t="shared" ca="1" si="3"/>
        <v>47320</v>
      </c>
      <c r="G107" s="591"/>
      <c r="H107" s="590">
        <f ca="1">IF(OR($A$2=1,B107=""),"",ROUND(VLOOKUP(OP!$C$55,DIE,$B107+1,0)*OP!$C$28,0))</f>
        <v>100000</v>
      </c>
      <c r="I107" s="591"/>
      <c r="J107" s="592">
        <f ca="1">IF(OR($A$2=1,$B107=""),"",ROUND(VLOOKUP(OP!$C$55,HL_1,$B107+1,0)*OP!$C$28,0))</f>
        <v>50668</v>
      </c>
      <c r="K107" s="593"/>
      <c r="L107" s="592">
        <f ca="1">IF(OR($A$2=1,$B107=""),"",ROUND(VLOOKUP(OP!$C$55,HL_2,$B107+1,0)*OP!$C$28,0))</f>
        <v>100000</v>
      </c>
      <c r="M107" s="593"/>
      <c r="N107" s="592">
        <f ca="1">IF(OR($A$2=1,$B107=""),"",(ROUND(VLOOKUP(OP!$C$55,HL_2,$B107+1,0)*OP!$C$28,0)+ROUND(OP!$C$28*10000*0.2,0)))</f>
        <v>120000</v>
      </c>
      <c r="O107" s="593"/>
      <c r="P107" s="592">
        <f ca="1">IF(OR($A$2=1,$B107=""),"",ROUND(VLOOKUP(OP!$C$55,HL_3,$B107+1,0)*OP!$C$28,0))</f>
        <v>100000</v>
      </c>
      <c r="Q107" s="593"/>
      <c r="R107" s="590">
        <f ca="1">IF(OR($A$2=1,B107=""),"",ROUND(VLOOKUP(OP!$C$55,EXP,$B107+1,0)*OP!$C$28,0))</f>
        <v>0</v>
      </c>
      <c r="S107" s="591"/>
      <c r="T107" s="590">
        <f ca="1">IF(OR($A$2=1,B107=""),"",ROUND(VLOOKUP(OP!$C$55,CV,$B107+1,0)*OP!$C$28,0))</f>
        <v>32090</v>
      </c>
      <c r="U107" s="591"/>
      <c r="V107" s="590">
        <f ca="1">IF(OR($A$2=1,B107=""),"",ROUND(VLOOKUP(OP!$C$55,PA,$B107+1,0)*OP!$C$28,0))</f>
        <v>0</v>
      </c>
      <c r="W107" s="591"/>
      <c r="X107" s="349"/>
    </row>
    <row r="108" spans="2:24" s="348" customFormat="1" ht="12.95" customHeight="1">
      <c r="B108" s="481">
        <f ca="1">IF(OR(C107&gt;=OP!F$57,C107=""),"",IF(C107+1&gt;OP!$F$57,OP!$F$57+1-$B$23,B107+1))</f>
        <v>77</v>
      </c>
      <c r="C108" s="481">
        <f ca="1">IF(OR($A$2=1,MAX($C$23:$C$57,$C$67:C107)&gt;=OP!$F$57),"",C107+(B108-B107))</f>
        <v>76</v>
      </c>
      <c r="D108" s="590" t="str">
        <f ca="1">IF(OR($A$2=1,B108&gt;OP!$C$24),"",OP!$C$52)</f>
        <v/>
      </c>
      <c r="E108" s="591"/>
      <c r="F108" s="590">
        <f t="shared" ca="1" si="3"/>
        <v>47320</v>
      </c>
      <c r="G108" s="591"/>
      <c r="H108" s="590">
        <f ca="1">IF(OR($A$2=1,B108=""),"",ROUND(VLOOKUP(OP!$C$55,DIE,$B108+1,0)*OP!$C$28,0))</f>
        <v>100000</v>
      </c>
      <c r="I108" s="591"/>
      <c r="J108" s="592">
        <f ca="1">IF(OR($A$2=1,$B108=""),"",ROUND(VLOOKUP(OP!$C$55,HL_1,$B108+1,0)*OP!$C$28,0))</f>
        <v>50668</v>
      </c>
      <c r="K108" s="593"/>
      <c r="L108" s="592">
        <f ca="1">IF(OR($A$2=1,$B108=""),"",ROUND(VLOOKUP(OP!$C$55,HL_2,$B108+1,0)*OP!$C$28,0))</f>
        <v>100000</v>
      </c>
      <c r="M108" s="593"/>
      <c r="N108" s="592">
        <f ca="1">IF(OR($A$2=1,$B108=""),"",(ROUND(VLOOKUP(OP!$C$55,HL_2,$B108+1,0)*OP!$C$28,0)+ROUND(OP!$C$28*10000*0.2,0)))</f>
        <v>120000</v>
      </c>
      <c r="O108" s="593"/>
      <c r="P108" s="592">
        <f ca="1">IF(OR($A$2=1,$B108=""),"",ROUND(VLOOKUP(OP!$C$55,HL_3,$B108+1,0)*OP!$C$28,0))</f>
        <v>100000</v>
      </c>
      <c r="Q108" s="593"/>
      <c r="R108" s="590">
        <f ca="1">IF(OR($A$2=1,B108=""),"",ROUND(VLOOKUP(OP!$C$55,EXP,$B108+1,0)*OP!$C$28,0))</f>
        <v>0</v>
      </c>
      <c r="S108" s="591"/>
      <c r="T108" s="590">
        <f ca="1">IF(OR($A$2=1,B108=""),"",ROUND(VLOOKUP(OP!$C$55,CV,$B108+1,0)*OP!$C$28,0))</f>
        <v>35470</v>
      </c>
      <c r="U108" s="591"/>
      <c r="V108" s="590">
        <f ca="1">IF(OR($A$2=1,B108=""),"",ROUND(VLOOKUP(OP!$C$55,PA,$B108+1,0)*OP!$C$28,0))</f>
        <v>0</v>
      </c>
      <c r="W108" s="591"/>
      <c r="X108" s="349"/>
    </row>
    <row r="109" spans="2:24" s="348" customFormat="1" ht="12.95" customHeight="1">
      <c r="B109" s="481">
        <f ca="1">IF(OR(C108&gt;=OP!F$57,C108=""),"",IF(C108+1&gt;OP!$F$57,OP!$F$57+1-$B$23,B108+1))</f>
        <v>78</v>
      </c>
      <c r="C109" s="481">
        <f ca="1">IF(OR($A$2=1,MAX($C$23:$C$57,$C$67:C108)&gt;=OP!$F$57),"",C108+(B109-B108))</f>
        <v>77</v>
      </c>
      <c r="D109" s="590" t="str">
        <f ca="1">IF(OR($A$2=1,B109&gt;OP!$C$24),"",OP!$C$52)</f>
        <v/>
      </c>
      <c r="E109" s="591"/>
      <c r="F109" s="590">
        <f t="shared" ca="1" si="3"/>
        <v>47320</v>
      </c>
      <c r="G109" s="591"/>
      <c r="H109" s="590">
        <f ca="1">IF(OR($A$2=1,B109=""),"",ROUND(VLOOKUP(OP!$C$55,DIE,$B109+1,0)*OP!$C$28,0))</f>
        <v>100000</v>
      </c>
      <c r="I109" s="591"/>
      <c r="J109" s="592">
        <f ca="1">IF(OR($A$2=1,$B109=""),"",ROUND(VLOOKUP(OP!$C$55,HL_1,$B109+1,0)*OP!$C$28,0))</f>
        <v>50668</v>
      </c>
      <c r="K109" s="593"/>
      <c r="L109" s="592">
        <f ca="1">IF(OR($A$2=1,$B109=""),"",ROUND(VLOOKUP(OP!$C$55,HL_2,$B109+1,0)*OP!$C$28,0))</f>
        <v>100000</v>
      </c>
      <c r="M109" s="593"/>
      <c r="N109" s="592">
        <f ca="1">IF(OR($A$2=1,$B109=""),"",(ROUND(VLOOKUP(OP!$C$55,HL_2,$B109+1,0)*OP!$C$28,0)+ROUND(OP!$C$28*10000*0.2,0)))</f>
        <v>120000</v>
      </c>
      <c r="O109" s="593"/>
      <c r="P109" s="592">
        <f ca="1">IF(OR($A$2=1,$B109=""),"",ROUND(VLOOKUP(OP!$C$55,HL_3,$B109+1,0)*OP!$C$28,0))</f>
        <v>100000</v>
      </c>
      <c r="Q109" s="593"/>
      <c r="R109" s="590">
        <f ca="1">IF(OR($A$2=1,B109=""),"",ROUND(VLOOKUP(OP!$C$55,EXP,$B109+1,0)*OP!$C$28,0))</f>
        <v>0</v>
      </c>
      <c r="S109" s="591"/>
      <c r="T109" s="590">
        <f ca="1">IF(OR($A$2=1,B109=""),"",ROUND(VLOOKUP(OP!$C$55,CV,$B109+1,0)*OP!$C$28,0))</f>
        <v>39330</v>
      </c>
      <c r="U109" s="591"/>
      <c r="V109" s="590">
        <f ca="1">IF(OR($A$2=1,B109=""),"",ROUND(VLOOKUP(OP!$C$55,PA,$B109+1,0)*OP!$C$28,0))</f>
        <v>0</v>
      </c>
      <c r="W109" s="591"/>
      <c r="X109" s="349"/>
    </row>
    <row r="110" spans="2:24" s="348" customFormat="1" ht="12.95" customHeight="1">
      <c r="B110" s="481">
        <f ca="1">IF(OR(C109&gt;=OP!F$57,C109=""),"",IF(C109+1&gt;OP!$F$57,OP!$F$57+1-$B$23,B109+1))</f>
        <v>79</v>
      </c>
      <c r="C110" s="481">
        <f ca="1">IF(OR($A$2=1,MAX($C$23:$C$57,$C$67:C109)&gt;=OP!$F$57),"",C109+(B110-B109))</f>
        <v>78</v>
      </c>
      <c r="D110" s="590" t="str">
        <f ca="1">IF(OR($A$2=1,B110&gt;OP!$C$24),"",OP!$C$52)</f>
        <v/>
      </c>
      <c r="E110" s="591"/>
      <c r="F110" s="590">
        <f t="shared" ca="1" si="3"/>
        <v>47320</v>
      </c>
      <c r="G110" s="591"/>
      <c r="H110" s="590">
        <f ca="1">IF(OR($A$2=1,B110=""),"",ROUND(VLOOKUP(OP!$C$55,DIE,$B110+1,0)*OP!$C$28,0))</f>
        <v>100000</v>
      </c>
      <c r="I110" s="591"/>
      <c r="J110" s="592">
        <f ca="1">IF(OR($A$2=1,$B110=""),"",ROUND(VLOOKUP(OP!$C$55,HL_1,$B110+1,0)*OP!$C$28,0))</f>
        <v>50668</v>
      </c>
      <c r="K110" s="593"/>
      <c r="L110" s="592">
        <f ca="1">IF(OR($A$2=1,$B110=""),"",ROUND(VLOOKUP(OP!$C$55,HL_2,$B110+1,0)*OP!$C$28,0))</f>
        <v>100000</v>
      </c>
      <c r="M110" s="593"/>
      <c r="N110" s="592">
        <f ca="1">IF(OR($A$2=1,$B110=""),"",(ROUND(VLOOKUP(OP!$C$55,HL_2,$B110+1,0)*OP!$C$28,0)+ROUND(OP!$C$28*10000*0.2,0)))</f>
        <v>120000</v>
      </c>
      <c r="O110" s="593"/>
      <c r="P110" s="592">
        <f ca="1">IF(OR($A$2=1,$B110=""),"",ROUND(VLOOKUP(OP!$C$55,HL_3,$B110+1,0)*OP!$C$28,0))</f>
        <v>100000</v>
      </c>
      <c r="Q110" s="593"/>
      <c r="R110" s="590">
        <f ca="1">IF(OR($A$2=1,B110=""),"",ROUND(VLOOKUP(OP!$C$55,EXP,$B110+1,0)*OP!$C$28,0))</f>
        <v>0</v>
      </c>
      <c r="S110" s="591"/>
      <c r="T110" s="590">
        <f ca="1">IF(OR($A$2=1,B110=""),"",ROUND(VLOOKUP(OP!$C$55,CV,$B110+1,0)*OP!$C$28,0))</f>
        <v>43920</v>
      </c>
      <c r="U110" s="591"/>
      <c r="V110" s="590">
        <f ca="1">IF(OR($A$2=1,B110=""),"",ROUND(VLOOKUP(OP!$C$55,PA,$B110+1,0)*OP!$C$28,0))</f>
        <v>0</v>
      </c>
      <c r="W110" s="591"/>
      <c r="X110" s="349"/>
    </row>
    <row r="111" spans="2:24" s="348" customFormat="1" ht="12.95" customHeight="1">
      <c r="B111" s="481">
        <f ca="1">IF(OR(C110&gt;=OP!F$57,C110=""),"",IF(C110+1&gt;OP!$F$57,OP!$F$57+1-$B$23,B110+1))</f>
        <v>80</v>
      </c>
      <c r="C111" s="481">
        <f ca="1">IF(OR($A$2=1,MAX($C$23:$C$57,$C$67:C110)&gt;=OP!$F$57),"",C110+(B111-B110))</f>
        <v>79</v>
      </c>
      <c r="D111" s="590" t="str">
        <f ca="1">IF(OR($A$2=1,B111&gt;OP!$C$24),"",OP!$C$52)</f>
        <v/>
      </c>
      <c r="E111" s="591"/>
      <c r="F111" s="590">
        <f t="shared" ca="1" si="3"/>
        <v>47320</v>
      </c>
      <c r="G111" s="591"/>
      <c r="H111" s="590">
        <f ca="1">IF(OR($A$2=1,B111=""),"",ROUND(VLOOKUP(OP!$C$55,DIE,$B111+1,0)*OP!$C$28,0))</f>
        <v>100000</v>
      </c>
      <c r="I111" s="591"/>
      <c r="J111" s="592">
        <f ca="1">IF(OR($A$2=1,$B111=""),"",ROUND(VLOOKUP(OP!$C$55,HL_1,$B111+1,0)*OP!$C$28,0))</f>
        <v>50668</v>
      </c>
      <c r="K111" s="593"/>
      <c r="L111" s="592">
        <f ca="1">IF(OR($A$2=1,$B111=""),"",ROUND(VLOOKUP(OP!$C$55,HL_2,$B111+1,0)*OP!$C$28,0))</f>
        <v>100000</v>
      </c>
      <c r="M111" s="593"/>
      <c r="N111" s="592">
        <f ca="1">IF(OR($A$2=1,$B111=""),"",(ROUND(VLOOKUP(OP!$C$55,HL_2,$B111+1,0)*OP!$C$28,0)+ROUND(OP!$C$28*10000*0.2,0)))</f>
        <v>120000</v>
      </c>
      <c r="O111" s="593"/>
      <c r="P111" s="592">
        <f ca="1">IF(OR($A$2=1,$B111=""),"",ROUND(VLOOKUP(OP!$C$55,HL_3,$B111+1,0)*OP!$C$28,0))</f>
        <v>100000</v>
      </c>
      <c r="Q111" s="593"/>
      <c r="R111" s="590">
        <f ca="1">IF(OR($A$2=1,B111=""),"",ROUND(VLOOKUP(OP!$C$55,EXP,$B111+1,0)*OP!$C$28,0))</f>
        <v>0</v>
      </c>
      <c r="S111" s="591"/>
      <c r="T111" s="590">
        <f ca="1">IF(OR($A$2=1,B111=""),"",ROUND(VLOOKUP(OP!$C$55,CV,$B111+1,0)*OP!$C$28,0))</f>
        <v>49190</v>
      </c>
      <c r="U111" s="591"/>
      <c r="V111" s="590">
        <f ca="1">IF(OR($A$2=1,B111=""),"",ROUND(VLOOKUP(OP!$C$55,PA,$B111+1,0)*OP!$C$28,0))</f>
        <v>0</v>
      </c>
      <c r="W111" s="591"/>
      <c r="X111" s="349"/>
    </row>
    <row r="112" spans="2:24" s="348" customFormat="1" ht="12.95" customHeight="1">
      <c r="B112" s="481">
        <f ca="1">IF(OR(C111&gt;=OP!F$57,C111=""),"",IF(C111+1&gt;OP!$F$57,OP!$F$57+1-$B$23,B111+1))</f>
        <v>81</v>
      </c>
      <c r="C112" s="481">
        <f ca="1">IF(OR($A$2=1,MAX($C$23:$C$57,$C$67:C111)&gt;=OP!$F$57),"",C111+(B112-B111))</f>
        <v>80</v>
      </c>
      <c r="D112" s="590" t="str">
        <f ca="1">IF(OR($A$2=1,B112&gt;OP!$C$24),"",OP!$C$52)</f>
        <v/>
      </c>
      <c r="E112" s="591"/>
      <c r="F112" s="590">
        <f t="shared" ca="1" si="3"/>
        <v>47320</v>
      </c>
      <c r="G112" s="591"/>
      <c r="H112" s="590">
        <f ca="1">IF(OR($A$2=1,B112=""),"",ROUND(VLOOKUP(OP!$C$55,DIE,$B112+1,0)*OP!$C$28,0))</f>
        <v>100000</v>
      </c>
      <c r="I112" s="591"/>
      <c r="J112" s="592">
        <f ca="1">IF(OR($A$2=1,$B112=""),"",ROUND(VLOOKUP(OP!$C$55,HL_1,$B112+1,0)*OP!$C$28,0))</f>
        <v>50668</v>
      </c>
      <c r="K112" s="593"/>
      <c r="L112" s="592">
        <f ca="1">IF(OR($A$2=1,$B112=""),"",ROUND(VLOOKUP(OP!$C$55,HL_2,$B112+1,0)*OP!$C$28,0))</f>
        <v>100000</v>
      </c>
      <c r="M112" s="593"/>
      <c r="N112" s="592">
        <f ca="1">IF(OR($A$2=1,$B112=""),"",(ROUND(VLOOKUP(OP!$C$55,HL_2,$B112+1,0)*OP!$C$28,0)+ROUND(OP!$C$28*10000*0.2,0)))</f>
        <v>120000</v>
      </c>
      <c r="O112" s="593"/>
      <c r="P112" s="592">
        <f ca="1">IF(OR($A$2=1,$B112=""),"",ROUND(VLOOKUP(OP!$C$55,HL_3,$B112+1,0)*OP!$C$28,0))</f>
        <v>100000</v>
      </c>
      <c r="Q112" s="593"/>
      <c r="R112" s="590">
        <f ca="1">IF(OR($A$2=1,B112=""),"",ROUND(VLOOKUP(OP!$C$55,EXP,$B112+1,0)*OP!$C$28,0))</f>
        <v>0</v>
      </c>
      <c r="S112" s="591"/>
      <c r="T112" s="590">
        <f ca="1">IF(OR($A$2=1,B112=""),"",ROUND(VLOOKUP(OP!$C$55,CV,$B112+1,0)*OP!$C$28,0))</f>
        <v>55770</v>
      </c>
      <c r="U112" s="591"/>
      <c r="V112" s="590">
        <f ca="1">IF(OR($A$2=1,B112=""),"",ROUND(VLOOKUP(OP!$C$55,PA,$B112+1,0)*OP!$C$28,0))</f>
        <v>0</v>
      </c>
      <c r="W112" s="591"/>
      <c r="X112" s="349"/>
    </row>
    <row r="113" spans="1:24" s="348" customFormat="1" ht="12.95" customHeight="1">
      <c r="B113" s="481">
        <f ca="1">IF(OR(C112&gt;=OP!F$57,C112=""),"",IF(C112+1&gt;OP!$F$57,OP!$F$57+1-$B$23,B112+1))</f>
        <v>82</v>
      </c>
      <c r="C113" s="481">
        <f ca="1">IF(OR($A$2=1,MAX($C$23:$C$57,$C$67:C112)&gt;=OP!$F$57),"",C112+(B113-B112))</f>
        <v>81</v>
      </c>
      <c r="D113" s="590" t="str">
        <f ca="1">IF(OR($A$2=1,B113&gt;OP!$C$24),"",OP!$C$52)</f>
        <v/>
      </c>
      <c r="E113" s="591"/>
      <c r="F113" s="590">
        <f t="shared" ca="1" si="3"/>
        <v>47320</v>
      </c>
      <c r="G113" s="591"/>
      <c r="H113" s="590">
        <f ca="1">IF(OR($A$2=1,B113=""),"",ROUND(VLOOKUP(OP!$C$55,DIE,$B113+1,0)*OP!$C$28,0))</f>
        <v>100000</v>
      </c>
      <c r="I113" s="591"/>
      <c r="J113" s="592">
        <f ca="1">IF(OR($A$2=1,$B113=""),"",ROUND(VLOOKUP(OP!$C$55,HL_1,$B113+1,0)*OP!$C$28,0))</f>
        <v>50668</v>
      </c>
      <c r="K113" s="593"/>
      <c r="L113" s="592">
        <f ca="1">IF(OR($A$2=1,$B113=""),"",ROUND(VLOOKUP(OP!$C$55,HL_2,$B113+1,0)*OP!$C$28,0))</f>
        <v>100000</v>
      </c>
      <c r="M113" s="593"/>
      <c r="N113" s="592">
        <f ca="1">IF(OR($A$2=1,$B113=""),"",(ROUND(VLOOKUP(OP!$C$55,HL_2,$B113+1,0)*OP!$C$28,0)+ROUND(OP!$C$28*10000*0.2,0)))</f>
        <v>120000</v>
      </c>
      <c r="O113" s="593"/>
      <c r="P113" s="592">
        <f ca="1">IF(OR($A$2=1,$B113=""),"",ROUND(VLOOKUP(OP!$C$55,HL_3,$B113+1,0)*OP!$C$28,0))</f>
        <v>100000</v>
      </c>
      <c r="Q113" s="593"/>
      <c r="R113" s="590">
        <f ca="1">IF(OR($A$2=1,B113=""),"",ROUND(VLOOKUP(OP!$C$55,EXP,$B113+1,0)*OP!$C$28,0))</f>
        <v>0</v>
      </c>
      <c r="S113" s="591"/>
      <c r="T113" s="590">
        <f ca="1">IF(OR($A$2=1,B113=""),"",ROUND(VLOOKUP(OP!$C$55,CV,$B113+1,0)*OP!$C$28,0))</f>
        <v>63760</v>
      </c>
      <c r="U113" s="591"/>
      <c r="V113" s="590">
        <f ca="1">IF(OR($A$2=1,B113=""),"",ROUND(VLOOKUP(OP!$C$55,PA,$B113+1,0)*OP!$C$28,0))</f>
        <v>0</v>
      </c>
      <c r="W113" s="591"/>
      <c r="X113" s="349"/>
    </row>
    <row r="114" spans="1:24" s="348" customFormat="1" ht="12.95" customHeight="1">
      <c r="B114" s="481">
        <f ca="1">IF(OR(C113&gt;=OP!F$57,C113=""),"",IF(C113+1&gt;OP!$F$57,OP!$F$57+1-$B$23,B113+1))</f>
        <v>83</v>
      </c>
      <c r="C114" s="481">
        <f ca="1">IF(OR($A$2=1,MAX($C$23:$C$57,$C$67:C113)&gt;=OP!$F$57),"",C113+(B114-B113))</f>
        <v>82</v>
      </c>
      <c r="D114" s="590" t="str">
        <f ca="1">IF(OR($A$2=1,B114&gt;OP!$C$24),"",OP!$C$52)</f>
        <v/>
      </c>
      <c r="E114" s="591"/>
      <c r="F114" s="590">
        <f t="shared" ca="1" si="3"/>
        <v>47320</v>
      </c>
      <c r="G114" s="591"/>
      <c r="H114" s="590">
        <f ca="1">IF(OR($A$2=1,B114=""),"",ROUND(VLOOKUP(OP!$C$55,DIE,$B114+1,0)*OP!$C$28,0))</f>
        <v>100000</v>
      </c>
      <c r="I114" s="591"/>
      <c r="J114" s="592">
        <f ca="1">IF(OR($A$2=1,$B114=""),"",ROUND(VLOOKUP(OP!$C$55,HL_1,$B114+1,0)*OP!$C$28,0))</f>
        <v>50668</v>
      </c>
      <c r="K114" s="593"/>
      <c r="L114" s="592">
        <f ca="1">IF(OR($A$2=1,$B114=""),"",ROUND(VLOOKUP(OP!$C$55,HL_2,$B114+1,0)*OP!$C$28,0))</f>
        <v>100000</v>
      </c>
      <c r="M114" s="593"/>
      <c r="N114" s="592">
        <f ca="1">IF(OR($A$2=1,$B114=""),"",(ROUND(VLOOKUP(OP!$C$55,HL_2,$B114+1,0)*OP!$C$28,0)+ROUND(OP!$C$28*10000*0.2,0)))</f>
        <v>120000</v>
      </c>
      <c r="O114" s="593"/>
      <c r="P114" s="592">
        <f ca="1">IF(OR($A$2=1,$B114=""),"",ROUND(VLOOKUP(OP!$C$55,HL_3,$B114+1,0)*OP!$C$28,0))</f>
        <v>100000</v>
      </c>
      <c r="Q114" s="593"/>
      <c r="R114" s="590">
        <f ca="1">IF(OR($A$2=1,B114=""),"",ROUND(VLOOKUP(OP!$C$55,EXP,$B114+1,0)*OP!$C$28,0))</f>
        <v>0</v>
      </c>
      <c r="S114" s="591"/>
      <c r="T114" s="590">
        <f ca="1">IF(OR($A$2=1,B114=""),"",ROUND(VLOOKUP(OP!$C$55,CV,$B114+1,0)*OP!$C$28,0))</f>
        <v>73420</v>
      </c>
      <c r="U114" s="591"/>
      <c r="V114" s="590">
        <f ca="1">IF(OR($A$2=1,B114=""),"",ROUND(VLOOKUP(OP!$C$55,PA,$B114+1,0)*OP!$C$28,0))</f>
        <v>0</v>
      </c>
      <c r="W114" s="591"/>
      <c r="X114" s="349"/>
    </row>
    <row r="115" spans="1:24" s="348" customFormat="1" ht="12.95" customHeight="1">
      <c r="B115" s="481">
        <f ca="1">IF(OR(C114&gt;=OP!F$57,C114=""),"",IF(C114+1&gt;OP!$F$57,OP!$F$57+1-$B$23,B114+1))</f>
        <v>84</v>
      </c>
      <c r="C115" s="481">
        <f ca="1">IF(OR($A$2=1,MAX($C$23:$C$57,$C$67:C114)&gt;=OP!$F$57),"",C114+(B115-B114))</f>
        <v>83</v>
      </c>
      <c r="D115" s="590" t="str">
        <f ca="1">IF(OR($A$2=1,B115&gt;OP!$C$24),"",OP!$C$52)</f>
        <v/>
      </c>
      <c r="E115" s="591"/>
      <c r="F115" s="590">
        <f t="shared" ca="1" si="3"/>
        <v>47320</v>
      </c>
      <c r="G115" s="591"/>
      <c r="H115" s="590">
        <f ca="1">IF(OR($A$2=1,B115=""),"",ROUND(VLOOKUP(OP!$C$55,DIE,$B115+1,0)*OP!$C$28,0))</f>
        <v>100000</v>
      </c>
      <c r="I115" s="591"/>
      <c r="J115" s="592">
        <f ca="1">IF(OR($A$2=1,$B115=""),"",ROUND(VLOOKUP(OP!$C$55,HL_1,$B115+1,0)*OP!$C$28,0))</f>
        <v>50668</v>
      </c>
      <c r="K115" s="593"/>
      <c r="L115" s="592">
        <f ca="1">IF(OR($A$2=1,$B115=""),"",ROUND(VLOOKUP(OP!$C$55,HL_2,$B115+1,0)*OP!$C$28,0))</f>
        <v>100000</v>
      </c>
      <c r="M115" s="593"/>
      <c r="N115" s="592">
        <f ca="1">IF(OR($A$2=1,$B115=""),"",(ROUND(VLOOKUP(OP!$C$55,HL_2,$B115+1,0)*OP!$C$28,0)+ROUND(OP!$C$28*10000*0.2,0)))</f>
        <v>120000</v>
      </c>
      <c r="O115" s="593"/>
      <c r="P115" s="592">
        <f ca="1">IF(OR($A$2=1,$B115=""),"",ROUND(VLOOKUP(OP!$C$55,HL_3,$B115+1,0)*OP!$C$28,0))</f>
        <v>100000</v>
      </c>
      <c r="Q115" s="593"/>
      <c r="R115" s="590">
        <f ca="1">IF(OR($A$2=1,B115=""),"",ROUND(VLOOKUP(OP!$C$55,EXP,$B115+1,0)*OP!$C$28,0))</f>
        <v>0</v>
      </c>
      <c r="S115" s="591"/>
      <c r="T115" s="590">
        <f ca="1">IF(OR($A$2=1,B115=""),"",ROUND(VLOOKUP(OP!$C$55,CV,$B115+1,0)*OP!$C$28,0))</f>
        <v>85350</v>
      </c>
      <c r="U115" s="591"/>
      <c r="V115" s="590">
        <f ca="1">IF(OR($A$2=1,B115=""),"",ROUND(VLOOKUP(OP!$C$55,PA,$B115+1,0)*OP!$C$28,0))</f>
        <v>0</v>
      </c>
      <c r="W115" s="591"/>
      <c r="X115" s="349"/>
    </row>
    <row r="116" spans="1:24" s="21" customFormat="1" ht="12.95" customHeight="1">
      <c r="B116" s="481">
        <f ca="1">IF(OR(C115&gt;=OP!F$57,C115=""),"",IF(C115+1&gt;OP!$F$57,OP!$F$57+1-$B$23,B115+1))</f>
        <v>85</v>
      </c>
      <c r="C116" s="481">
        <f ca="1">IF(OR($A$2=1,MAX($C$23:$C$57,$C$67:C115)&gt;=OP!$F$57),"",C115+(B116-B115))</f>
        <v>84</v>
      </c>
      <c r="D116" s="590" t="str">
        <f ca="1">IF(OR($A$2=1,B116&gt;OP!$C$24),"",OP!$C$52)</f>
        <v/>
      </c>
      <c r="E116" s="591"/>
      <c r="F116" s="590">
        <f t="shared" ca="1" si="3"/>
        <v>47320</v>
      </c>
      <c r="G116" s="591"/>
      <c r="H116" s="590">
        <f ca="1">IF(OR($A$2=1,B116=""),"",ROUND(VLOOKUP(OP!$C$55,DIE,$B116+1,0)*OP!$C$28,0))</f>
        <v>100000</v>
      </c>
      <c r="I116" s="591"/>
      <c r="J116" s="592">
        <f ca="1">IF(OR($A$2=1,$B116=""),"",ROUND(VLOOKUP(OP!$C$55,HL_1,$B116+1,0)*OP!$C$28,0))</f>
        <v>50668</v>
      </c>
      <c r="K116" s="593"/>
      <c r="L116" s="592">
        <f ca="1">IF(OR($A$2=1,$B116=""),"",ROUND(VLOOKUP(OP!$C$55,HL_2,$B116+1,0)*OP!$C$28,0))</f>
        <v>100000</v>
      </c>
      <c r="M116" s="593"/>
      <c r="N116" s="592">
        <f ca="1">IF(OR($A$2=1,$B116=""),"",(ROUND(VLOOKUP(OP!$C$55,HL_2,$B116+1,0)*OP!$C$28,0)+ROUND(OP!$C$28*10000*0.2,0)))</f>
        <v>120000</v>
      </c>
      <c r="O116" s="593"/>
      <c r="P116" s="592">
        <f ca="1">IF(OR($A$2=1,$B116=""),"",ROUND(VLOOKUP(OP!$C$55,HL_3,$B116+1,0)*OP!$C$28,0))</f>
        <v>100000</v>
      </c>
      <c r="Q116" s="593"/>
      <c r="R116" s="590">
        <f ca="1">IF(OR($A$2=1,B116=""),"",ROUND(VLOOKUP(OP!$C$55,EXP,$B116+1,0)*OP!$C$28,0))</f>
        <v>100000</v>
      </c>
      <c r="S116" s="591"/>
      <c r="T116" s="590">
        <f ca="1">IF(OR($A$2=1,B116=""),"",ROUND(VLOOKUP(OP!$C$55,CV,$B116+1,0)*OP!$C$28,0))</f>
        <v>0</v>
      </c>
      <c r="U116" s="591"/>
      <c r="V116" s="590">
        <f ca="1">IF(OR($A$2=1,B116=""),"",ROUND(VLOOKUP(OP!$C$55,PA,$B116+1,0)*OP!$C$28,0))</f>
        <v>0</v>
      </c>
      <c r="W116" s="591"/>
      <c r="X116" s="22"/>
    </row>
    <row r="117" spans="1:24" s="24" customFormat="1" ht="15" customHeight="1">
      <c r="A117" s="35"/>
      <c r="B117" s="111" t="s">
        <v>760</v>
      </c>
      <c r="C117" s="105"/>
      <c r="D117" s="237"/>
      <c r="E117" s="237"/>
      <c r="F117" s="237"/>
      <c r="G117" s="237"/>
      <c r="H117" s="237"/>
      <c r="I117" s="237"/>
      <c r="J117" s="238"/>
      <c r="K117" s="238"/>
      <c r="L117" s="239"/>
      <c r="M117" s="239"/>
      <c r="N117" s="239"/>
      <c r="O117" s="239"/>
      <c r="P117" s="239"/>
      <c r="Q117" s="239"/>
      <c r="R117" s="239"/>
      <c r="S117" s="239"/>
      <c r="T117" s="239"/>
      <c r="U117" s="239"/>
      <c r="V117" s="239"/>
      <c r="W117" s="239"/>
      <c r="X117" s="23"/>
    </row>
    <row r="118" spans="1:24" s="24" customFormat="1" ht="15" customHeight="1">
      <c r="A118" s="35"/>
      <c r="B118" s="111" t="s">
        <v>1040</v>
      </c>
      <c r="C118" s="105"/>
      <c r="D118" s="237"/>
      <c r="E118" s="237"/>
      <c r="F118" s="237"/>
      <c r="G118" s="237"/>
      <c r="H118" s="237"/>
      <c r="I118" s="237"/>
      <c r="J118" s="238"/>
      <c r="K118" s="238"/>
      <c r="L118" s="239"/>
      <c r="M118" s="239"/>
      <c r="N118" s="239"/>
      <c r="O118" s="239"/>
      <c r="P118" s="239"/>
      <c r="Q118" s="239"/>
      <c r="R118" s="239"/>
      <c r="S118" s="239"/>
      <c r="T118" s="239"/>
      <c r="U118" s="239"/>
      <c r="V118" s="239"/>
      <c r="W118" s="239"/>
      <c r="X118" s="23"/>
    </row>
    <row r="119" spans="1:24" s="24" customFormat="1" ht="15" customHeight="1">
      <c r="A119" s="35"/>
      <c r="B119" s="357" t="s">
        <v>817</v>
      </c>
      <c r="C119" s="105"/>
      <c r="D119" s="237"/>
      <c r="E119" s="237"/>
      <c r="F119" s="237"/>
      <c r="G119" s="237"/>
      <c r="H119" s="237"/>
      <c r="I119" s="237"/>
      <c r="J119" s="238"/>
      <c r="K119" s="238"/>
      <c r="L119" s="239"/>
      <c r="M119" s="239"/>
      <c r="N119" s="239"/>
      <c r="O119" s="239"/>
      <c r="P119" s="239"/>
      <c r="Q119" s="239"/>
      <c r="R119" s="239"/>
      <c r="S119" s="239"/>
      <c r="T119" s="239"/>
      <c r="U119" s="239"/>
      <c r="V119" s="239"/>
      <c r="W119" s="239"/>
      <c r="X119" s="23"/>
    </row>
    <row r="120" spans="1:24" s="24" customFormat="1" ht="15" customHeight="1">
      <c r="A120" s="35"/>
      <c r="B120" s="360" t="s">
        <v>986</v>
      </c>
      <c r="C120" s="105"/>
      <c r="D120" s="237"/>
      <c r="E120" s="237"/>
      <c r="F120" s="237"/>
      <c r="G120" s="237"/>
      <c r="H120" s="237"/>
      <c r="I120" s="237"/>
      <c r="J120" s="238"/>
      <c r="K120" s="238"/>
      <c r="L120" s="239"/>
      <c r="M120" s="239"/>
      <c r="N120" s="239"/>
      <c r="O120" s="239"/>
      <c r="P120" s="239"/>
      <c r="Q120" s="239"/>
      <c r="R120" s="239"/>
      <c r="S120" s="239"/>
      <c r="T120" s="239"/>
      <c r="U120" s="239"/>
      <c r="V120" s="239"/>
      <c r="W120" s="239"/>
      <c r="X120" s="23"/>
    </row>
    <row r="121" spans="1:24" s="24" customFormat="1" ht="15" customHeight="1">
      <c r="A121" s="35"/>
      <c r="B121" s="360" t="s">
        <v>987</v>
      </c>
      <c r="C121" s="105"/>
      <c r="D121" s="237"/>
      <c r="E121" s="237"/>
      <c r="F121" s="237"/>
      <c r="G121" s="237"/>
      <c r="H121" s="237"/>
      <c r="I121" s="237"/>
      <c r="J121" s="238"/>
      <c r="K121" s="238"/>
      <c r="L121" s="239"/>
      <c r="M121" s="239"/>
      <c r="N121" s="239"/>
      <c r="O121" s="239"/>
      <c r="P121" s="239"/>
      <c r="Q121" s="239"/>
      <c r="R121" s="239"/>
      <c r="S121" s="239"/>
      <c r="T121" s="239"/>
      <c r="U121" s="239"/>
      <c r="V121" s="239"/>
      <c r="W121" s="239"/>
      <c r="X121" s="23"/>
    </row>
    <row r="122" spans="1:24" s="24" customFormat="1" ht="15" customHeight="1">
      <c r="A122" s="35"/>
      <c r="B122" s="360" t="s">
        <v>988</v>
      </c>
      <c r="C122" s="105"/>
      <c r="D122" s="237"/>
      <c r="E122" s="237"/>
      <c r="F122" s="237"/>
      <c r="G122" s="237"/>
      <c r="H122" s="237"/>
      <c r="I122" s="237"/>
      <c r="J122" s="238"/>
      <c r="K122" s="238"/>
      <c r="L122" s="239"/>
      <c r="M122" s="239"/>
      <c r="N122" s="239"/>
      <c r="O122" s="239"/>
      <c r="P122" s="239"/>
      <c r="Q122" s="239"/>
      <c r="R122" s="239"/>
      <c r="S122" s="239"/>
      <c r="T122" s="239"/>
      <c r="U122" s="239"/>
      <c r="V122" s="239"/>
      <c r="W122" s="239"/>
      <c r="X122" s="23"/>
    </row>
    <row r="123" spans="1:24" s="24" customFormat="1" ht="15" customHeight="1">
      <c r="A123" s="35"/>
      <c r="B123" s="360" t="s">
        <v>989</v>
      </c>
      <c r="C123" s="105"/>
      <c r="D123" s="237"/>
      <c r="E123" s="237"/>
      <c r="F123" s="237"/>
      <c r="G123" s="237"/>
      <c r="H123" s="237"/>
      <c r="I123" s="237"/>
      <c r="J123" s="238"/>
      <c r="K123" s="238"/>
      <c r="L123" s="239"/>
      <c r="M123" s="239"/>
      <c r="N123" s="239"/>
      <c r="O123" s="239"/>
      <c r="P123" s="239"/>
      <c r="Q123" s="239"/>
      <c r="R123" s="239"/>
      <c r="S123" s="239"/>
      <c r="T123" s="239"/>
      <c r="U123" s="239"/>
      <c r="V123" s="239"/>
      <c r="W123" s="239"/>
      <c r="X123" s="23"/>
    </row>
    <row r="124" spans="1:24" s="24" customFormat="1" ht="15" customHeight="1">
      <c r="A124" s="35"/>
      <c r="B124" s="111" t="s">
        <v>625</v>
      </c>
      <c r="C124" s="105"/>
      <c r="D124" s="237"/>
      <c r="E124" s="237"/>
      <c r="F124" s="237"/>
      <c r="G124" s="237"/>
      <c r="H124" s="237"/>
      <c r="I124" s="237"/>
      <c r="J124" s="238"/>
      <c r="K124" s="238"/>
      <c r="L124" s="239"/>
      <c r="M124" s="239"/>
      <c r="N124" s="239"/>
      <c r="O124" s="239"/>
      <c r="P124" s="239"/>
      <c r="Q124" s="239"/>
      <c r="R124" s="239"/>
      <c r="S124" s="239"/>
      <c r="T124" s="239"/>
      <c r="U124" s="239"/>
      <c r="V124" s="239"/>
      <c r="W124" s="239"/>
      <c r="X124" s="23"/>
    </row>
    <row r="125" spans="1:24" s="24" customFormat="1" ht="15" customHeight="1">
      <c r="A125" s="35">
        <v>1</v>
      </c>
      <c r="B125" s="598" t="str">
        <f>OP!$D$107</f>
        <v>本建議書僅供參考，詳細商品內容及其變更，應以投保當時保單條款內容及本公司核保、保全作業規定為準</v>
      </c>
      <c r="C125" s="598"/>
      <c r="D125" s="598"/>
      <c r="E125" s="598"/>
      <c r="F125" s="598"/>
      <c r="G125" s="598"/>
      <c r="H125" s="598"/>
      <c r="I125" s="598"/>
      <c r="J125" s="598"/>
      <c r="K125" s="598"/>
      <c r="L125" s="598"/>
      <c r="M125" s="598"/>
      <c r="N125" s="598"/>
      <c r="O125" s="598"/>
      <c r="P125" s="598"/>
      <c r="Q125" s="598"/>
      <c r="R125" s="598"/>
      <c r="S125" s="598"/>
      <c r="T125" s="598"/>
      <c r="U125" s="598"/>
      <c r="V125" s="598"/>
      <c r="W125" s="598"/>
      <c r="X125" s="23"/>
    </row>
    <row r="126" spans="1:24" s="24" customFormat="1" ht="15" customHeight="1">
      <c r="B126" s="375"/>
      <c r="C126" s="376"/>
      <c r="F126" s="559" t="str">
        <f>OP!$D$106</f>
        <v xml:space="preserve"> ※本契約條款樣張須於訂立契約前提供要保人至少三日審閱期間</v>
      </c>
      <c r="G126" s="560"/>
      <c r="H126" s="560"/>
      <c r="I126" s="560"/>
      <c r="J126" s="560"/>
      <c r="K126" s="560"/>
      <c r="L126" s="560"/>
      <c r="M126" s="560"/>
      <c r="N126" s="560"/>
      <c r="O126" s="560"/>
      <c r="P126" s="560"/>
      <c r="Q126" s="560"/>
      <c r="R126" s="485"/>
      <c r="S126" s="227"/>
      <c r="T126" s="160"/>
      <c r="U126" s="160"/>
      <c r="V126" s="160"/>
      <c r="W126" s="161" t="str">
        <f ca="1">OP!$D$105</f>
        <v>V1.2-1150101 試算日：1150101</v>
      </c>
      <c r="X126" s="23"/>
    </row>
    <row r="127" spans="1:24" s="24" customFormat="1" ht="9.9499999999999993" customHeight="1">
      <c r="B127" s="375"/>
      <c r="C127" s="376"/>
      <c r="F127" s="470"/>
      <c r="G127" s="471"/>
      <c r="H127" s="471"/>
      <c r="I127" s="471"/>
      <c r="J127" s="471"/>
      <c r="K127" s="471"/>
      <c r="L127" s="471"/>
      <c r="M127" s="471"/>
      <c r="N127" s="471"/>
      <c r="O127" s="471"/>
      <c r="P127" s="471"/>
      <c r="Q127" s="471"/>
      <c r="R127" s="485"/>
      <c r="S127" s="227"/>
      <c r="T127" s="160"/>
      <c r="U127" s="160"/>
      <c r="V127" s="160"/>
      <c r="W127" s="161"/>
      <c r="X127" s="23"/>
    </row>
    <row r="128" spans="1:24" ht="18" customHeight="1">
      <c r="B128" s="561" t="s">
        <v>1045</v>
      </c>
      <c r="C128" s="561"/>
      <c r="D128" s="561"/>
      <c r="E128" s="561"/>
      <c r="F128" s="561"/>
      <c r="G128" s="561"/>
      <c r="H128" s="561"/>
      <c r="I128" s="561"/>
      <c r="J128" s="561"/>
      <c r="K128" s="561"/>
      <c r="L128" s="561"/>
      <c r="M128" s="561"/>
      <c r="N128" s="562"/>
      <c r="O128" s="562"/>
      <c r="P128" s="562"/>
      <c r="Q128" s="562"/>
      <c r="R128" s="561"/>
      <c r="S128" s="561"/>
      <c r="T128" s="561"/>
      <c r="U128" s="561"/>
      <c r="V128" s="561"/>
      <c r="W128" s="561"/>
      <c r="X128" s="9"/>
    </row>
    <row r="129" spans="2:24" s="24" customFormat="1" ht="15" customHeight="1">
      <c r="B129" s="375"/>
      <c r="C129" s="376"/>
      <c r="E129" s="470"/>
      <c r="F129" s="471"/>
      <c r="G129" s="471"/>
      <c r="H129" s="471"/>
      <c r="I129" s="471"/>
      <c r="J129" s="471"/>
      <c r="K129" s="471"/>
      <c r="L129" s="471"/>
      <c r="M129" s="471"/>
      <c r="N129" s="471"/>
      <c r="O129" s="471"/>
      <c r="P129" s="471"/>
      <c r="Q129" s="471"/>
      <c r="R129" s="471"/>
      <c r="S129" s="227"/>
      <c r="T129" s="160"/>
      <c r="U129" s="160"/>
      <c r="V129" s="160"/>
      <c r="W129" s="373" t="str">
        <f>IF(OP!$C$105="停售","本商品已停售","")</f>
        <v/>
      </c>
      <c r="X129" s="23"/>
    </row>
    <row r="130" spans="2:24" s="24" customFormat="1" ht="16.5" customHeight="1">
      <c r="B130" s="473" t="str">
        <f>IF(OR(PYY=0,PY!$C$6=0),"未設定分期定期保險金",IF(AND(輸入頁!$G$26&gt;0,MAX($F134:$G199,$J134:$K199,$R134:$S199,$V134:$W199)=0),"指定分期給付金額低於最低限制，僅能一次給付",IF(輸入頁!$G$26=0,"","指定保險金比例："&amp;TEXT(PY!$C$4,"0%")&amp;"，"&amp;輸入頁!$F$28&amp;TEXT(輸入頁!$G$28,"0.00%")&amp;"，"&amp;輸入頁!$F$30&amp;TEXT(輸入頁!$G$30,"0 個月"))))</f>
        <v>未設定分期定期保險金</v>
      </c>
      <c r="C130" s="370"/>
      <c r="D130" s="370"/>
      <c r="E130" s="370"/>
      <c r="F130" s="370"/>
      <c r="G130" s="370"/>
      <c r="H130" s="370"/>
      <c r="I130" s="370"/>
      <c r="J130" s="370"/>
      <c r="K130" s="370"/>
      <c r="L130" s="370"/>
      <c r="M130" s="370"/>
      <c r="N130" s="370"/>
      <c r="O130" s="370"/>
      <c r="P130" s="370"/>
      <c r="Q130" s="370"/>
      <c r="R130" s="370"/>
      <c r="S130" s="370"/>
      <c r="V130" s="371"/>
      <c r="W130" s="477" t="s">
        <v>769</v>
      </c>
      <c r="X130" s="23"/>
    </row>
    <row r="131" spans="2:24" s="369" customFormat="1" ht="16.5" customHeight="1">
      <c r="B131" s="604" t="s">
        <v>316</v>
      </c>
      <c r="C131" s="604" t="s">
        <v>0</v>
      </c>
      <c r="D131" s="583" t="s">
        <v>753</v>
      </c>
      <c r="E131" s="584"/>
      <c r="F131" s="584"/>
      <c r="G131" s="584"/>
      <c r="H131" s="584"/>
      <c r="I131" s="584"/>
      <c r="J131" s="584"/>
      <c r="K131" s="584"/>
      <c r="L131" s="584"/>
      <c r="M131" s="584"/>
      <c r="N131" s="585" t="s">
        <v>1041</v>
      </c>
      <c r="O131" s="586"/>
      <c r="P131" s="586"/>
      <c r="Q131" s="586"/>
      <c r="R131" s="586"/>
      <c r="S131" s="585" t="s">
        <v>984</v>
      </c>
      <c r="T131" s="586"/>
      <c r="U131" s="586"/>
      <c r="V131" s="586"/>
      <c r="W131" s="586"/>
      <c r="X131" s="368"/>
    </row>
    <row r="132" spans="2:24" s="369" customFormat="1" ht="30" customHeight="1">
      <c r="B132" s="585"/>
      <c r="C132" s="585"/>
      <c r="D132" s="587" t="s">
        <v>630</v>
      </c>
      <c r="E132" s="588"/>
      <c r="F132" s="588"/>
      <c r="G132" s="588"/>
      <c r="H132" s="588"/>
      <c r="I132" s="587" t="s">
        <v>767</v>
      </c>
      <c r="J132" s="588"/>
      <c r="K132" s="588"/>
      <c r="L132" s="588"/>
      <c r="M132" s="588"/>
      <c r="N132" s="586"/>
      <c r="O132" s="586"/>
      <c r="P132" s="586"/>
      <c r="Q132" s="586"/>
      <c r="R132" s="586"/>
      <c r="S132" s="586"/>
      <c r="T132" s="586"/>
      <c r="U132" s="586"/>
      <c r="V132" s="586"/>
      <c r="W132" s="586"/>
      <c r="X132" s="368"/>
    </row>
    <row r="133" spans="2:24" s="369" customFormat="1" ht="53.1" customHeight="1">
      <c r="B133" s="605"/>
      <c r="C133" s="606"/>
      <c r="D133" s="587" t="s">
        <v>983</v>
      </c>
      <c r="E133" s="588"/>
      <c r="F133" s="588"/>
      <c r="G133" s="587" t="str">
        <f>IF(OR(PYY=0,PY!$C$6=0),"","分期給付(月)
給付"&amp;PY!$C$6&amp;"個月
(預估值)")</f>
        <v/>
      </c>
      <c r="H133" s="589"/>
      <c r="I133" s="587" t="s">
        <v>983</v>
      </c>
      <c r="J133" s="588"/>
      <c r="K133" s="588"/>
      <c r="L133" s="587" t="str">
        <f>IF(OR(PYY=0,PY!$C$6=0),"","分期給付(月)
給付"&amp;PY!$C$6&amp;"個月
(預估值)")</f>
        <v/>
      </c>
      <c r="M133" s="589"/>
      <c r="N133" s="587" t="s">
        <v>983</v>
      </c>
      <c r="O133" s="588"/>
      <c r="P133" s="588"/>
      <c r="Q133" s="587" t="str">
        <f>IF(OR(PYY=0,PY!$C$6=0),"","分期給付(月)
給付"&amp;PY!$C$6&amp;"個月
(預估值)")</f>
        <v/>
      </c>
      <c r="R133" s="589"/>
      <c r="S133" s="587" t="s">
        <v>983</v>
      </c>
      <c r="T133" s="588"/>
      <c r="U133" s="588"/>
      <c r="V133" s="587" t="str">
        <f>IF(OR(PYY=0,PY!$C$6=0),"","分期給付(月)
給付"&amp;PY!$C$6&amp;"個月
(預估值)")</f>
        <v/>
      </c>
      <c r="W133" s="589"/>
      <c r="X133" s="368"/>
    </row>
    <row r="134" spans="2:24" s="345" customFormat="1" ht="14.1" customHeight="1">
      <c r="B134" s="480">
        <v>1</v>
      </c>
      <c r="C134" s="480">
        <f ca="1">IF($A$2=1,"",OP!$D$5)</f>
        <v>0</v>
      </c>
      <c r="D134" s="566">
        <f ca="1">IF(OR($A$2=1,$B134=""),"",ROUND(ROUND(VLOOKUP(OP!$C$55,HL_1,$B134+1,0)*OP!$C$28,0)*IF(OR($G134=0,$G134=""),1,PYO),0))</f>
        <v>2533</v>
      </c>
      <c r="E134" s="567"/>
      <c r="F134" s="567"/>
      <c r="G134" s="566"/>
      <c r="H134" s="568"/>
      <c r="I134" s="566">
        <f ca="1">IF(OR($A$2=1,$B134=""),"",ROUND(ROUND(VLOOKUP(OP!$C$55,HL_2,$B134+1,0)*OP!$C$28,0)*IF(OR($L134=0,$L134=""),1,PYO),0))</f>
        <v>2533</v>
      </c>
      <c r="J134" s="567"/>
      <c r="K134" s="567"/>
      <c r="L134" s="566"/>
      <c r="M134" s="568"/>
      <c r="N134" s="566">
        <f ca="1">IF(OR($A$2=1,$B134=""),"",ROUND((ROUND(VLOOKUP(OP!$C$55,HL_2,$B134+1,0)*OP!$C$28,0)+ROUND(OP!$C$28*10000*0,0))*IF(OR($Q134=0,$Q134=""),1,PYO),0))</f>
        <v>2533</v>
      </c>
      <c r="O134" s="567"/>
      <c r="P134" s="567"/>
      <c r="Q134" s="566"/>
      <c r="R134" s="568"/>
      <c r="S134" s="566">
        <f ca="1">IF(OR($A$2=1,$B134=""),"",ROUND(ROUND(VLOOKUP(OP!$C$55,HL_3,$B134+1,0)*OP!$C$28,0)*IF(OR($V134=0,$V134=""),1,PYO),0))</f>
        <v>100000</v>
      </c>
      <c r="T134" s="567"/>
      <c r="U134" s="567"/>
      <c r="V134" s="566"/>
      <c r="W134" s="568"/>
      <c r="X134" s="346"/>
    </row>
    <row r="135" spans="2:24" s="345" customFormat="1" ht="14.1" customHeight="1">
      <c r="B135" s="481">
        <f ca="1">IF(OR(C134&gt;=OP!F$57,C134=""),"",IF(C134+1&gt;OP!$F$57,OP!$F$57+1-$B$23,B134+1))</f>
        <v>2</v>
      </c>
      <c r="C135" s="481">
        <f ca="1">IF(OR($A$2=1,MAX($C$134:C134)&gt;=OP!$F$57),"",C134+(B135-B134))</f>
        <v>1</v>
      </c>
      <c r="D135" s="566">
        <f ca="1">IF(OR($A$2=1,$B135=""),"",ROUND(ROUND(VLOOKUP(OP!$C$55,HL_1,$B135+1,0)*OP!$C$28,0)*IF(OR($G135=0,$G135=""),1,PYO),0))</f>
        <v>20000</v>
      </c>
      <c r="E135" s="567"/>
      <c r="F135" s="567"/>
      <c r="G135" s="566">
        <f ca="1">IF(OR($A$2=1,$B135=""),"",ROUND(ROUND(VLOOKUP(OP!$C$55,HL_1,$B135+1,0)*OP!$C$28,0)*IF(OR(ROUND(VLOOKUP(OP!$C$55,HL_1,$B135+1,0)*OP!$C$28,0)*PY!$C$4&lt;PY!$D$5,ROUND(VLOOKUP(OP!$C$55,HL_1,$B135+1,0)*OP!$C$28,0)*PY!$C$4*PYR&lt;PY!$C$5),0,PYY)*PYR,0))</f>
        <v>0</v>
      </c>
      <c r="H135" s="568"/>
      <c r="I135" s="566">
        <f ca="1">IF(OR($A$2=1,$B135=""),"",ROUND(ROUND(VLOOKUP(OP!$C$55,HL_2,$B135+1,0)*OP!$C$28,0)*IF(OR($L135=0,$L135=""),1,PYO),0))</f>
        <v>100000</v>
      </c>
      <c r="J135" s="567"/>
      <c r="K135" s="567"/>
      <c r="L135" s="566">
        <f ca="1">IF(OR($A$2=1,$B135=""),"",ROUND(ROUND(VLOOKUP(OP!$C$55,HL_2,$B135+1,0)*OP!$C$28,0)*IF(OR(ROUND(VLOOKUP(OP!$C$55,HL_2,$B135+1,0)*OP!$C$28,0)*PY!$C$4&lt;PY!$D$5,ROUND(VLOOKUP(OP!$C$55,HL_2,$B135+1,0)*OP!$C$28,0)*PY!$C$4*PYR&lt;PY!$C$5),0,PYY)*PYR,0))</f>
        <v>0</v>
      </c>
      <c r="M135" s="568"/>
      <c r="N135" s="566">
        <f ca="1">IF(OR($A$2=1,$B135=""),"",ROUND((ROUND(VLOOKUP(OP!$C$55,HL_2,$B135+1,0)*OP!$C$28,0)+ROUND(OP!$C$28*10000*0.2,0))*IF(OR($Q135=0,$Q135=""),1,PYO),0))</f>
        <v>120000</v>
      </c>
      <c r="O135" s="567"/>
      <c r="P135" s="567"/>
      <c r="Q135" s="566">
        <f ca="1">IF(OR($A$2=1,$B135=""),"",ROUND((ROUND(VLOOKUP(OP!$C$55,HL_2,$B135+1,0)*OP!$C$28,0)+ROUND(OP!$C$28*10000*0.2,0))*IF(OR((ROUND(VLOOKUP(OP!$C$55,HL_2,$B135+1,0)*OP!$C$28,0)+ROUND(OP!$C$28*10000*0.2,0))*PY!$C$4&lt;PY!$D$5,(ROUND(VLOOKUP(OP!$C$55,HL_2,$B135+1,0)*OP!$C$28,0)+ROUND(OP!$C$28*10000*0.2,0))*PY!$C$4*PYR&lt;PY!$C$5),0,PYY)*PYR,0))</f>
        <v>0</v>
      </c>
      <c r="R135" s="568"/>
      <c r="S135" s="566">
        <f ca="1">IF(OR($A$2=1,$B135=""),"",ROUND(ROUND(VLOOKUP(OP!$C$55,HL_3,$B135+1,0)*OP!$C$28,0)*IF(OR($V135=0,$V135=""),1,PYO),0))</f>
        <v>100000</v>
      </c>
      <c r="T135" s="567"/>
      <c r="U135" s="567"/>
      <c r="V135" s="566">
        <f ca="1">IF(OR($A$2=1,$B135=""),"",ROUND(ROUND(VLOOKUP(OP!$C$55,HL_3,$B135+1,0)*OP!$C$28,0)*IF(OR(ROUND(VLOOKUP(OP!$C$55,HL_3,$B135+1,0)*OP!$C$28,0)*PY!$C$4&lt;PY!$D$5,ROUND(VLOOKUP(OP!$C$55,HL_3,$B135+1,0)*OP!$C$28,0)*PY!$C$4*PYR&lt;PY!$C$5),0,PYY)*PYR,0))</f>
        <v>0</v>
      </c>
      <c r="W135" s="568"/>
      <c r="X135" s="346"/>
    </row>
    <row r="136" spans="2:24" s="345" customFormat="1" ht="14.1" customHeight="1">
      <c r="B136" s="481">
        <f ca="1">IF(OR(C135&gt;=OP!F$57,C135=""),"",IF(C135+1&gt;OP!$F$57,OP!$F$57+1-$B$23,B135+1))</f>
        <v>3</v>
      </c>
      <c r="C136" s="481">
        <f ca="1">IF(OR($A$2=1,MAX($C$134:C135)&gt;=OP!$F$57),"",C135+(B136-B135))</f>
        <v>2</v>
      </c>
      <c r="D136" s="566">
        <f ca="1">IF(OR($A$2=1,$B136=""),"",ROUND(ROUND(VLOOKUP(OP!$C$55,HL_1,$B136+1,0)*OP!$C$28,0)*IF(OR($G136=0,$G136=""),1,PYO),0))</f>
        <v>20000</v>
      </c>
      <c r="E136" s="567"/>
      <c r="F136" s="567"/>
      <c r="G136" s="566">
        <f ca="1">IF(OR($A$2=1,$B136=""),"",ROUND(ROUND(VLOOKUP(OP!$C$55,HL_1,$B136+1,0)*OP!$C$28,0)*IF(OR(ROUND(VLOOKUP(OP!$C$55,HL_1,$B136+1,0)*OP!$C$28,0)*PY!$C$4&lt;PY!$D$5,ROUND(VLOOKUP(OP!$C$55,HL_1,$B136+1,0)*OP!$C$28,0)*PY!$C$4*PYR&lt;PY!$C$5),0,PYY)*PYR,0))</f>
        <v>0</v>
      </c>
      <c r="H136" s="568"/>
      <c r="I136" s="566">
        <f ca="1">IF(OR($A$2=1,$B136=""),"",ROUND(ROUND(VLOOKUP(OP!$C$55,HL_2,$B136+1,0)*OP!$C$28,0)*IF(OR($L136=0,$L136=""),1,PYO),0))</f>
        <v>100000</v>
      </c>
      <c r="J136" s="567"/>
      <c r="K136" s="567"/>
      <c r="L136" s="566">
        <f ca="1">IF(OR($A$2=1,$B136=""),"",ROUND(ROUND(VLOOKUP(OP!$C$55,HL_2,$B136+1,0)*OP!$C$28,0)*IF(OR(ROUND(VLOOKUP(OP!$C$55,HL_2,$B136+1,0)*OP!$C$28,0)*PY!$C$4&lt;PY!$D$5,ROUND(VLOOKUP(OP!$C$55,HL_2,$B136+1,0)*OP!$C$28,0)*PY!$C$4*PYR&lt;PY!$C$5),0,PYY)*PYR,0))</f>
        <v>0</v>
      </c>
      <c r="M136" s="568"/>
      <c r="N136" s="566">
        <f ca="1">IF(OR($A$2=1,$B136=""),"",ROUND((ROUND(VLOOKUP(OP!$C$55,HL_2,$B136+1,0)*OP!$C$28,0)+ROUND(OP!$C$28*10000*0.2,0))*IF(OR($Q136=0,$Q136=""),1,PYO),0))</f>
        <v>120000</v>
      </c>
      <c r="O136" s="567"/>
      <c r="P136" s="567"/>
      <c r="Q136" s="566">
        <f ca="1">IF(OR($A$2=1,$B136=""),"",ROUND((ROUND(VLOOKUP(OP!$C$55,HL_2,$B136+1,0)*OP!$C$28,0)+ROUND(OP!$C$28*10000*0.2,0))*IF(OR((ROUND(VLOOKUP(OP!$C$55,HL_2,$B136+1,0)*OP!$C$28,0)+ROUND(OP!$C$28*10000*0.2,0))*PY!$C$4&lt;PY!$D$5,(ROUND(VLOOKUP(OP!$C$55,HL_2,$B136+1,0)*OP!$C$28,0)+ROUND(OP!$C$28*10000*0.2,0))*PY!$C$4*PYR&lt;PY!$C$5),0,PYY)*PYR,0))</f>
        <v>0</v>
      </c>
      <c r="R136" s="568"/>
      <c r="S136" s="566">
        <f ca="1">IF(OR($A$2=1,$B136=""),"",ROUND(ROUND(VLOOKUP(OP!$C$55,HL_3,$B136+1,0)*OP!$C$28,0)*IF(OR($V136=0,$V136=""),1,PYO),0))</f>
        <v>100000</v>
      </c>
      <c r="T136" s="567"/>
      <c r="U136" s="567"/>
      <c r="V136" s="566">
        <f ca="1">IF(OR($A$2=1,$B136=""),"",ROUND(ROUND(VLOOKUP(OP!$C$55,HL_3,$B136+1,0)*OP!$C$28,0)*IF(OR(ROUND(VLOOKUP(OP!$C$55,HL_3,$B136+1,0)*OP!$C$28,0)*PY!$C$4&lt;PY!$D$5,ROUND(VLOOKUP(OP!$C$55,HL_3,$B136+1,0)*OP!$C$28,0)*PY!$C$4*PYR&lt;PY!$C$5),0,PYY)*PYR,0))</f>
        <v>0</v>
      </c>
      <c r="W136" s="568"/>
      <c r="X136" s="346"/>
    </row>
    <row r="137" spans="2:24" s="345" customFormat="1" ht="14.1" customHeight="1">
      <c r="B137" s="481">
        <f ca="1">IF(OR(C136&gt;=OP!F$57,C136=""),"",IF(C136+1&gt;OP!$F$57,OP!$F$57+1-$B$23,B136+1))</f>
        <v>4</v>
      </c>
      <c r="C137" s="481">
        <f ca="1">IF(OR($A$2=1,MAX($C$134:C136)&gt;=OP!$F$57),"",C136+(B137-B136))</f>
        <v>3</v>
      </c>
      <c r="D137" s="566">
        <f ca="1">IF(OR($A$2=1,$B137=""),"",ROUND(ROUND(VLOOKUP(OP!$C$55,HL_1,$B137+1,0)*OP!$C$28,0)*IF(OR($G137=0,$G137=""),1,PYO),0))</f>
        <v>20000</v>
      </c>
      <c r="E137" s="567"/>
      <c r="F137" s="567"/>
      <c r="G137" s="566">
        <f ca="1">IF(OR($A$2=1,$B137=""),"",ROUND(ROUND(VLOOKUP(OP!$C$55,HL_1,$B137+1,0)*OP!$C$28,0)*IF(OR(ROUND(VLOOKUP(OP!$C$55,HL_1,$B137+1,0)*OP!$C$28,0)*PY!$C$4&lt;PY!$D$5,ROUND(VLOOKUP(OP!$C$55,HL_1,$B137+1,0)*OP!$C$28,0)*PY!$C$4*PYR&lt;PY!$C$5),0,PYY)*PYR,0))</f>
        <v>0</v>
      </c>
      <c r="H137" s="568"/>
      <c r="I137" s="566">
        <f ca="1">IF(OR($A$2=1,$B137=""),"",ROUND(ROUND(VLOOKUP(OP!$C$55,HL_2,$B137+1,0)*OP!$C$28,0)*IF(OR($L137=0,$L137=""),1,PYO),0))</f>
        <v>100000</v>
      </c>
      <c r="J137" s="567"/>
      <c r="K137" s="567"/>
      <c r="L137" s="566">
        <f ca="1">IF(OR($A$2=1,$B137=""),"",ROUND(ROUND(VLOOKUP(OP!$C$55,HL_2,$B137+1,0)*OP!$C$28,0)*IF(OR(ROUND(VLOOKUP(OP!$C$55,HL_2,$B137+1,0)*OP!$C$28,0)*PY!$C$4&lt;PY!$D$5,ROUND(VLOOKUP(OP!$C$55,HL_2,$B137+1,0)*OP!$C$28,0)*PY!$C$4*PYR&lt;PY!$C$5),0,PYY)*PYR,0))</f>
        <v>0</v>
      </c>
      <c r="M137" s="568"/>
      <c r="N137" s="566">
        <f ca="1">IF(OR($A$2=1,$B137=""),"",ROUND((ROUND(VLOOKUP(OP!$C$55,HL_2,$B137+1,0)*OP!$C$28,0)+ROUND(OP!$C$28*10000*0.2,0))*IF(OR($Q137=0,$Q137=""),1,PYO),0))</f>
        <v>120000</v>
      </c>
      <c r="O137" s="567"/>
      <c r="P137" s="567"/>
      <c r="Q137" s="566">
        <f ca="1">IF(OR($A$2=1,$B137=""),"",ROUND((ROUND(VLOOKUP(OP!$C$55,HL_2,$B137+1,0)*OP!$C$28,0)+ROUND(OP!$C$28*10000*0.2,0))*IF(OR((ROUND(VLOOKUP(OP!$C$55,HL_2,$B137+1,0)*OP!$C$28,0)+ROUND(OP!$C$28*10000*0.2,0))*PY!$C$4&lt;PY!$D$5,(ROUND(VLOOKUP(OP!$C$55,HL_2,$B137+1,0)*OP!$C$28,0)+ROUND(OP!$C$28*10000*0.2,0))*PY!$C$4*PYR&lt;PY!$C$5),0,PYY)*PYR,0))</f>
        <v>0</v>
      </c>
      <c r="R137" s="568"/>
      <c r="S137" s="566">
        <f ca="1">IF(OR($A$2=1,$B137=""),"",ROUND(ROUND(VLOOKUP(OP!$C$55,HL_3,$B137+1,0)*OP!$C$28,0)*IF(OR($V137=0,$V137=""),1,PYO),0))</f>
        <v>100000</v>
      </c>
      <c r="T137" s="567"/>
      <c r="U137" s="567"/>
      <c r="V137" s="566">
        <f ca="1">IF(OR($A$2=1,$B137=""),"",ROUND(ROUND(VLOOKUP(OP!$C$55,HL_3,$B137+1,0)*OP!$C$28,0)*IF(OR(ROUND(VLOOKUP(OP!$C$55,HL_3,$B137+1,0)*OP!$C$28,0)*PY!$C$4&lt;PY!$D$5,ROUND(VLOOKUP(OP!$C$55,HL_3,$B137+1,0)*OP!$C$28,0)*PY!$C$4*PYR&lt;PY!$C$5),0,PYY)*PYR,0))</f>
        <v>0</v>
      </c>
      <c r="W137" s="568"/>
      <c r="X137" s="346"/>
    </row>
    <row r="138" spans="2:24" s="345" customFormat="1" ht="14.1" customHeight="1">
      <c r="B138" s="481">
        <f ca="1">IF(OR(C137&gt;=OP!F$57,C137=""),"",IF(C137+1&gt;OP!$F$57,OP!$F$57+1-$B$23,B137+1))</f>
        <v>5</v>
      </c>
      <c r="C138" s="481">
        <f ca="1">IF(OR($A$2=1,MAX($C$134:C137)&gt;=OP!$F$57),"",C137+(B138-B137))</f>
        <v>4</v>
      </c>
      <c r="D138" s="566">
        <f ca="1">IF(OR($A$2=1,$B138=""),"",ROUND(ROUND(VLOOKUP(OP!$C$55,HL_1,$B138+1,0)*OP!$C$28,0)*IF(OR($G138=0,$G138=""),1,PYO),0))</f>
        <v>20000</v>
      </c>
      <c r="E138" s="567"/>
      <c r="F138" s="567"/>
      <c r="G138" s="566">
        <f ca="1">IF(OR($A$2=1,$B138=""),"",ROUND(ROUND(VLOOKUP(OP!$C$55,HL_1,$B138+1,0)*OP!$C$28,0)*IF(OR(ROUND(VLOOKUP(OP!$C$55,HL_1,$B138+1,0)*OP!$C$28,0)*PY!$C$4&lt;PY!$D$5,ROUND(VLOOKUP(OP!$C$55,HL_1,$B138+1,0)*OP!$C$28,0)*PY!$C$4*PYR&lt;PY!$C$5),0,PYY)*PYR,0))</f>
        <v>0</v>
      </c>
      <c r="H138" s="568"/>
      <c r="I138" s="566">
        <f ca="1">IF(OR($A$2=1,$B138=""),"",ROUND(ROUND(VLOOKUP(OP!$C$55,HL_2,$B138+1,0)*OP!$C$28,0)*IF(OR($L138=0,$L138=""),1,PYO),0))</f>
        <v>100000</v>
      </c>
      <c r="J138" s="567"/>
      <c r="K138" s="567"/>
      <c r="L138" s="566">
        <f ca="1">IF(OR($A$2=1,$B138=""),"",ROUND(ROUND(VLOOKUP(OP!$C$55,HL_2,$B138+1,0)*OP!$C$28,0)*IF(OR(ROUND(VLOOKUP(OP!$C$55,HL_2,$B138+1,0)*OP!$C$28,0)*PY!$C$4&lt;PY!$D$5,ROUND(VLOOKUP(OP!$C$55,HL_2,$B138+1,0)*OP!$C$28,0)*PY!$C$4*PYR&lt;PY!$C$5),0,PYY)*PYR,0))</f>
        <v>0</v>
      </c>
      <c r="M138" s="568"/>
      <c r="N138" s="566">
        <f ca="1">IF(OR($A$2=1,$B138=""),"",ROUND((ROUND(VLOOKUP(OP!$C$55,HL_2,$B138+1,0)*OP!$C$28,0)+ROUND(OP!$C$28*10000*0.2,0))*IF(OR($Q138=0,$Q138=""),1,PYO),0))</f>
        <v>120000</v>
      </c>
      <c r="O138" s="567"/>
      <c r="P138" s="567"/>
      <c r="Q138" s="566">
        <f ca="1">IF(OR($A$2=1,$B138=""),"",ROUND((ROUND(VLOOKUP(OP!$C$55,HL_2,$B138+1,0)*OP!$C$28,0)+ROUND(OP!$C$28*10000*0.2,0))*IF(OR((ROUND(VLOOKUP(OP!$C$55,HL_2,$B138+1,0)*OP!$C$28,0)+ROUND(OP!$C$28*10000*0.2,0))*PY!$C$4&lt;PY!$D$5,(ROUND(VLOOKUP(OP!$C$55,HL_2,$B138+1,0)*OP!$C$28,0)+ROUND(OP!$C$28*10000*0.2,0))*PY!$C$4*PYR&lt;PY!$C$5),0,PYY)*PYR,0))</f>
        <v>0</v>
      </c>
      <c r="R138" s="568"/>
      <c r="S138" s="566">
        <f ca="1">IF(OR($A$2=1,$B138=""),"",ROUND(ROUND(VLOOKUP(OP!$C$55,HL_3,$B138+1,0)*OP!$C$28,0)*IF(OR($V138=0,$V138=""),1,PYO),0))</f>
        <v>100000</v>
      </c>
      <c r="T138" s="567"/>
      <c r="U138" s="567"/>
      <c r="V138" s="566">
        <f ca="1">IF(OR($A$2=1,$B138=""),"",ROUND(ROUND(VLOOKUP(OP!$C$55,HL_3,$B138+1,0)*OP!$C$28,0)*IF(OR(ROUND(VLOOKUP(OP!$C$55,HL_3,$B138+1,0)*OP!$C$28,0)*PY!$C$4&lt;PY!$D$5,ROUND(VLOOKUP(OP!$C$55,HL_3,$B138+1,0)*OP!$C$28,0)*PY!$C$4*PYR&lt;PY!$C$5),0,PYY)*PYR,0))</f>
        <v>0</v>
      </c>
      <c r="W138" s="568"/>
      <c r="X138" s="346"/>
    </row>
    <row r="139" spans="2:24" s="345" customFormat="1" ht="14.1" customHeight="1">
      <c r="B139" s="481">
        <f ca="1">IF(OR(C138&gt;=OP!F$57,C138=""),"",IF(C138+1&gt;OP!$F$57,OP!$F$57+1-$B$23,B138+1))</f>
        <v>6</v>
      </c>
      <c r="C139" s="481">
        <f ca="1">IF(OR($A$2=1,MAX($C$134:C138)&gt;=OP!$F$57),"",C138+(B139-B138))</f>
        <v>5</v>
      </c>
      <c r="D139" s="566">
        <f ca="1">IF(OR($A$2=1,$B139=""),"",ROUND(ROUND(VLOOKUP(OP!$C$55,HL_1,$B139+1,0)*OP!$C$28,0)*IF(OR($G139=0,$G139=""),1,PYO),0))</f>
        <v>20000</v>
      </c>
      <c r="E139" s="567"/>
      <c r="F139" s="567"/>
      <c r="G139" s="566">
        <f ca="1">IF(OR($A$2=1,$B139=""),"",ROUND(ROUND(VLOOKUP(OP!$C$55,HL_1,$B139+1,0)*OP!$C$28,0)*IF(OR(ROUND(VLOOKUP(OP!$C$55,HL_1,$B139+1,0)*OP!$C$28,0)*PY!$C$4&lt;PY!$D$5,ROUND(VLOOKUP(OP!$C$55,HL_1,$B139+1,0)*OP!$C$28,0)*PY!$C$4*PYR&lt;PY!$C$5),0,PYY)*PYR,0))</f>
        <v>0</v>
      </c>
      <c r="H139" s="568"/>
      <c r="I139" s="566">
        <f ca="1">IF(OR($A$2=1,$B139=""),"",ROUND(ROUND(VLOOKUP(OP!$C$55,HL_2,$B139+1,0)*OP!$C$28,0)*IF(OR($L139=0,$L139=""),1,PYO),0))</f>
        <v>100000</v>
      </c>
      <c r="J139" s="567"/>
      <c r="K139" s="567"/>
      <c r="L139" s="566">
        <f ca="1">IF(OR($A$2=1,$B139=""),"",ROUND(ROUND(VLOOKUP(OP!$C$55,HL_2,$B139+1,0)*OP!$C$28,0)*IF(OR(ROUND(VLOOKUP(OP!$C$55,HL_2,$B139+1,0)*OP!$C$28,0)*PY!$C$4&lt;PY!$D$5,ROUND(VLOOKUP(OP!$C$55,HL_2,$B139+1,0)*OP!$C$28,0)*PY!$C$4*PYR&lt;PY!$C$5),0,PYY)*PYR,0))</f>
        <v>0</v>
      </c>
      <c r="M139" s="568"/>
      <c r="N139" s="566">
        <f ca="1">IF(OR($A$2=1,$B139=""),"",ROUND((ROUND(VLOOKUP(OP!$C$55,HL_2,$B139+1,0)*OP!$C$28,0)+ROUND(OP!$C$28*10000*0.2,0))*IF(OR($Q139=0,$Q139=""),1,PYO),0))</f>
        <v>120000</v>
      </c>
      <c r="O139" s="567"/>
      <c r="P139" s="567"/>
      <c r="Q139" s="566">
        <f ca="1">IF(OR($A$2=1,$B139=""),"",ROUND((ROUND(VLOOKUP(OP!$C$55,HL_2,$B139+1,0)*OP!$C$28,0)+ROUND(OP!$C$28*10000*0.2,0))*IF(OR((ROUND(VLOOKUP(OP!$C$55,HL_2,$B139+1,0)*OP!$C$28,0)+ROUND(OP!$C$28*10000*0.2,0))*PY!$C$4&lt;PY!$D$5,(ROUND(VLOOKUP(OP!$C$55,HL_2,$B139+1,0)*OP!$C$28,0)+ROUND(OP!$C$28*10000*0.2,0))*PY!$C$4*PYR&lt;PY!$C$5),0,PYY)*PYR,0))</f>
        <v>0</v>
      </c>
      <c r="R139" s="568"/>
      <c r="S139" s="566">
        <f ca="1">IF(OR($A$2=1,$B139=""),"",ROUND(ROUND(VLOOKUP(OP!$C$55,HL_3,$B139+1,0)*OP!$C$28,0)*IF(OR($V139=0,$V139=""),1,PYO),0))</f>
        <v>100000</v>
      </c>
      <c r="T139" s="567"/>
      <c r="U139" s="567"/>
      <c r="V139" s="566">
        <f ca="1">IF(OR($A$2=1,$B139=""),"",ROUND(ROUND(VLOOKUP(OP!$C$55,HL_3,$B139+1,0)*OP!$C$28,0)*IF(OR(ROUND(VLOOKUP(OP!$C$55,HL_3,$B139+1,0)*OP!$C$28,0)*PY!$C$4&lt;PY!$D$5,ROUND(VLOOKUP(OP!$C$55,HL_3,$B139+1,0)*OP!$C$28,0)*PY!$C$4*PYR&lt;PY!$C$5),0,PYY)*PYR,0))</f>
        <v>0</v>
      </c>
      <c r="W139" s="568"/>
      <c r="X139" s="346"/>
    </row>
    <row r="140" spans="2:24" s="345" customFormat="1" ht="14.1" customHeight="1">
      <c r="B140" s="481">
        <f ca="1">IF(OR(C139&gt;=OP!F$57,C139=""),"",IF(C139+1&gt;OP!$F$57,OP!$F$57+1-$B$23,B139+1))</f>
        <v>7</v>
      </c>
      <c r="C140" s="481">
        <f ca="1">IF(OR($A$2=1,MAX($C$134:C139)&gt;=OP!$F$57),"",C139+(B140-B139))</f>
        <v>6</v>
      </c>
      <c r="D140" s="566">
        <f ca="1">IF(OR($A$2=1,$B140=""),"",ROUND(ROUND(VLOOKUP(OP!$C$55,HL_1,$B140+1,0)*OP!$C$28,0)*IF(OR($G140=0,$G140=""),1,PYO),0))</f>
        <v>20000</v>
      </c>
      <c r="E140" s="567"/>
      <c r="F140" s="567"/>
      <c r="G140" s="566">
        <f ca="1">IF(OR($A$2=1,$B140=""),"",ROUND(ROUND(VLOOKUP(OP!$C$55,HL_1,$B140+1,0)*OP!$C$28,0)*IF(OR(ROUND(VLOOKUP(OP!$C$55,HL_1,$B140+1,0)*OP!$C$28,0)*PY!$C$4&lt;PY!$D$5,ROUND(VLOOKUP(OP!$C$55,HL_1,$B140+1,0)*OP!$C$28,0)*PY!$C$4*PYR&lt;PY!$C$5),0,PYY)*PYR,0))</f>
        <v>0</v>
      </c>
      <c r="H140" s="568"/>
      <c r="I140" s="566">
        <f ca="1">IF(OR($A$2=1,$B140=""),"",ROUND(ROUND(VLOOKUP(OP!$C$55,HL_2,$B140+1,0)*OP!$C$28,0)*IF(OR($L140=0,$L140=""),1,PYO),0))</f>
        <v>100000</v>
      </c>
      <c r="J140" s="567"/>
      <c r="K140" s="567"/>
      <c r="L140" s="566">
        <f ca="1">IF(OR($A$2=1,$B140=""),"",ROUND(ROUND(VLOOKUP(OP!$C$55,HL_2,$B140+1,0)*OP!$C$28,0)*IF(OR(ROUND(VLOOKUP(OP!$C$55,HL_2,$B140+1,0)*OP!$C$28,0)*PY!$C$4&lt;PY!$D$5,ROUND(VLOOKUP(OP!$C$55,HL_2,$B140+1,0)*OP!$C$28,0)*PY!$C$4*PYR&lt;PY!$C$5),0,PYY)*PYR,0))</f>
        <v>0</v>
      </c>
      <c r="M140" s="568"/>
      <c r="N140" s="566">
        <f ca="1">IF(OR($A$2=1,$B140=""),"",ROUND((ROUND(VLOOKUP(OP!$C$55,HL_2,$B140+1,0)*OP!$C$28,0)+ROUND(OP!$C$28*10000*0.2,0))*IF(OR($Q140=0,$Q140=""),1,PYO),0))</f>
        <v>120000</v>
      </c>
      <c r="O140" s="567"/>
      <c r="P140" s="567"/>
      <c r="Q140" s="566">
        <f ca="1">IF(OR($A$2=1,$B140=""),"",ROUND((ROUND(VLOOKUP(OP!$C$55,HL_2,$B140+1,0)*OP!$C$28,0)+ROUND(OP!$C$28*10000*0.2,0))*IF(OR((ROUND(VLOOKUP(OP!$C$55,HL_2,$B140+1,0)*OP!$C$28,0)+ROUND(OP!$C$28*10000*0.2,0))*PY!$C$4&lt;PY!$D$5,(ROUND(VLOOKUP(OP!$C$55,HL_2,$B140+1,0)*OP!$C$28,0)+ROUND(OP!$C$28*10000*0.2,0))*PY!$C$4*PYR&lt;PY!$C$5),0,PYY)*PYR,0))</f>
        <v>0</v>
      </c>
      <c r="R140" s="568"/>
      <c r="S140" s="566">
        <f ca="1">IF(OR($A$2=1,$B140=""),"",ROUND(ROUND(VLOOKUP(OP!$C$55,HL_3,$B140+1,0)*OP!$C$28,0)*IF(OR($V140=0,$V140=""),1,PYO),0))</f>
        <v>100000</v>
      </c>
      <c r="T140" s="567"/>
      <c r="U140" s="567"/>
      <c r="V140" s="566">
        <f ca="1">IF(OR($A$2=1,$B140=""),"",ROUND(ROUND(VLOOKUP(OP!$C$55,HL_3,$B140+1,0)*OP!$C$28,0)*IF(OR(ROUND(VLOOKUP(OP!$C$55,HL_3,$B140+1,0)*OP!$C$28,0)*PY!$C$4&lt;PY!$D$5,ROUND(VLOOKUP(OP!$C$55,HL_3,$B140+1,0)*OP!$C$28,0)*PY!$C$4*PYR&lt;PY!$C$5),0,PYY)*PYR,0))</f>
        <v>0</v>
      </c>
      <c r="W140" s="568"/>
      <c r="X140" s="346"/>
    </row>
    <row r="141" spans="2:24" s="345" customFormat="1" ht="14.1" customHeight="1">
      <c r="B141" s="481">
        <f ca="1">IF(OR(C140&gt;=OP!F$57,C140=""),"",IF(C140+1&gt;OP!$F$57,OP!$F$57+1-$B$23,B140+1))</f>
        <v>8</v>
      </c>
      <c r="C141" s="481">
        <f ca="1">IF(OR($A$2=1,MAX($C$134:C140)&gt;=OP!$F$57),"",C140+(B141-B140))</f>
        <v>7</v>
      </c>
      <c r="D141" s="566">
        <f ca="1">IF(OR($A$2=1,$B141=""),"",ROUND(ROUND(VLOOKUP(OP!$C$55,HL_1,$B141+1,0)*OP!$C$28,0)*IF(OR($G141=0,$G141=""),1,PYO),0))</f>
        <v>20267</v>
      </c>
      <c r="E141" s="567"/>
      <c r="F141" s="567"/>
      <c r="G141" s="566">
        <f ca="1">IF(OR($A$2=1,$B141=""),"",ROUND(ROUND(VLOOKUP(OP!$C$55,HL_1,$B141+1,0)*OP!$C$28,0)*IF(OR(ROUND(VLOOKUP(OP!$C$55,HL_1,$B141+1,0)*OP!$C$28,0)*PY!$C$4&lt;PY!$D$5,ROUND(VLOOKUP(OP!$C$55,HL_1,$B141+1,0)*OP!$C$28,0)*PY!$C$4*PYR&lt;PY!$C$5),0,PYY)*PYR,0))</f>
        <v>0</v>
      </c>
      <c r="H141" s="568"/>
      <c r="I141" s="566">
        <f ca="1">IF(OR($A$2=1,$B141=""),"",ROUND(ROUND(VLOOKUP(OP!$C$55,HL_2,$B141+1,0)*OP!$C$28,0)*IF(OR($L141=0,$L141=""),1,PYO),0))</f>
        <v>100000</v>
      </c>
      <c r="J141" s="567"/>
      <c r="K141" s="567"/>
      <c r="L141" s="566">
        <f ca="1">IF(OR($A$2=1,$B141=""),"",ROUND(ROUND(VLOOKUP(OP!$C$55,HL_2,$B141+1,0)*OP!$C$28,0)*IF(OR(ROUND(VLOOKUP(OP!$C$55,HL_2,$B141+1,0)*OP!$C$28,0)*PY!$C$4&lt;PY!$D$5,ROUND(VLOOKUP(OP!$C$55,HL_2,$B141+1,0)*OP!$C$28,0)*PY!$C$4*PYR&lt;PY!$C$5),0,PYY)*PYR,0))</f>
        <v>0</v>
      </c>
      <c r="M141" s="568"/>
      <c r="N141" s="566">
        <f ca="1">IF(OR($A$2=1,$B141=""),"",ROUND((ROUND(VLOOKUP(OP!$C$55,HL_2,$B141+1,0)*OP!$C$28,0)+ROUND(OP!$C$28*10000*0.2,0))*IF(OR($Q141=0,$Q141=""),1,PYO),0))</f>
        <v>120000</v>
      </c>
      <c r="O141" s="567"/>
      <c r="P141" s="567"/>
      <c r="Q141" s="566">
        <f ca="1">IF(OR($A$2=1,$B141=""),"",ROUND((ROUND(VLOOKUP(OP!$C$55,HL_2,$B141+1,0)*OP!$C$28,0)+ROUND(OP!$C$28*10000*0.2,0))*IF(OR((ROUND(VLOOKUP(OP!$C$55,HL_2,$B141+1,0)*OP!$C$28,0)+ROUND(OP!$C$28*10000*0.2,0))*PY!$C$4&lt;PY!$D$5,(ROUND(VLOOKUP(OP!$C$55,HL_2,$B141+1,0)*OP!$C$28,0)+ROUND(OP!$C$28*10000*0.2,0))*PY!$C$4*PYR&lt;PY!$C$5),0,PYY)*PYR,0))</f>
        <v>0</v>
      </c>
      <c r="R141" s="568"/>
      <c r="S141" s="566">
        <f ca="1">IF(OR($A$2=1,$B141=""),"",ROUND(ROUND(VLOOKUP(OP!$C$55,HL_3,$B141+1,0)*OP!$C$28,0)*IF(OR($V141=0,$V141=""),1,PYO),0))</f>
        <v>100000</v>
      </c>
      <c r="T141" s="567"/>
      <c r="U141" s="567"/>
      <c r="V141" s="566">
        <f ca="1">IF(OR($A$2=1,$B141=""),"",ROUND(ROUND(VLOOKUP(OP!$C$55,HL_3,$B141+1,0)*OP!$C$28,0)*IF(OR(ROUND(VLOOKUP(OP!$C$55,HL_3,$B141+1,0)*OP!$C$28,0)*PY!$C$4&lt;PY!$D$5,ROUND(VLOOKUP(OP!$C$55,HL_3,$B141+1,0)*OP!$C$28,0)*PY!$C$4*PYR&lt;PY!$C$5),0,PYY)*PYR,0))</f>
        <v>0</v>
      </c>
      <c r="W141" s="568"/>
      <c r="X141" s="346"/>
    </row>
    <row r="142" spans="2:24" s="345" customFormat="1" ht="14.1" customHeight="1">
      <c r="B142" s="481">
        <f ca="1">IF(OR(C141&gt;=OP!F$57,C141=""),"",IF(C141+1&gt;OP!$F$57,OP!$F$57+1-$B$23,B141+1))</f>
        <v>9</v>
      </c>
      <c r="C142" s="481">
        <f ca="1">IF(OR($A$2=1,MAX($C$134:C141)&gt;=OP!$F$57),"",C141+(B142-B141))</f>
        <v>8</v>
      </c>
      <c r="D142" s="566">
        <f ca="1">IF(OR($A$2=1,$B142=""),"",ROUND(ROUND(VLOOKUP(OP!$C$55,HL_1,$B142+1,0)*OP!$C$28,0)*IF(OR($G142=0,$G142=""),1,PYO),0))</f>
        <v>22801</v>
      </c>
      <c r="E142" s="567"/>
      <c r="F142" s="567"/>
      <c r="G142" s="566">
        <f ca="1">IF(OR($A$2=1,$B142=""),"",ROUND(ROUND(VLOOKUP(OP!$C$55,HL_1,$B142+1,0)*OP!$C$28,0)*IF(OR(ROUND(VLOOKUP(OP!$C$55,HL_1,$B142+1,0)*OP!$C$28,0)*PY!$C$4&lt;PY!$D$5,ROUND(VLOOKUP(OP!$C$55,HL_1,$B142+1,0)*OP!$C$28,0)*PY!$C$4*PYR&lt;PY!$C$5),0,PYY)*PYR,0))</f>
        <v>0</v>
      </c>
      <c r="H142" s="568"/>
      <c r="I142" s="566">
        <f ca="1">IF(OR($A$2=1,$B142=""),"",ROUND(ROUND(VLOOKUP(OP!$C$55,HL_2,$B142+1,0)*OP!$C$28,0)*IF(OR($L142=0,$L142=""),1,PYO),0))</f>
        <v>100000</v>
      </c>
      <c r="J142" s="567"/>
      <c r="K142" s="567"/>
      <c r="L142" s="566">
        <f ca="1">IF(OR($A$2=1,$B142=""),"",ROUND(ROUND(VLOOKUP(OP!$C$55,HL_2,$B142+1,0)*OP!$C$28,0)*IF(OR(ROUND(VLOOKUP(OP!$C$55,HL_2,$B142+1,0)*OP!$C$28,0)*PY!$C$4&lt;PY!$D$5,ROUND(VLOOKUP(OP!$C$55,HL_2,$B142+1,0)*OP!$C$28,0)*PY!$C$4*PYR&lt;PY!$C$5),0,PYY)*PYR,0))</f>
        <v>0</v>
      </c>
      <c r="M142" s="568"/>
      <c r="N142" s="566">
        <f ca="1">IF(OR($A$2=1,$B142=""),"",ROUND((ROUND(VLOOKUP(OP!$C$55,HL_2,$B142+1,0)*OP!$C$28,0)+ROUND(OP!$C$28*10000*0.2,0))*IF(OR($Q142=0,$Q142=""),1,PYO),0))</f>
        <v>120000</v>
      </c>
      <c r="O142" s="567"/>
      <c r="P142" s="567"/>
      <c r="Q142" s="566">
        <f ca="1">IF(OR($A$2=1,$B142=""),"",ROUND((ROUND(VLOOKUP(OP!$C$55,HL_2,$B142+1,0)*OP!$C$28,0)+ROUND(OP!$C$28*10000*0.2,0))*IF(OR((ROUND(VLOOKUP(OP!$C$55,HL_2,$B142+1,0)*OP!$C$28,0)+ROUND(OP!$C$28*10000*0.2,0))*PY!$C$4&lt;PY!$D$5,(ROUND(VLOOKUP(OP!$C$55,HL_2,$B142+1,0)*OP!$C$28,0)+ROUND(OP!$C$28*10000*0.2,0))*PY!$C$4*PYR&lt;PY!$C$5),0,PYY)*PYR,0))</f>
        <v>0</v>
      </c>
      <c r="R142" s="568"/>
      <c r="S142" s="566">
        <f ca="1">IF(OR($A$2=1,$B142=""),"",ROUND(ROUND(VLOOKUP(OP!$C$55,HL_3,$B142+1,0)*OP!$C$28,0)*IF(OR($V142=0,$V142=""),1,PYO),0))</f>
        <v>100000</v>
      </c>
      <c r="T142" s="567"/>
      <c r="U142" s="567"/>
      <c r="V142" s="566">
        <f ca="1">IF(OR($A$2=1,$B142=""),"",ROUND(ROUND(VLOOKUP(OP!$C$55,HL_3,$B142+1,0)*OP!$C$28,0)*IF(OR(ROUND(VLOOKUP(OP!$C$55,HL_3,$B142+1,0)*OP!$C$28,0)*PY!$C$4&lt;PY!$D$5,ROUND(VLOOKUP(OP!$C$55,HL_3,$B142+1,0)*OP!$C$28,0)*PY!$C$4*PYR&lt;PY!$C$5),0,PYY)*PYR,0))</f>
        <v>0</v>
      </c>
      <c r="W142" s="568"/>
      <c r="X142" s="346"/>
    </row>
    <row r="143" spans="2:24" s="345" customFormat="1" ht="14.1" customHeight="1">
      <c r="B143" s="481">
        <f ca="1">IF(OR(C142&gt;=OP!F$57,C142=""),"",IF(C142+1&gt;OP!$F$57,OP!$F$57+1-$B$23,B142+1))</f>
        <v>10</v>
      </c>
      <c r="C143" s="481">
        <f ca="1">IF(OR($A$2=1,MAX($C$134:C142)&gt;=OP!$F$57),"",C142+(B143-B142))</f>
        <v>9</v>
      </c>
      <c r="D143" s="566">
        <f ca="1">IF(OR($A$2=1,$B143=""),"",ROUND(ROUND(VLOOKUP(OP!$C$55,HL_1,$B143+1,0)*OP!$C$28,0)*IF(OR($G143=0,$G143=""),1,PYO),0))</f>
        <v>25334</v>
      </c>
      <c r="E143" s="567"/>
      <c r="F143" s="567"/>
      <c r="G143" s="566">
        <f ca="1">IF(OR($A$2=1,$B143=""),"",ROUND(ROUND(VLOOKUP(OP!$C$55,HL_1,$B143+1,0)*OP!$C$28,0)*IF(OR(ROUND(VLOOKUP(OP!$C$55,HL_1,$B143+1,0)*OP!$C$28,0)*PY!$C$4&lt;PY!$D$5,ROUND(VLOOKUP(OP!$C$55,HL_1,$B143+1,0)*OP!$C$28,0)*PY!$C$4*PYR&lt;PY!$C$5),0,PYY)*PYR,0))</f>
        <v>0</v>
      </c>
      <c r="H143" s="568"/>
      <c r="I143" s="566">
        <f ca="1">IF(OR($A$2=1,$B143=""),"",ROUND(ROUND(VLOOKUP(OP!$C$55,HL_2,$B143+1,0)*OP!$C$28,0)*IF(OR($L143=0,$L143=""),1,PYO),0))</f>
        <v>100000</v>
      </c>
      <c r="J143" s="567"/>
      <c r="K143" s="567"/>
      <c r="L143" s="566">
        <f ca="1">IF(OR($A$2=1,$B143=""),"",ROUND(ROUND(VLOOKUP(OP!$C$55,HL_2,$B143+1,0)*OP!$C$28,0)*IF(OR(ROUND(VLOOKUP(OP!$C$55,HL_2,$B143+1,0)*OP!$C$28,0)*PY!$C$4&lt;PY!$D$5,ROUND(VLOOKUP(OP!$C$55,HL_2,$B143+1,0)*OP!$C$28,0)*PY!$C$4*PYR&lt;PY!$C$5),0,PYY)*PYR,0))</f>
        <v>0</v>
      </c>
      <c r="M143" s="568"/>
      <c r="N143" s="566">
        <f ca="1">IF(OR($A$2=1,$B143=""),"",ROUND((ROUND(VLOOKUP(OP!$C$55,HL_2,$B143+1,0)*OP!$C$28,0)+ROUND(OP!$C$28*10000*0.2,0))*IF(OR($Q143=0,$Q143=""),1,PYO),0))</f>
        <v>120000</v>
      </c>
      <c r="O143" s="567"/>
      <c r="P143" s="567"/>
      <c r="Q143" s="566">
        <f ca="1">IF(OR($A$2=1,$B143=""),"",ROUND((ROUND(VLOOKUP(OP!$C$55,HL_2,$B143+1,0)*OP!$C$28,0)+ROUND(OP!$C$28*10000*0.2,0))*IF(OR((ROUND(VLOOKUP(OP!$C$55,HL_2,$B143+1,0)*OP!$C$28,0)+ROUND(OP!$C$28*10000*0.2,0))*PY!$C$4&lt;PY!$D$5,(ROUND(VLOOKUP(OP!$C$55,HL_2,$B143+1,0)*OP!$C$28,0)+ROUND(OP!$C$28*10000*0.2,0))*PY!$C$4*PYR&lt;PY!$C$5),0,PYY)*PYR,0))</f>
        <v>0</v>
      </c>
      <c r="R143" s="568"/>
      <c r="S143" s="566">
        <f ca="1">IF(OR($A$2=1,$B143=""),"",ROUND(ROUND(VLOOKUP(OP!$C$55,HL_3,$B143+1,0)*OP!$C$28,0)*IF(OR($V143=0,$V143=""),1,PYO),0))</f>
        <v>100000</v>
      </c>
      <c r="T143" s="567"/>
      <c r="U143" s="567"/>
      <c r="V143" s="566">
        <f ca="1">IF(OR($A$2=1,$B143=""),"",ROUND(ROUND(VLOOKUP(OP!$C$55,HL_3,$B143+1,0)*OP!$C$28,0)*IF(OR(ROUND(VLOOKUP(OP!$C$55,HL_3,$B143+1,0)*OP!$C$28,0)*PY!$C$4&lt;PY!$D$5,ROUND(VLOOKUP(OP!$C$55,HL_3,$B143+1,0)*OP!$C$28,0)*PY!$C$4*PYR&lt;PY!$C$5),0,PYY)*PYR,0))</f>
        <v>0</v>
      </c>
      <c r="W143" s="568"/>
      <c r="X143" s="346"/>
    </row>
    <row r="144" spans="2:24" s="345" customFormat="1" ht="14.1" customHeight="1">
      <c r="B144" s="481">
        <f ca="1">IF(OR(C143&gt;=OP!F$57,C143=""),"",IF(C143+1&gt;OP!$F$57,OP!$F$57+1-$B$23,B143+1))</f>
        <v>11</v>
      </c>
      <c r="C144" s="481">
        <f ca="1">IF(OR($A$2=1,MAX($C$134:C143)&gt;=OP!$F$57),"",C143+(B144-B143))</f>
        <v>10</v>
      </c>
      <c r="D144" s="566">
        <f ca="1">IF(OR($A$2=1,$B144=""),"",ROUND(ROUND(VLOOKUP(OP!$C$55,HL_1,$B144+1,0)*OP!$C$28,0)*IF(OR($G144=0,$G144=""),1,PYO),0))</f>
        <v>27867</v>
      </c>
      <c r="E144" s="567"/>
      <c r="F144" s="567"/>
      <c r="G144" s="566">
        <f ca="1">IF(OR($A$2=1,$B144=""),"",ROUND(ROUND(VLOOKUP(OP!$C$55,HL_1,$B144+1,0)*OP!$C$28,0)*IF(OR(ROUND(VLOOKUP(OP!$C$55,HL_1,$B144+1,0)*OP!$C$28,0)*PY!$C$4&lt;PY!$D$5,ROUND(VLOOKUP(OP!$C$55,HL_1,$B144+1,0)*OP!$C$28,0)*PY!$C$4*PYR&lt;PY!$C$5),0,PYY)*PYR,0))</f>
        <v>0</v>
      </c>
      <c r="H144" s="568"/>
      <c r="I144" s="566">
        <f ca="1">IF(OR($A$2=1,$B144=""),"",ROUND(ROUND(VLOOKUP(OP!$C$55,HL_2,$B144+1,0)*OP!$C$28,0)*IF(OR($L144=0,$L144=""),1,PYO),0))</f>
        <v>100000</v>
      </c>
      <c r="J144" s="567"/>
      <c r="K144" s="567"/>
      <c r="L144" s="566">
        <f ca="1">IF(OR($A$2=1,$B144=""),"",ROUND(ROUND(VLOOKUP(OP!$C$55,HL_2,$B144+1,0)*OP!$C$28,0)*IF(OR(ROUND(VLOOKUP(OP!$C$55,HL_2,$B144+1,0)*OP!$C$28,0)*PY!$C$4&lt;PY!$D$5,ROUND(VLOOKUP(OP!$C$55,HL_2,$B144+1,0)*OP!$C$28,0)*PY!$C$4*PYR&lt;PY!$C$5),0,PYY)*PYR,0))</f>
        <v>0</v>
      </c>
      <c r="M144" s="568"/>
      <c r="N144" s="566">
        <f ca="1">IF(OR($A$2=1,$B144=""),"",ROUND((ROUND(VLOOKUP(OP!$C$55,HL_2,$B144+1,0)*OP!$C$28,0)+ROUND(OP!$C$28*10000*0.2,0))*IF(OR($Q144=0,$Q144=""),1,PYO),0))</f>
        <v>120000</v>
      </c>
      <c r="O144" s="567"/>
      <c r="P144" s="567"/>
      <c r="Q144" s="566">
        <f ca="1">IF(OR($A$2=1,$B144=""),"",ROUND((ROUND(VLOOKUP(OP!$C$55,HL_2,$B144+1,0)*OP!$C$28,0)+ROUND(OP!$C$28*10000*0.2,0))*IF(OR((ROUND(VLOOKUP(OP!$C$55,HL_2,$B144+1,0)*OP!$C$28,0)+ROUND(OP!$C$28*10000*0.2,0))*PY!$C$4&lt;PY!$D$5,(ROUND(VLOOKUP(OP!$C$55,HL_2,$B144+1,0)*OP!$C$28,0)+ROUND(OP!$C$28*10000*0.2,0))*PY!$C$4*PYR&lt;PY!$C$5),0,PYY)*PYR,0))</f>
        <v>0</v>
      </c>
      <c r="R144" s="568"/>
      <c r="S144" s="566">
        <f ca="1">IF(OR($A$2=1,$B144=""),"",ROUND(ROUND(VLOOKUP(OP!$C$55,HL_3,$B144+1,0)*OP!$C$28,0)*IF(OR($V144=0,$V144=""),1,PYO),0))</f>
        <v>100000</v>
      </c>
      <c r="T144" s="567"/>
      <c r="U144" s="567"/>
      <c r="V144" s="566">
        <f ca="1">IF(OR($A$2=1,$B144=""),"",ROUND(ROUND(VLOOKUP(OP!$C$55,HL_3,$B144+1,0)*OP!$C$28,0)*IF(OR(ROUND(VLOOKUP(OP!$C$55,HL_3,$B144+1,0)*OP!$C$28,0)*PY!$C$4&lt;PY!$D$5,ROUND(VLOOKUP(OP!$C$55,HL_3,$B144+1,0)*OP!$C$28,0)*PY!$C$4*PYR&lt;PY!$C$5),0,PYY)*PYR,0))</f>
        <v>0</v>
      </c>
      <c r="W144" s="568"/>
      <c r="X144" s="346"/>
    </row>
    <row r="145" spans="1:24" s="345" customFormat="1" ht="14.1" customHeight="1">
      <c r="B145" s="481">
        <f ca="1">IF(OR(C144&gt;=OP!F$57,C144=""),"",IF(C144+1&gt;OP!$F$57,OP!$F$57+1-$B$23,B144+1))</f>
        <v>12</v>
      </c>
      <c r="C145" s="481">
        <f ca="1">IF(OR($A$2=1,MAX($C$134:C144)&gt;=OP!$F$57),"",C144+(B145-B144))</f>
        <v>11</v>
      </c>
      <c r="D145" s="566">
        <f ca="1">IF(OR($A$2=1,$B145=""),"",ROUND(ROUND(VLOOKUP(OP!$C$55,HL_1,$B145+1,0)*OP!$C$28,0)*IF(OR($G145=0,$G145=""),1,PYO),0))</f>
        <v>30401</v>
      </c>
      <c r="E145" s="567"/>
      <c r="F145" s="567"/>
      <c r="G145" s="566">
        <f ca="1">IF(OR($A$2=1,$B145=""),"",ROUND(ROUND(VLOOKUP(OP!$C$55,HL_1,$B145+1,0)*OP!$C$28,0)*IF(OR(ROUND(VLOOKUP(OP!$C$55,HL_1,$B145+1,0)*OP!$C$28,0)*PY!$C$4&lt;PY!$D$5,ROUND(VLOOKUP(OP!$C$55,HL_1,$B145+1,0)*OP!$C$28,0)*PY!$C$4*PYR&lt;PY!$C$5),0,PYY)*PYR,0))</f>
        <v>0</v>
      </c>
      <c r="H145" s="568"/>
      <c r="I145" s="566">
        <f ca="1">IF(OR($A$2=1,$B145=""),"",ROUND(ROUND(VLOOKUP(OP!$C$55,HL_2,$B145+1,0)*OP!$C$28,0)*IF(OR($L145=0,$L145=""),1,PYO),0))</f>
        <v>100000</v>
      </c>
      <c r="J145" s="567"/>
      <c r="K145" s="567"/>
      <c r="L145" s="566">
        <f ca="1">IF(OR($A$2=1,$B145=""),"",ROUND(ROUND(VLOOKUP(OP!$C$55,HL_2,$B145+1,0)*OP!$C$28,0)*IF(OR(ROUND(VLOOKUP(OP!$C$55,HL_2,$B145+1,0)*OP!$C$28,0)*PY!$C$4&lt;PY!$D$5,ROUND(VLOOKUP(OP!$C$55,HL_2,$B145+1,0)*OP!$C$28,0)*PY!$C$4*PYR&lt;PY!$C$5),0,PYY)*PYR,0))</f>
        <v>0</v>
      </c>
      <c r="M145" s="568"/>
      <c r="N145" s="566">
        <f ca="1">IF(OR($A$2=1,$B145=""),"",ROUND((ROUND(VLOOKUP(OP!$C$55,HL_2,$B145+1,0)*OP!$C$28,0)+ROUND(OP!$C$28*10000*0.2,0))*IF(OR($Q145=0,$Q145=""),1,PYO),0))</f>
        <v>120000</v>
      </c>
      <c r="O145" s="567"/>
      <c r="P145" s="567"/>
      <c r="Q145" s="566">
        <f ca="1">IF(OR($A$2=1,$B145=""),"",ROUND((ROUND(VLOOKUP(OP!$C$55,HL_2,$B145+1,0)*OP!$C$28,0)+ROUND(OP!$C$28*10000*0.2,0))*IF(OR((ROUND(VLOOKUP(OP!$C$55,HL_2,$B145+1,0)*OP!$C$28,0)+ROUND(OP!$C$28*10000*0.2,0))*PY!$C$4&lt;PY!$D$5,(ROUND(VLOOKUP(OP!$C$55,HL_2,$B145+1,0)*OP!$C$28,0)+ROUND(OP!$C$28*10000*0.2,0))*PY!$C$4*PYR&lt;PY!$C$5),0,PYY)*PYR,0))</f>
        <v>0</v>
      </c>
      <c r="R145" s="568"/>
      <c r="S145" s="566">
        <f ca="1">IF(OR($A$2=1,$B145=""),"",ROUND(ROUND(VLOOKUP(OP!$C$55,HL_3,$B145+1,0)*OP!$C$28,0)*IF(OR($V145=0,$V145=""),1,PYO),0))</f>
        <v>100000</v>
      </c>
      <c r="T145" s="567"/>
      <c r="U145" s="567"/>
      <c r="V145" s="566">
        <f ca="1">IF(OR($A$2=1,$B145=""),"",ROUND(ROUND(VLOOKUP(OP!$C$55,HL_3,$B145+1,0)*OP!$C$28,0)*IF(OR(ROUND(VLOOKUP(OP!$C$55,HL_3,$B145+1,0)*OP!$C$28,0)*PY!$C$4&lt;PY!$D$5,ROUND(VLOOKUP(OP!$C$55,HL_3,$B145+1,0)*OP!$C$28,0)*PY!$C$4*PYR&lt;PY!$C$5),0,PYY)*PYR,0))</f>
        <v>0</v>
      </c>
      <c r="W145" s="568"/>
      <c r="X145" s="346"/>
    </row>
    <row r="146" spans="1:24" s="345" customFormat="1" ht="14.1" customHeight="1">
      <c r="B146" s="481">
        <f ca="1">IF(OR(C145&gt;=OP!F$57,C145=""),"",IF(C145+1&gt;OP!$F$57,OP!$F$57+1-$B$23,B145+1))</f>
        <v>13</v>
      </c>
      <c r="C146" s="481">
        <f ca="1">IF(OR($A$2=1,MAX($C$134:C145)&gt;=OP!$F$57),"",C145+(B146-B145))</f>
        <v>12</v>
      </c>
      <c r="D146" s="566">
        <f ca="1">IF(OR($A$2=1,$B146=""),"",ROUND(ROUND(VLOOKUP(OP!$C$55,HL_1,$B146+1,0)*OP!$C$28,0)*IF(OR($G146=0,$G146=""),1,PYO),0))</f>
        <v>32934</v>
      </c>
      <c r="E146" s="567"/>
      <c r="F146" s="567"/>
      <c r="G146" s="566">
        <f ca="1">IF(OR($A$2=1,$B146=""),"",ROUND(ROUND(VLOOKUP(OP!$C$55,HL_1,$B146+1,0)*OP!$C$28,0)*IF(OR(ROUND(VLOOKUP(OP!$C$55,HL_1,$B146+1,0)*OP!$C$28,0)*PY!$C$4&lt;PY!$D$5,ROUND(VLOOKUP(OP!$C$55,HL_1,$B146+1,0)*OP!$C$28,0)*PY!$C$4*PYR&lt;PY!$C$5),0,PYY)*PYR,0))</f>
        <v>0</v>
      </c>
      <c r="H146" s="568"/>
      <c r="I146" s="566">
        <f ca="1">IF(OR($A$2=1,$B146=""),"",ROUND(ROUND(VLOOKUP(OP!$C$55,HL_2,$B146+1,0)*OP!$C$28,0)*IF(OR($L146=0,$L146=""),1,PYO),0))</f>
        <v>100000</v>
      </c>
      <c r="J146" s="567"/>
      <c r="K146" s="567"/>
      <c r="L146" s="566">
        <f ca="1">IF(OR($A$2=1,$B146=""),"",ROUND(ROUND(VLOOKUP(OP!$C$55,HL_2,$B146+1,0)*OP!$C$28,0)*IF(OR(ROUND(VLOOKUP(OP!$C$55,HL_2,$B146+1,0)*OP!$C$28,0)*PY!$C$4&lt;PY!$D$5,ROUND(VLOOKUP(OP!$C$55,HL_2,$B146+1,0)*OP!$C$28,0)*PY!$C$4*PYR&lt;PY!$C$5),0,PYY)*PYR,0))</f>
        <v>0</v>
      </c>
      <c r="M146" s="568"/>
      <c r="N146" s="566">
        <f ca="1">IF(OR($A$2=1,$B146=""),"",ROUND((ROUND(VLOOKUP(OP!$C$55,HL_2,$B146+1,0)*OP!$C$28,0)+ROUND(OP!$C$28*10000*0.2,0))*IF(OR($Q146=0,$Q146=""),1,PYO),0))</f>
        <v>120000</v>
      </c>
      <c r="O146" s="567"/>
      <c r="P146" s="567"/>
      <c r="Q146" s="566">
        <f ca="1">IF(OR($A$2=1,$B146=""),"",ROUND((ROUND(VLOOKUP(OP!$C$55,HL_2,$B146+1,0)*OP!$C$28,0)+ROUND(OP!$C$28*10000*0.2,0))*IF(OR((ROUND(VLOOKUP(OP!$C$55,HL_2,$B146+1,0)*OP!$C$28,0)+ROUND(OP!$C$28*10000*0.2,0))*PY!$C$4&lt;PY!$D$5,(ROUND(VLOOKUP(OP!$C$55,HL_2,$B146+1,0)*OP!$C$28,0)+ROUND(OP!$C$28*10000*0.2,0))*PY!$C$4*PYR&lt;PY!$C$5),0,PYY)*PYR,0))</f>
        <v>0</v>
      </c>
      <c r="R146" s="568"/>
      <c r="S146" s="566">
        <f ca="1">IF(OR($A$2=1,$B146=""),"",ROUND(ROUND(VLOOKUP(OP!$C$55,HL_3,$B146+1,0)*OP!$C$28,0)*IF(OR($V146=0,$V146=""),1,PYO),0))</f>
        <v>100000</v>
      </c>
      <c r="T146" s="567"/>
      <c r="U146" s="567"/>
      <c r="V146" s="566">
        <f ca="1">IF(OR($A$2=1,$B146=""),"",ROUND(ROUND(VLOOKUP(OP!$C$55,HL_3,$B146+1,0)*OP!$C$28,0)*IF(OR(ROUND(VLOOKUP(OP!$C$55,HL_3,$B146+1,0)*OP!$C$28,0)*PY!$C$4&lt;PY!$D$5,ROUND(VLOOKUP(OP!$C$55,HL_3,$B146+1,0)*OP!$C$28,0)*PY!$C$4*PYR&lt;PY!$C$5),0,PYY)*PYR,0))</f>
        <v>0</v>
      </c>
      <c r="W146" s="568"/>
      <c r="X146" s="346"/>
    </row>
    <row r="147" spans="1:24" s="345" customFormat="1" ht="14.1" customHeight="1">
      <c r="B147" s="481">
        <f ca="1">IF(OR(C146&gt;=OP!F$57,C146=""),"",IF(C146+1&gt;OP!$F$57,OP!$F$57+1-$B$23,B146+1))</f>
        <v>14</v>
      </c>
      <c r="C147" s="481">
        <f ca="1">IF(OR($A$2=1,MAX($C$134:C146)&gt;=OP!$F$57),"",C146+(B147-B146))</f>
        <v>13</v>
      </c>
      <c r="D147" s="566">
        <f ca="1">IF(OR($A$2=1,$B147=""),"",ROUND(ROUND(VLOOKUP(OP!$C$55,HL_1,$B147+1,0)*OP!$C$28,0)*IF(OR($G147=0,$G147=""),1,PYO),0))</f>
        <v>35468</v>
      </c>
      <c r="E147" s="567"/>
      <c r="F147" s="567"/>
      <c r="G147" s="566">
        <f ca="1">IF(OR($A$2=1,$B147=""),"",ROUND(ROUND(VLOOKUP(OP!$C$55,HL_1,$B147+1,0)*OP!$C$28,0)*IF(OR(ROUND(VLOOKUP(OP!$C$55,HL_1,$B147+1,0)*OP!$C$28,0)*PY!$C$4&lt;PY!$D$5,ROUND(VLOOKUP(OP!$C$55,HL_1,$B147+1,0)*OP!$C$28,0)*PY!$C$4*PYR&lt;PY!$C$5),0,PYY)*PYR,0))</f>
        <v>0</v>
      </c>
      <c r="H147" s="568"/>
      <c r="I147" s="566">
        <f ca="1">IF(OR($A$2=1,$B147=""),"",ROUND(ROUND(VLOOKUP(OP!$C$55,HL_2,$B147+1,0)*OP!$C$28,0)*IF(OR($L147=0,$L147=""),1,PYO),0))</f>
        <v>100000</v>
      </c>
      <c r="J147" s="567"/>
      <c r="K147" s="567"/>
      <c r="L147" s="566">
        <f ca="1">IF(OR($A$2=1,$B147=""),"",ROUND(ROUND(VLOOKUP(OP!$C$55,HL_2,$B147+1,0)*OP!$C$28,0)*IF(OR(ROUND(VLOOKUP(OP!$C$55,HL_2,$B147+1,0)*OP!$C$28,0)*PY!$C$4&lt;PY!$D$5,ROUND(VLOOKUP(OP!$C$55,HL_2,$B147+1,0)*OP!$C$28,0)*PY!$C$4*PYR&lt;PY!$C$5),0,PYY)*PYR,0))</f>
        <v>0</v>
      </c>
      <c r="M147" s="568"/>
      <c r="N147" s="566">
        <f ca="1">IF(OR($A$2=1,$B147=""),"",ROUND((ROUND(VLOOKUP(OP!$C$55,HL_2,$B147+1,0)*OP!$C$28,0)+ROUND(OP!$C$28*10000*0.2,0))*IF(OR($Q147=0,$Q147=""),1,PYO),0))</f>
        <v>120000</v>
      </c>
      <c r="O147" s="567"/>
      <c r="P147" s="567"/>
      <c r="Q147" s="566">
        <f ca="1">IF(OR($A$2=1,$B147=""),"",ROUND((ROUND(VLOOKUP(OP!$C$55,HL_2,$B147+1,0)*OP!$C$28,0)+ROUND(OP!$C$28*10000*0.2,0))*IF(OR((ROUND(VLOOKUP(OP!$C$55,HL_2,$B147+1,0)*OP!$C$28,0)+ROUND(OP!$C$28*10000*0.2,0))*PY!$C$4&lt;PY!$D$5,(ROUND(VLOOKUP(OP!$C$55,HL_2,$B147+1,0)*OP!$C$28,0)+ROUND(OP!$C$28*10000*0.2,0))*PY!$C$4*PYR&lt;PY!$C$5),0,PYY)*PYR,0))</f>
        <v>0</v>
      </c>
      <c r="R147" s="568"/>
      <c r="S147" s="566">
        <f ca="1">IF(OR($A$2=1,$B147=""),"",ROUND(ROUND(VLOOKUP(OP!$C$55,HL_3,$B147+1,0)*OP!$C$28,0)*IF(OR($V147=0,$V147=""),1,PYO),0))</f>
        <v>100000</v>
      </c>
      <c r="T147" s="567"/>
      <c r="U147" s="567"/>
      <c r="V147" s="566">
        <f ca="1">IF(OR($A$2=1,$B147=""),"",ROUND(ROUND(VLOOKUP(OP!$C$55,HL_3,$B147+1,0)*OP!$C$28,0)*IF(OR(ROUND(VLOOKUP(OP!$C$55,HL_3,$B147+1,0)*OP!$C$28,0)*PY!$C$4&lt;PY!$D$5,ROUND(VLOOKUP(OP!$C$55,HL_3,$B147+1,0)*OP!$C$28,0)*PY!$C$4*PYR&lt;PY!$C$5),0,PYY)*PYR,0))</f>
        <v>0</v>
      </c>
      <c r="W147" s="568"/>
      <c r="X147" s="346"/>
    </row>
    <row r="148" spans="1:24" s="345" customFormat="1" ht="14.1" customHeight="1">
      <c r="A148" s="35"/>
      <c r="B148" s="481">
        <f ca="1">IF(OR(C147&gt;=OP!F$57,C147=""),"",IF(C147+1&gt;OP!$F$57,OP!$F$57+1-$B$23,B147+1))</f>
        <v>15</v>
      </c>
      <c r="C148" s="481">
        <f ca="1">IF(OR($A$2=1,MAX($C$134:C147)&gt;=OP!$F$57),"",C147+(B148-B147))</f>
        <v>14</v>
      </c>
      <c r="D148" s="566">
        <f ca="1">IF(OR($A$2=1,$B148=""),"",ROUND(ROUND(VLOOKUP(OP!$C$55,HL_1,$B148+1,0)*OP!$C$28,0)*IF(OR($G148=0,$G148=""),1,PYO),0))</f>
        <v>38001</v>
      </c>
      <c r="E148" s="567"/>
      <c r="F148" s="567"/>
      <c r="G148" s="566">
        <f ca="1">IF(OR($A$2=1,$B148=""),"",ROUND(ROUND(VLOOKUP(OP!$C$55,HL_1,$B148+1,0)*OP!$C$28,0)*IF(OR(ROUND(VLOOKUP(OP!$C$55,HL_1,$B148+1,0)*OP!$C$28,0)*PY!$C$4&lt;PY!$D$5,ROUND(VLOOKUP(OP!$C$55,HL_1,$B148+1,0)*OP!$C$28,0)*PY!$C$4*PYR&lt;PY!$C$5),0,PYY)*PYR,0))</f>
        <v>0</v>
      </c>
      <c r="H148" s="568"/>
      <c r="I148" s="566">
        <f ca="1">IF(OR($A$2=1,$B148=""),"",ROUND(ROUND(VLOOKUP(OP!$C$55,HL_2,$B148+1,0)*OP!$C$28,0)*IF(OR($L148=0,$L148=""),1,PYO),0))</f>
        <v>100000</v>
      </c>
      <c r="J148" s="567"/>
      <c r="K148" s="567"/>
      <c r="L148" s="566">
        <f ca="1">IF(OR($A$2=1,$B148=""),"",ROUND(ROUND(VLOOKUP(OP!$C$55,HL_2,$B148+1,0)*OP!$C$28,0)*IF(OR(ROUND(VLOOKUP(OP!$C$55,HL_2,$B148+1,0)*OP!$C$28,0)*PY!$C$4&lt;PY!$D$5,ROUND(VLOOKUP(OP!$C$55,HL_2,$B148+1,0)*OP!$C$28,0)*PY!$C$4*PYR&lt;PY!$C$5),0,PYY)*PYR,0))</f>
        <v>0</v>
      </c>
      <c r="M148" s="568"/>
      <c r="N148" s="566">
        <f ca="1">IF(OR($A$2=1,$B148=""),"",ROUND((ROUND(VLOOKUP(OP!$C$55,HL_2,$B148+1,0)*OP!$C$28,0)+ROUND(OP!$C$28*10000*0.2,0))*IF(OR($Q148=0,$Q148=""),1,PYO),0))</f>
        <v>120000</v>
      </c>
      <c r="O148" s="567"/>
      <c r="P148" s="567"/>
      <c r="Q148" s="566">
        <f ca="1">IF(OR($A$2=1,$B148=""),"",ROUND((ROUND(VLOOKUP(OP!$C$55,HL_2,$B148+1,0)*OP!$C$28,0)+ROUND(OP!$C$28*10000*0.2,0))*IF(OR((ROUND(VLOOKUP(OP!$C$55,HL_2,$B148+1,0)*OP!$C$28,0)+ROUND(OP!$C$28*10000*0.2,0))*PY!$C$4&lt;PY!$D$5,(ROUND(VLOOKUP(OP!$C$55,HL_2,$B148+1,0)*OP!$C$28,0)+ROUND(OP!$C$28*10000*0.2,0))*PY!$C$4*PYR&lt;PY!$C$5),0,PYY)*PYR,0))</f>
        <v>0</v>
      </c>
      <c r="R148" s="568"/>
      <c r="S148" s="566">
        <f ca="1">IF(OR($A$2=1,$B148=""),"",ROUND(ROUND(VLOOKUP(OP!$C$55,HL_3,$B148+1,0)*OP!$C$28,0)*IF(OR($V148=0,$V148=""),1,PYO),0))</f>
        <v>100000</v>
      </c>
      <c r="T148" s="567"/>
      <c r="U148" s="567"/>
      <c r="V148" s="566">
        <f ca="1">IF(OR($A$2=1,$B148=""),"",ROUND(ROUND(VLOOKUP(OP!$C$55,HL_3,$B148+1,0)*OP!$C$28,0)*IF(OR(ROUND(VLOOKUP(OP!$C$55,HL_3,$B148+1,0)*OP!$C$28,0)*PY!$C$4&lt;PY!$D$5,ROUND(VLOOKUP(OP!$C$55,HL_3,$B148+1,0)*OP!$C$28,0)*PY!$C$4*PYR&lt;PY!$C$5),0,PYY)*PYR,0))</f>
        <v>0</v>
      </c>
      <c r="W148" s="568"/>
      <c r="X148" s="346"/>
    </row>
    <row r="149" spans="1:24" s="347" customFormat="1" ht="14.1" customHeight="1">
      <c r="A149" s="10"/>
      <c r="B149" s="481">
        <f ca="1">IF(OR(C148&gt;=OP!F$57,C148=""),"",IF(C148+1&gt;OP!$F$57,OP!$F$57+1-$B$23,B148+1))</f>
        <v>16</v>
      </c>
      <c r="C149" s="481">
        <f ca="1">IF(OR($A$2=1,MAX($C$134:C148)&gt;=OP!$F$57),"",C148+(B149-B148))</f>
        <v>15</v>
      </c>
      <c r="D149" s="566">
        <f ca="1">IF(OR($A$2=1,$B149=""),"",ROUND(ROUND(VLOOKUP(OP!$C$55,HL_1,$B149+1,0)*OP!$C$28,0)*IF(OR($G149=0,$G149=""),1,PYO),0))</f>
        <v>40534</v>
      </c>
      <c r="E149" s="567"/>
      <c r="F149" s="567"/>
      <c r="G149" s="566">
        <f ca="1">IF(OR($A$2=1,$B149=""),"",ROUND(ROUND(VLOOKUP(OP!$C$55,HL_1,$B149+1,0)*OP!$C$28,0)*IF(OR(ROUND(VLOOKUP(OP!$C$55,HL_1,$B149+1,0)*OP!$C$28,0)*PY!$C$4&lt;PY!$D$5,ROUND(VLOOKUP(OP!$C$55,HL_1,$B149+1,0)*OP!$C$28,0)*PY!$C$4*PYR&lt;PY!$C$5),0,PYY)*PYR,0))</f>
        <v>0</v>
      </c>
      <c r="H149" s="568"/>
      <c r="I149" s="566">
        <f ca="1">IF(OR($A$2=1,$B149=""),"",ROUND(ROUND(VLOOKUP(OP!$C$55,HL_2,$B149+1,0)*OP!$C$28,0)*IF(OR($L149=0,$L149=""),1,PYO),0))</f>
        <v>100000</v>
      </c>
      <c r="J149" s="567"/>
      <c r="K149" s="567"/>
      <c r="L149" s="566">
        <f ca="1">IF(OR($A$2=1,$B149=""),"",ROUND(ROUND(VLOOKUP(OP!$C$55,HL_2,$B149+1,0)*OP!$C$28,0)*IF(OR(ROUND(VLOOKUP(OP!$C$55,HL_2,$B149+1,0)*OP!$C$28,0)*PY!$C$4&lt;PY!$D$5,ROUND(VLOOKUP(OP!$C$55,HL_2,$B149+1,0)*OP!$C$28,0)*PY!$C$4*PYR&lt;PY!$C$5),0,PYY)*PYR,0))</f>
        <v>0</v>
      </c>
      <c r="M149" s="568"/>
      <c r="N149" s="566">
        <f ca="1">IF(OR($A$2=1,$B149=""),"",ROUND((ROUND(VLOOKUP(OP!$C$55,HL_2,$B149+1,0)*OP!$C$28,0)+ROUND(OP!$C$28*10000*0.2,0))*IF(OR($Q149=0,$Q149=""),1,PYO),0))</f>
        <v>120000</v>
      </c>
      <c r="O149" s="567"/>
      <c r="P149" s="567"/>
      <c r="Q149" s="566">
        <f ca="1">IF(OR($A$2=1,$B149=""),"",ROUND((ROUND(VLOOKUP(OP!$C$55,HL_2,$B149+1,0)*OP!$C$28,0)+ROUND(OP!$C$28*10000*0.2,0))*IF(OR((ROUND(VLOOKUP(OP!$C$55,HL_2,$B149+1,0)*OP!$C$28,0)+ROUND(OP!$C$28*10000*0.2,0))*PY!$C$4&lt;PY!$D$5,(ROUND(VLOOKUP(OP!$C$55,HL_2,$B149+1,0)*OP!$C$28,0)+ROUND(OP!$C$28*10000*0.2,0))*PY!$C$4*PYR&lt;PY!$C$5),0,PYY)*PYR,0))</f>
        <v>0</v>
      </c>
      <c r="R149" s="568"/>
      <c r="S149" s="566">
        <f ca="1">IF(OR($A$2=1,$B149=""),"",ROUND(ROUND(VLOOKUP(OP!$C$55,HL_3,$B149+1,0)*OP!$C$28,0)*IF(OR($V149=0,$V149=""),1,PYO),0))</f>
        <v>100000</v>
      </c>
      <c r="T149" s="567"/>
      <c r="U149" s="567"/>
      <c r="V149" s="566">
        <f ca="1">IF(OR($A$2=1,$B149=""),"",ROUND(ROUND(VLOOKUP(OP!$C$55,HL_3,$B149+1,0)*OP!$C$28,0)*IF(OR(ROUND(VLOOKUP(OP!$C$55,HL_3,$B149+1,0)*OP!$C$28,0)*PY!$C$4&lt;PY!$D$5,ROUND(VLOOKUP(OP!$C$55,HL_3,$B149+1,0)*OP!$C$28,0)*PY!$C$4*PYR&lt;PY!$C$5),0,PYY)*PYR,0))</f>
        <v>0</v>
      </c>
      <c r="W149" s="568"/>
    </row>
    <row r="150" spans="1:24" ht="14.1" customHeight="1">
      <c r="A150" s="10"/>
      <c r="B150" s="481">
        <f ca="1">IF(OR(C149&gt;=OP!F$57,C149=""),"",IF(C149+1&gt;OP!$F$57,OP!$F$57+1-$B$23,B149+1))</f>
        <v>17</v>
      </c>
      <c r="C150" s="481">
        <f ca="1">IF(OR($A$2=1,MAX($C$134:C149)&gt;=OP!$F$57),"",C149+(B150-B149))</f>
        <v>16</v>
      </c>
      <c r="D150" s="566">
        <f ca="1">IF(OR($A$2=1,$B150=""),"",ROUND(ROUND(VLOOKUP(OP!$C$55,HL_1,$B150+1,0)*OP!$C$28,0)*IF(OR($G150=0,$G150=""),1,PYO),0))</f>
        <v>43068</v>
      </c>
      <c r="E150" s="567"/>
      <c r="F150" s="567"/>
      <c r="G150" s="566">
        <f ca="1">IF(OR($A$2=1,$B150=""),"",ROUND(ROUND(VLOOKUP(OP!$C$55,HL_1,$B150+1,0)*OP!$C$28,0)*IF(OR(ROUND(VLOOKUP(OP!$C$55,HL_1,$B150+1,0)*OP!$C$28,0)*PY!$C$4&lt;PY!$D$5,ROUND(VLOOKUP(OP!$C$55,HL_1,$B150+1,0)*OP!$C$28,0)*PY!$C$4*PYR&lt;PY!$C$5),0,PYY)*PYR,0))</f>
        <v>0</v>
      </c>
      <c r="H150" s="568"/>
      <c r="I150" s="566">
        <f ca="1">IF(OR($A$2=1,$B150=""),"",ROUND(ROUND(VLOOKUP(OP!$C$55,HL_2,$B150+1,0)*OP!$C$28,0)*IF(OR($L150=0,$L150=""),1,PYO),0))</f>
        <v>100000</v>
      </c>
      <c r="J150" s="567"/>
      <c r="K150" s="567"/>
      <c r="L150" s="566">
        <f ca="1">IF(OR($A$2=1,$B150=""),"",ROUND(ROUND(VLOOKUP(OP!$C$55,HL_2,$B150+1,0)*OP!$C$28,0)*IF(OR(ROUND(VLOOKUP(OP!$C$55,HL_2,$B150+1,0)*OP!$C$28,0)*PY!$C$4&lt;PY!$D$5,ROUND(VLOOKUP(OP!$C$55,HL_2,$B150+1,0)*OP!$C$28,0)*PY!$C$4*PYR&lt;PY!$C$5),0,PYY)*PYR,0))</f>
        <v>0</v>
      </c>
      <c r="M150" s="568"/>
      <c r="N150" s="566">
        <f ca="1">IF(OR($A$2=1,$B150=""),"",ROUND((ROUND(VLOOKUP(OP!$C$55,HL_2,$B150+1,0)*OP!$C$28,0)+ROUND(OP!$C$28*10000*0.2,0))*IF(OR($Q150=0,$Q150=""),1,PYO),0))</f>
        <v>120000</v>
      </c>
      <c r="O150" s="567"/>
      <c r="P150" s="567"/>
      <c r="Q150" s="566">
        <f ca="1">IF(OR($A$2=1,$B150=""),"",ROUND((ROUND(VLOOKUP(OP!$C$55,HL_2,$B150+1,0)*OP!$C$28,0)+ROUND(OP!$C$28*10000*0.2,0))*IF(OR((ROUND(VLOOKUP(OP!$C$55,HL_2,$B150+1,0)*OP!$C$28,0)+ROUND(OP!$C$28*10000*0.2,0))*PY!$C$4&lt;PY!$D$5,(ROUND(VLOOKUP(OP!$C$55,HL_2,$B150+1,0)*OP!$C$28,0)+ROUND(OP!$C$28*10000*0.2,0))*PY!$C$4*PYR&lt;PY!$C$5),0,PYY)*PYR,0))</f>
        <v>0</v>
      </c>
      <c r="R150" s="568"/>
      <c r="S150" s="566">
        <f ca="1">IF(OR($A$2=1,$B150=""),"",ROUND(ROUND(VLOOKUP(OP!$C$55,HL_3,$B150+1,0)*OP!$C$28,0)*IF(OR($V150=0,$V150=""),1,PYO),0))</f>
        <v>100000</v>
      </c>
      <c r="T150" s="567"/>
      <c r="U150" s="567"/>
      <c r="V150" s="566">
        <f ca="1">IF(OR($A$2=1,$B150=""),"",ROUND(ROUND(VLOOKUP(OP!$C$55,HL_3,$B150+1,0)*OP!$C$28,0)*IF(OR(ROUND(VLOOKUP(OP!$C$55,HL_3,$B150+1,0)*OP!$C$28,0)*PY!$C$4&lt;PY!$D$5,ROUND(VLOOKUP(OP!$C$55,HL_3,$B150+1,0)*OP!$C$28,0)*PY!$C$4*PYR&lt;PY!$C$5),0,PYY)*PYR,0))</f>
        <v>0</v>
      </c>
      <c r="W150" s="568"/>
    </row>
    <row r="151" spans="1:24" ht="14.1" customHeight="1">
      <c r="A151" s="10"/>
      <c r="B151" s="481">
        <f ca="1">IF(OR(C150&gt;=OP!F$57,C150=""),"",IF(C150+1&gt;OP!$F$57,OP!$F$57+1-$B$23,B150+1))</f>
        <v>18</v>
      </c>
      <c r="C151" s="481">
        <f ca="1">IF(OR($A$2=1,MAX($C$134:C150)&gt;=OP!$F$57),"",C150+(B151-B150))</f>
        <v>17</v>
      </c>
      <c r="D151" s="566">
        <f ca="1">IF(OR($A$2=1,$B151=""),"",ROUND(ROUND(VLOOKUP(OP!$C$55,HL_1,$B151+1,0)*OP!$C$28,0)*IF(OR($G151=0,$G151=""),1,PYO),0))</f>
        <v>45601</v>
      </c>
      <c r="E151" s="567"/>
      <c r="F151" s="567"/>
      <c r="G151" s="566">
        <f ca="1">IF(OR($A$2=1,$B151=""),"",ROUND(ROUND(VLOOKUP(OP!$C$55,HL_1,$B151+1,0)*OP!$C$28,0)*IF(OR(ROUND(VLOOKUP(OP!$C$55,HL_1,$B151+1,0)*OP!$C$28,0)*PY!$C$4&lt;PY!$D$5,ROUND(VLOOKUP(OP!$C$55,HL_1,$B151+1,0)*OP!$C$28,0)*PY!$C$4*PYR&lt;PY!$C$5),0,PYY)*PYR,0))</f>
        <v>0</v>
      </c>
      <c r="H151" s="568"/>
      <c r="I151" s="566">
        <f ca="1">IF(OR($A$2=1,$B151=""),"",ROUND(ROUND(VLOOKUP(OP!$C$55,HL_2,$B151+1,0)*OP!$C$28,0)*IF(OR($L151=0,$L151=""),1,PYO),0))</f>
        <v>100000</v>
      </c>
      <c r="J151" s="567"/>
      <c r="K151" s="567"/>
      <c r="L151" s="566">
        <f ca="1">IF(OR($A$2=1,$B151=""),"",ROUND(ROUND(VLOOKUP(OP!$C$55,HL_2,$B151+1,0)*OP!$C$28,0)*IF(OR(ROUND(VLOOKUP(OP!$C$55,HL_2,$B151+1,0)*OP!$C$28,0)*PY!$C$4&lt;PY!$D$5,ROUND(VLOOKUP(OP!$C$55,HL_2,$B151+1,0)*OP!$C$28,0)*PY!$C$4*PYR&lt;PY!$C$5),0,PYY)*PYR,0))</f>
        <v>0</v>
      </c>
      <c r="M151" s="568"/>
      <c r="N151" s="566">
        <f ca="1">IF(OR($A$2=1,$B151=""),"",ROUND((ROUND(VLOOKUP(OP!$C$55,HL_2,$B151+1,0)*OP!$C$28,0)+ROUND(OP!$C$28*10000*0.2,0))*IF(OR($Q151=0,$Q151=""),1,PYO),0))</f>
        <v>120000</v>
      </c>
      <c r="O151" s="567"/>
      <c r="P151" s="567"/>
      <c r="Q151" s="566">
        <f ca="1">IF(OR($A$2=1,$B151=""),"",ROUND((ROUND(VLOOKUP(OP!$C$55,HL_2,$B151+1,0)*OP!$C$28,0)+ROUND(OP!$C$28*10000*0.2,0))*IF(OR((ROUND(VLOOKUP(OP!$C$55,HL_2,$B151+1,0)*OP!$C$28,0)+ROUND(OP!$C$28*10000*0.2,0))*PY!$C$4&lt;PY!$D$5,(ROUND(VLOOKUP(OP!$C$55,HL_2,$B151+1,0)*OP!$C$28,0)+ROUND(OP!$C$28*10000*0.2,0))*PY!$C$4*PYR&lt;PY!$C$5),0,PYY)*PYR,0))</f>
        <v>0</v>
      </c>
      <c r="R151" s="568"/>
      <c r="S151" s="566">
        <f ca="1">IF(OR($A$2=1,$B151=""),"",ROUND(ROUND(VLOOKUP(OP!$C$55,HL_3,$B151+1,0)*OP!$C$28,0)*IF(OR($V151=0,$V151=""),1,PYO),0))</f>
        <v>100000</v>
      </c>
      <c r="T151" s="567"/>
      <c r="U151" s="567"/>
      <c r="V151" s="566">
        <f ca="1">IF(OR($A$2=1,$B151=""),"",ROUND(ROUND(VLOOKUP(OP!$C$55,HL_3,$B151+1,0)*OP!$C$28,0)*IF(OR(ROUND(VLOOKUP(OP!$C$55,HL_3,$B151+1,0)*OP!$C$28,0)*PY!$C$4&lt;PY!$D$5,ROUND(VLOOKUP(OP!$C$55,HL_3,$B151+1,0)*OP!$C$28,0)*PY!$C$4*PYR&lt;PY!$C$5),0,PYY)*PYR,0))</f>
        <v>0</v>
      </c>
      <c r="W151" s="568"/>
    </row>
    <row r="152" spans="1:24" s="348" customFormat="1" ht="14.1" customHeight="1">
      <c r="B152" s="481">
        <f ca="1">IF(OR(C151&gt;=OP!F$57,C151=""),"",IF(C151+1&gt;OP!$F$57,OP!$F$57+1-$B$23,B151+1))</f>
        <v>19</v>
      </c>
      <c r="C152" s="481">
        <f ca="1">IF(OR($A$2=1,MAX($C$134:C151)&gt;=OP!$F$57),"",C151+(B152-B151))</f>
        <v>18</v>
      </c>
      <c r="D152" s="566">
        <f ca="1">IF(OR($A$2=1,$B152=""),"",ROUND(ROUND(VLOOKUP(OP!$C$55,HL_1,$B152+1,0)*OP!$C$28,0)*IF(OR($G152=0,$G152=""),1,PYO),0))</f>
        <v>48135</v>
      </c>
      <c r="E152" s="567"/>
      <c r="F152" s="567"/>
      <c r="G152" s="566">
        <f ca="1">IF(OR($A$2=1,$B152=""),"",ROUND(ROUND(VLOOKUP(OP!$C$55,HL_1,$B152+1,0)*OP!$C$28,0)*IF(OR(ROUND(VLOOKUP(OP!$C$55,HL_1,$B152+1,0)*OP!$C$28,0)*PY!$C$4&lt;PY!$D$5,ROUND(VLOOKUP(OP!$C$55,HL_1,$B152+1,0)*OP!$C$28,0)*PY!$C$4*PYR&lt;PY!$C$5),0,PYY)*PYR,0))</f>
        <v>0</v>
      </c>
      <c r="H152" s="568"/>
      <c r="I152" s="566">
        <f ca="1">IF(OR($A$2=1,$B152=""),"",ROUND(ROUND(VLOOKUP(OP!$C$55,HL_2,$B152+1,0)*OP!$C$28,0)*IF(OR($L152=0,$L152=""),1,PYO),0))</f>
        <v>100000</v>
      </c>
      <c r="J152" s="567"/>
      <c r="K152" s="567"/>
      <c r="L152" s="566">
        <f ca="1">IF(OR($A$2=1,$B152=""),"",ROUND(ROUND(VLOOKUP(OP!$C$55,HL_2,$B152+1,0)*OP!$C$28,0)*IF(OR(ROUND(VLOOKUP(OP!$C$55,HL_2,$B152+1,0)*OP!$C$28,0)*PY!$C$4&lt;PY!$D$5,ROUND(VLOOKUP(OP!$C$55,HL_2,$B152+1,0)*OP!$C$28,0)*PY!$C$4*PYR&lt;PY!$C$5),0,PYY)*PYR,0))</f>
        <v>0</v>
      </c>
      <c r="M152" s="568"/>
      <c r="N152" s="566">
        <f ca="1">IF(OR($A$2=1,$B152=""),"",ROUND((ROUND(VLOOKUP(OP!$C$55,HL_2,$B152+1,0)*OP!$C$28,0)+ROUND(OP!$C$28*10000*0.2,0))*IF(OR($Q152=0,$Q152=""),1,PYO),0))</f>
        <v>120000</v>
      </c>
      <c r="O152" s="567"/>
      <c r="P152" s="567"/>
      <c r="Q152" s="566">
        <f ca="1">IF(OR($A$2=1,$B152=""),"",ROUND((ROUND(VLOOKUP(OP!$C$55,HL_2,$B152+1,0)*OP!$C$28,0)+ROUND(OP!$C$28*10000*0.2,0))*IF(OR((ROUND(VLOOKUP(OP!$C$55,HL_2,$B152+1,0)*OP!$C$28,0)+ROUND(OP!$C$28*10000*0.2,0))*PY!$C$4&lt;PY!$D$5,(ROUND(VLOOKUP(OP!$C$55,HL_2,$B152+1,0)*OP!$C$28,0)+ROUND(OP!$C$28*10000*0.2,0))*PY!$C$4*PYR&lt;PY!$C$5),0,PYY)*PYR,0))</f>
        <v>0</v>
      </c>
      <c r="R152" s="568"/>
      <c r="S152" s="566">
        <f ca="1">IF(OR($A$2=1,$B152=""),"",ROUND(ROUND(VLOOKUP(OP!$C$55,HL_3,$B152+1,0)*OP!$C$28,0)*IF(OR($V152=0,$V152=""),1,PYO),0))</f>
        <v>100000</v>
      </c>
      <c r="T152" s="567"/>
      <c r="U152" s="567"/>
      <c r="V152" s="566">
        <f ca="1">IF(OR($A$2=1,$B152=""),"",ROUND(ROUND(VLOOKUP(OP!$C$55,HL_3,$B152+1,0)*OP!$C$28,0)*IF(OR(ROUND(VLOOKUP(OP!$C$55,HL_3,$B152+1,0)*OP!$C$28,0)*PY!$C$4&lt;PY!$D$5,ROUND(VLOOKUP(OP!$C$55,HL_3,$B152+1,0)*OP!$C$28,0)*PY!$C$4*PYR&lt;PY!$C$5),0,PYY)*PYR,0))</f>
        <v>0</v>
      </c>
      <c r="W152" s="568"/>
      <c r="X152" s="349"/>
    </row>
    <row r="153" spans="1:24" s="21" customFormat="1" ht="14.1" customHeight="1">
      <c r="B153" s="481">
        <f ca="1">IF(OR(C152&gt;=OP!F$57,C152=""),"",IF(C152+1&gt;OP!$F$57,OP!$F$57+1-$B$23,B152+1))</f>
        <v>20</v>
      </c>
      <c r="C153" s="481">
        <f ca="1">IF(OR($A$2=1,MAX($C$134:C152)&gt;=OP!$F$57),"",C152+(B153-B152))</f>
        <v>19</v>
      </c>
      <c r="D153" s="566">
        <f ca="1">IF(OR($A$2=1,$B153=""),"",ROUND(ROUND(VLOOKUP(OP!$C$55,HL_1,$B153+1,0)*OP!$C$28,0)*IF(OR($G153=0,$G153=""),1,PYO),0))</f>
        <v>50668</v>
      </c>
      <c r="E153" s="567"/>
      <c r="F153" s="567"/>
      <c r="G153" s="566">
        <f ca="1">IF(OR($A$2=1,$B153=""),"",ROUND(ROUND(VLOOKUP(OP!$C$55,HL_1,$B153+1,0)*OP!$C$28,0)*IF(OR(ROUND(VLOOKUP(OP!$C$55,HL_1,$B153+1,0)*OP!$C$28,0)*PY!$C$4&lt;PY!$D$5,ROUND(VLOOKUP(OP!$C$55,HL_1,$B153+1,0)*OP!$C$28,0)*PY!$C$4*PYR&lt;PY!$C$5),0,PYY)*PYR,0))</f>
        <v>0</v>
      </c>
      <c r="H153" s="568"/>
      <c r="I153" s="566">
        <f ca="1">IF(OR($A$2=1,$B153=""),"",ROUND(ROUND(VLOOKUP(OP!$C$55,HL_2,$B153+1,0)*OP!$C$28,0)*IF(OR($L153=0,$L153=""),1,PYO),0))</f>
        <v>100000</v>
      </c>
      <c r="J153" s="567"/>
      <c r="K153" s="567"/>
      <c r="L153" s="566">
        <f ca="1">IF(OR($A$2=1,$B153=""),"",ROUND(ROUND(VLOOKUP(OP!$C$55,HL_2,$B153+1,0)*OP!$C$28,0)*IF(OR(ROUND(VLOOKUP(OP!$C$55,HL_2,$B153+1,0)*OP!$C$28,0)*PY!$C$4&lt;PY!$D$5,ROUND(VLOOKUP(OP!$C$55,HL_2,$B153+1,0)*OP!$C$28,0)*PY!$C$4*PYR&lt;PY!$C$5),0,PYY)*PYR,0))</f>
        <v>0</v>
      </c>
      <c r="M153" s="568"/>
      <c r="N153" s="566">
        <f ca="1">IF(OR($A$2=1,$B153=""),"",ROUND((ROUND(VLOOKUP(OP!$C$55,HL_2,$B153+1,0)*OP!$C$28,0)+ROUND(OP!$C$28*10000*0.2,0))*IF(OR($Q153=0,$Q153=""),1,PYO),0))</f>
        <v>120000</v>
      </c>
      <c r="O153" s="567"/>
      <c r="P153" s="567"/>
      <c r="Q153" s="566">
        <f ca="1">IF(OR($A$2=1,$B153=""),"",ROUND((ROUND(VLOOKUP(OP!$C$55,HL_2,$B153+1,0)*OP!$C$28,0)+ROUND(OP!$C$28*10000*0.2,0))*IF(OR((ROUND(VLOOKUP(OP!$C$55,HL_2,$B153+1,0)*OP!$C$28,0)+ROUND(OP!$C$28*10000*0.2,0))*PY!$C$4&lt;PY!$D$5,(ROUND(VLOOKUP(OP!$C$55,HL_2,$B153+1,0)*OP!$C$28,0)+ROUND(OP!$C$28*10000*0.2,0))*PY!$C$4*PYR&lt;PY!$C$5),0,PYY)*PYR,0))</f>
        <v>0</v>
      </c>
      <c r="R153" s="568"/>
      <c r="S153" s="566">
        <f ca="1">IF(OR($A$2=1,$B153=""),"",ROUND(ROUND(VLOOKUP(OP!$C$55,HL_3,$B153+1,0)*OP!$C$28,0)*IF(OR($V153=0,$V153=""),1,PYO),0))</f>
        <v>100000</v>
      </c>
      <c r="T153" s="567"/>
      <c r="U153" s="567"/>
      <c r="V153" s="566">
        <f ca="1">IF(OR($A$2=1,$B153=""),"",ROUND(ROUND(VLOOKUP(OP!$C$55,HL_3,$B153+1,0)*OP!$C$28,0)*IF(OR(ROUND(VLOOKUP(OP!$C$55,HL_3,$B153+1,0)*OP!$C$28,0)*PY!$C$4&lt;PY!$D$5,ROUND(VLOOKUP(OP!$C$55,HL_3,$B153+1,0)*OP!$C$28,0)*PY!$C$4*PYR&lt;PY!$C$5),0,PYY)*PYR,0))</f>
        <v>0</v>
      </c>
      <c r="W153" s="568"/>
      <c r="X153" s="22"/>
    </row>
    <row r="154" spans="1:24" s="21" customFormat="1" ht="14.1" customHeight="1">
      <c r="B154" s="481">
        <f ca="1">IF(OR(C153&gt;=OP!F$57,C153=""),"",IF(C153+1&gt;OP!$F$57,OP!$F$57+1-$B$23,B153+1))</f>
        <v>21</v>
      </c>
      <c r="C154" s="481">
        <f ca="1">IF(OR($A$2=1,MAX($C$134:C153)&gt;=OP!$F$57),"",C153+(B154-B153))</f>
        <v>20</v>
      </c>
      <c r="D154" s="566">
        <f ca="1">IF(OR($A$2=1,$B154=""),"",ROUND(ROUND(VLOOKUP(OP!$C$55,HL_1,$B154+1,0)*OP!$C$28,0)*IF(OR($G154=0,$G154=""),1,PYO),0))</f>
        <v>50668</v>
      </c>
      <c r="E154" s="567"/>
      <c r="F154" s="567"/>
      <c r="G154" s="566">
        <f ca="1">IF(OR($A$2=1,$B154=""),"",ROUND(ROUND(VLOOKUP(OP!$C$55,HL_1,$B154+1,0)*OP!$C$28,0)*IF(OR(ROUND(VLOOKUP(OP!$C$55,HL_1,$B154+1,0)*OP!$C$28,0)*PY!$C$4&lt;PY!$D$5,ROUND(VLOOKUP(OP!$C$55,HL_1,$B154+1,0)*OP!$C$28,0)*PY!$C$4*PYR&lt;PY!$C$5),0,PYY)*PYR,0))</f>
        <v>0</v>
      </c>
      <c r="H154" s="568"/>
      <c r="I154" s="566">
        <f ca="1">IF(OR($A$2=1,$B154=""),"",ROUND(ROUND(VLOOKUP(OP!$C$55,HL_2,$B154+1,0)*OP!$C$28,0)*IF(OR($L154=0,$L154=""),1,PYO),0))</f>
        <v>100000</v>
      </c>
      <c r="J154" s="567"/>
      <c r="K154" s="567"/>
      <c r="L154" s="566">
        <f ca="1">IF(OR($A$2=1,$B154=""),"",ROUND(ROUND(VLOOKUP(OP!$C$55,HL_2,$B154+1,0)*OP!$C$28,0)*IF(OR(ROUND(VLOOKUP(OP!$C$55,HL_2,$B154+1,0)*OP!$C$28,0)*PY!$C$4&lt;PY!$D$5,ROUND(VLOOKUP(OP!$C$55,HL_2,$B154+1,0)*OP!$C$28,0)*PY!$C$4*PYR&lt;PY!$C$5),0,PYY)*PYR,0))</f>
        <v>0</v>
      </c>
      <c r="M154" s="568"/>
      <c r="N154" s="566">
        <f ca="1">IF(OR($A$2=1,$B154=""),"",ROUND((ROUND(VLOOKUP(OP!$C$55,HL_2,$B154+1,0)*OP!$C$28,0)+ROUND(OP!$C$28*10000*0.2,0))*IF(OR($Q154=0,$Q154=""),1,PYO),0))</f>
        <v>120000</v>
      </c>
      <c r="O154" s="567"/>
      <c r="P154" s="567"/>
      <c r="Q154" s="566">
        <f ca="1">IF(OR($A$2=1,$B154=""),"",ROUND((ROUND(VLOOKUP(OP!$C$55,HL_2,$B154+1,0)*OP!$C$28,0)+ROUND(OP!$C$28*10000*0.2,0))*IF(OR((ROUND(VLOOKUP(OP!$C$55,HL_2,$B154+1,0)*OP!$C$28,0)+ROUND(OP!$C$28*10000*0.2,0))*PY!$C$4&lt;PY!$D$5,(ROUND(VLOOKUP(OP!$C$55,HL_2,$B154+1,0)*OP!$C$28,0)+ROUND(OP!$C$28*10000*0.2,0))*PY!$C$4*PYR&lt;PY!$C$5),0,PYY)*PYR,0))</f>
        <v>0</v>
      </c>
      <c r="R154" s="568"/>
      <c r="S154" s="566">
        <f ca="1">IF(OR($A$2=1,$B154=""),"",ROUND(ROUND(VLOOKUP(OP!$C$55,HL_3,$B154+1,0)*OP!$C$28,0)*IF(OR($V154=0,$V154=""),1,PYO),0))</f>
        <v>100000</v>
      </c>
      <c r="T154" s="567"/>
      <c r="U154" s="567"/>
      <c r="V154" s="566">
        <f ca="1">IF(OR($A$2=1,$B154=""),"",ROUND(ROUND(VLOOKUP(OP!$C$55,HL_3,$B154+1,0)*OP!$C$28,0)*IF(OR(ROUND(VLOOKUP(OP!$C$55,HL_3,$B154+1,0)*OP!$C$28,0)*PY!$C$4&lt;PY!$D$5,ROUND(VLOOKUP(OP!$C$55,HL_3,$B154+1,0)*OP!$C$28,0)*PY!$C$4*PYR&lt;PY!$C$5),0,PYY)*PYR,0))</f>
        <v>0</v>
      </c>
      <c r="W154" s="568"/>
      <c r="X154" s="22"/>
    </row>
    <row r="155" spans="1:24" s="21" customFormat="1" ht="14.1" customHeight="1">
      <c r="B155" s="481">
        <f ca="1">IF(OR(C154&gt;=OP!F$57,C154=""),"",IF(C154+1&gt;OP!$F$57,OP!$F$57+1-$B$23,B154+1))</f>
        <v>22</v>
      </c>
      <c r="C155" s="481">
        <f ca="1">IF(OR($A$2=1,MAX($C$134:C154)&gt;=OP!$F$57),"",C154+(B155-B154))</f>
        <v>21</v>
      </c>
      <c r="D155" s="566">
        <f ca="1">IF(OR($A$2=1,$B155=""),"",ROUND(ROUND(VLOOKUP(OP!$C$55,HL_1,$B155+1,0)*OP!$C$28,0)*IF(OR($G155=0,$G155=""),1,PYO),0))</f>
        <v>50668</v>
      </c>
      <c r="E155" s="567"/>
      <c r="F155" s="567"/>
      <c r="G155" s="566">
        <f ca="1">IF(OR($A$2=1,$B155=""),"",ROUND(ROUND(VLOOKUP(OP!$C$55,HL_1,$B155+1,0)*OP!$C$28,0)*IF(OR(ROUND(VLOOKUP(OP!$C$55,HL_1,$B155+1,0)*OP!$C$28,0)*PY!$C$4&lt;PY!$D$5,ROUND(VLOOKUP(OP!$C$55,HL_1,$B155+1,0)*OP!$C$28,0)*PY!$C$4*PYR&lt;PY!$C$5),0,PYY)*PYR,0))</f>
        <v>0</v>
      </c>
      <c r="H155" s="568"/>
      <c r="I155" s="566">
        <f ca="1">IF(OR($A$2=1,$B155=""),"",ROUND(ROUND(VLOOKUP(OP!$C$55,HL_2,$B155+1,0)*OP!$C$28,0)*IF(OR($L155=0,$L155=""),1,PYO),0))</f>
        <v>100000</v>
      </c>
      <c r="J155" s="567"/>
      <c r="K155" s="567"/>
      <c r="L155" s="566">
        <f ca="1">IF(OR($A$2=1,$B155=""),"",ROUND(ROUND(VLOOKUP(OP!$C$55,HL_2,$B155+1,0)*OP!$C$28,0)*IF(OR(ROUND(VLOOKUP(OP!$C$55,HL_2,$B155+1,0)*OP!$C$28,0)*PY!$C$4&lt;PY!$D$5,ROUND(VLOOKUP(OP!$C$55,HL_2,$B155+1,0)*OP!$C$28,0)*PY!$C$4*PYR&lt;PY!$C$5),0,PYY)*PYR,0))</f>
        <v>0</v>
      </c>
      <c r="M155" s="568"/>
      <c r="N155" s="566">
        <f ca="1">IF(OR($A$2=1,$B155=""),"",ROUND((ROUND(VLOOKUP(OP!$C$55,HL_2,$B155+1,0)*OP!$C$28,0)+ROUND(OP!$C$28*10000*0.2,0))*IF(OR($Q155=0,$Q155=""),1,PYO),0))</f>
        <v>120000</v>
      </c>
      <c r="O155" s="567"/>
      <c r="P155" s="567"/>
      <c r="Q155" s="566">
        <f ca="1">IF(OR($A$2=1,$B155=""),"",ROUND((ROUND(VLOOKUP(OP!$C$55,HL_2,$B155+1,0)*OP!$C$28,0)+ROUND(OP!$C$28*10000*0.2,0))*IF(OR((ROUND(VLOOKUP(OP!$C$55,HL_2,$B155+1,0)*OP!$C$28,0)+ROUND(OP!$C$28*10000*0.2,0))*PY!$C$4&lt;PY!$D$5,(ROUND(VLOOKUP(OP!$C$55,HL_2,$B155+1,0)*OP!$C$28,0)+ROUND(OP!$C$28*10000*0.2,0))*PY!$C$4*PYR&lt;PY!$C$5),0,PYY)*PYR,0))</f>
        <v>0</v>
      </c>
      <c r="R155" s="568"/>
      <c r="S155" s="566">
        <f ca="1">IF(OR($A$2=1,$B155=""),"",ROUND(ROUND(VLOOKUP(OP!$C$55,HL_3,$B155+1,0)*OP!$C$28,0)*IF(OR($V155=0,$V155=""),1,PYO),0))</f>
        <v>100000</v>
      </c>
      <c r="T155" s="567"/>
      <c r="U155" s="567"/>
      <c r="V155" s="566">
        <f ca="1">IF(OR($A$2=1,$B155=""),"",ROUND(ROUND(VLOOKUP(OP!$C$55,HL_3,$B155+1,0)*OP!$C$28,0)*IF(OR(ROUND(VLOOKUP(OP!$C$55,HL_3,$B155+1,0)*OP!$C$28,0)*PY!$C$4&lt;PY!$D$5,ROUND(VLOOKUP(OP!$C$55,HL_3,$B155+1,0)*OP!$C$28,0)*PY!$C$4*PYR&lt;PY!$C$5),0,PYY)*PYR,0))</f>
        <v>0</v>
      </c>
      <c r="W155" s="568"/>
      <c r="X155" s="22"/>
    </row>
    <row r="156" spans="1:24" s="21" customFormat="1" ht="14.1" customHeight="1">
      <c r="B156" s="481">
        <f ca="1">IF(OR(C155&gt;=OP!F$57,C155=""),"",IF(C155+1&gt;OP!$F$57,OP!$F$57+1-$B$23,B155+1))</f>
        <v>23</v>
      </c>
      <c r="C156" s="481">
        <f ca="1">IF(OR($A$2=1,MAX($C$134:C155)&gt;=OP!$F$57),"",C155+(B156-B155))</f>
        <v>22</v>
      </c>
      <c r="D156" s="566">
        <f ca="1">IF(OR($A$2=1,$B156=""),"",ROUND(ROUND(VLOOKUP(OP!$C$55,HL_1,$B156+1,0)*OP!$C$28,0)*IF(OR($G156=0,$G156=""),1,PYO),0))</f>
        <v>50668</v>
      </c>
      <c r="E156" s="567"/>
      <c r="F156" s="567"/>
      <c r="G156" s="566">
        <f ca="1">IF(OR($A$2=1,$B156=""),"",ROUND(ROUND(VLOOKUP(OP!$C$55,HL_1,$B156+1,0)*OP!$C$28,0)*IF(OR(ROUND(VLOOKUP(OP!$C$55,HL_1,$B156+1,0)*OP!$C$28,0)*PY!$C$4&lt;PY!$D$5,ROUND(VLOOKUP(OP!$C$55,HL_1,$B156+1,0)*OP!$C$28,0)*PY!$C$4*PYR&lt;PY!$C$5),0,PYY)*PYR,0))</f>
        <v>0</v>
      </c>
      <c r="H156" s="568"/>
      <c r="I156" s="566">
        <f ca="1">IF(OR($A$2=1,$B156=""),"",ROUND(ROUND(VLOOKUP(OP!$C$55,HL_2,$B156+1,0)*OP!$C$28,0)*IF(OR($L156=0,$L156=""),1,PYO),0))</f>
        <v>100000</v>
      </c>
      <c r="J156" s="567"/>
      <c r="K156" s="567"/>
      <c r="L156" s="566">
        <f ca="1">IF(OR($A$2=1,$B156=""),"",ROUND(ROUND(VLOOKUP(OP!$C$55,HL_2,$B156+1,0)*OP!$C$28,0)*IF(OR(ROUND(VLOOKUP(OP!$C$55,HL_2,$B156+1,0)*OP!$C$28,0)*PY!$C$4&lt;PY!$D$5,ROUND(VLOOKUP(OP!$C$55,HL_2,$B156+1,0)*OP!$C$28,0)*PY!$C$4*PYR&lt;PY!$C$5),0,PYY)*PYR,0))</f>
        <v>0</v>
      </c>
      <c r="M156" s="568"/>
      <c r="N156" s="566">
        <f ca="1">IF(OR($A$2=1,$B156=""),"",ROUND((ROUND(VLOOKUP(OP!$C$55,HL_2,$B156+1,0)*OP!$C$28,0)+ROUND(OP!$C$28*10000*0.2,0))*IF(OR($Q156=0,$Q156=""),1,PYO),0))</f>
        <v>120000</v>
      </c>
      <c r="O156" s="567"/>
      <c r="P156" s="567"/>
      <c r="Q156" s="566">
        <f ca="1">IF(OR($A$2=1,$B156=""),"",ROUND((ROUND(VLOOKUP(OP!$C$55,HL_2,$B156+1,0)*OP!$C$28,0)+ROUND(OP!$C$28*10000*0.2,0))*IF(OR((ROUND(VLOOKUP(OP!$C$55,HL_2,$B156+1,0)*OP!$C$28,0)+ROUND(OP!$C$28*10000*0.2,0))*PY!$C$4&lt;PY!$D$5,(ROUND(VLOOKUP(OP!$C$55,HL_2,$B156+1,0)*OP!$C$28,0)+ROUND(OP!$C$28*10000*0.2,0))*PY!$C$4*PYR&lt;PY!$C$5),0,PYY)*PYR,0))</f>
        <v>0</v>
      </c>
      <c r="R156" s="568"/>
      <c r="S156" s="566">
        <f ca="1">IF(OR($A$2=1,$B156=""),"",ROUND(ROUND(VLOOKUP(OP!$C$55,HL_3,$B156+1,0)*OP!$C$28,0)*IF(OR($V156=0,$V156=""),1,PYO),0))</f>
        <v>100000</v>
      </c>
      <c r="T156" s="567"/>
      <c r="U156" s="567"/>
      <c r="V156" s="566">
        <f ca="1">IF(OR($A$2=1,$B156=""),"",ROUND(ROUND(VLOOKUP(OP!$C$55,HL_3,$B156+1,0)*OP!$C$28,0)*IF(OR(ROUND(VLOOKUP(OP!$C$55,HL_3,$B156+1,0)*OP!$C$28,0)*PY!$C$4&lt;PY!$D$5,ROUND(VLOOKUP(OP!$C$55,HL_3,$B156+1,0)*OP!$C$28,0)*PY!$C$4*PYR&lt;PY!$C$5),0,PYY)*PYR,0))</f>
        <v>0</v>
      </c>
      <c r="W156" s="568"/>
      <c r="X156" s="22"/>
    </row>
    <row r="157" spans="1:24" s="21" customFormat="1" ht="14.1" customHeight="1">
      <c r="B157" s="481">
        <f ca="1">IF(OR(C156&gt;=OP!F$57,C156=""),"",IF(C156+1&gt;OP!$F$57,OP!$F$57+1-$B$23,B156+1))</f>
        <v>24</v>
      </c>
      <c r="C157" s="481">
        <f ca="1">IF(OR($A$2=1,MAX($C$134:C156)&gt;=OP!$F$57),"",C156+(B157-B156))</f>
        <v>23</v>
      </c>
      <c r="D157" s="566">
        <f ca="1">IF(OR($A$2=1,$B157=""),"",ROUND(ROUND(VLOOKUP(OP!$C$55,HL_1,$B157+1,0)*OP!$C$28,0)*IF(OR($G157=0,$G157=""),1,PYO),0))</f>
        <v>50668</v>
      </c>
      <c r="E157" s="567"/>
      <c r="F157" s="567"/>
      <c r="G157" s="566">
        <f ca="1">IF(OR($A$2=1,$B157=""),"",ROUND(ROUND(VLOOKUP(OP!$C$55,HL_1,$B157+1,0)*OP!$C$28,0)*IF(OR(ROUND(VLOOKUP(OP!$C$55,HL_1,$B157+1,0)*OP!$C$28,0)*PY!$C$4&lt;PY!$D$5,ROUND(VLOOKUP(OP!$C$55,HL_1,$B157+1,0)*OP!$C$28,0)*PY!$C$4*PYR&lt;PY!$C$5),0,PYY)*PYR,0))</f>
        <v>0</v>
      </c>
      <c r="H157" s="568"/>
      <c r="I157" s="566">
        <f ca="1">IF(OR($A$2=1,$B157=""),"",ROUND(ROUND(VLOOKUP(OP!$C$55,HL_2,$B157+1,0)*OP!$C$28,0)*IF(OR($L157=0,$L157=""),1,PYO),0))</f>
        <v>100000</v>
      </c>
      <c r="J157" s="567"/>
      <c r="K157" s="567"/>
      <c r="L157" s="566">
        <f ca="1">IF(OR($A$2=1,$B157=""),"",ROUND(ROUND(VLOOKUP(OP!$C$55,HL_2,$B157+1,0)*OP!$C$28,0)*IF(OR(ROUND(VLOOKUP(OP!$C$55,HL_2,$B157+1,0)*OP!$C$28,0)*PY!$C$4&lt;PY!$D$5,ROUND(VLOOKUP(OP!$C$55,HL_2,$B157+1,0)*OP!$C$28,0)*PY!$C$4*PYR&lt;PY!$C$5),0,PYY)*PYR,0))</f>
        <v>0</v>
      </c>
      <c r="M157" s="568"/>
      <c r="N157" s="566">
        <f ca="1">IF(OR($A$2=1,$B157=""),"",ROUND((ROUND(VLOOKUP(OP!$C$55,HL_2,$B157+1,0)*OP!$C$28,0)+ROUND(OP!$C$28*10000*0.2,0))*IF(OR($Q157=0,$Q157=""),1,PYO),0))</f>
        <v>120000</v>
      </c>
      <c r="O157" s="567"/>
      <c r="P157" s="567"/>
      <c r="Q157" s="566">
        <f ca="1">IF(OR($A$2=1,$B157=""),"",ROUND((ROUND(VLOOKUP(OP!$C$55,HL_2,$B157+1,0)*OP!$C$28,0)+ROUND(OP!$C$28*10000*0.2,0))*IF(OR((ROUND(VLOOKUP(OP!$C$55,HL_2,$B157+1,0)*OP!$C$28,0)+ROUND(OP!$C$28*10000*0.2,0))*PY!$C$4&lt;PY!$D$5,(ROUND(VLOOKUP(OP!$C$55,HL_2,$B157+1,0)*OP!$C$28,0)+ROUND(OP!$C$28*10000*0.2,0))*PY!$C$4*PYR&lt;PY!$C$5),0,PYY)*PYR,0))</f>
        <v>0</v>
      </c>
      <c r="R157" s="568"/>
      <c r="S157" s="566">
        <f ca="1">IF(OR($A$2=1,$B157=""),"",ROUND(ROUND(VLOOKUP(OP!$C$55,HL_3,$B157+1,0)*OP!$C$28,0)*IF(OR($V157=0,$V157=""),1,PYO),0))</f>
        <v>100000</v>
      </c>
      <c r="T157" s="567"/>
      <c r="U157" s="567"/>
      <c r="V157" s="566">
        <f ca="1">IF(OR($A$2=1,$B157=""),"",ROUND(ROUND(VLOOKUP(OP!$C$55,HL_3,$B157+1,0)*OP!$C$28,0)*IF(OR(ROUND(VLOOKUP(OP!$C$55,HL_3,$B157+1,0)*OP!$C$28,0)*PY!$C$4&lt;PY!$D$5,ROUND(VLOOKUP(OP!$C$55,HL_3,$B157+1,0)*OP!$C$28,0)*PY!$C$4*PYR&lt;PY!$C$5),0,PYY)*PYR,0))</f>
        <v>0</v>
      </c>
      <c r="W157" s="568"/>
      <c r="X157" s="22"/>
    </row>
    <row r="158" spans="1:24" s="21" customFormat="1" ht="14.1" customHeight="1">
      <c r="B158" s="481">
        <f ca="1">IF(OR(C157&gt;=OP!F$57,C157=""),"",IF(C157+1&gt;OP!$F$57,OP!$F$57+1-$B$23,B157+1))</f>
        <v>25</v>
      </c>
      <c r="C158" s="481">
        <f ca="1">IF(OR($A$2=1,MAX($C$134:C157)&gt;=OP!$F$57),"",C157+(B158-B157))</f>
        <v>24</v>
      </c>
      <c r="D158" s="566">
        <f ca="1">IF(OR($A$2=1,$B158=""),"",ROUND(ROUND(VLOOKUP(OP!$C$55,HL_1,$B158+1,0)*OP!$C$28,0)*IF(OR($G158=0,$G158=""),1,PYO),0))</f>
        <v>50668</v>
      </c>
      <c r="E158" s="567"/>
      <c r="F158" s="567"/>
      <c r="G158" s="566">
        <f ca="1">IF(OR($A$2=1,$B158=""),"",ROUND(ROUND(VLOOKUP(OP!$C$55,HL_1,$B158+1,0)*OP!$C$28,0)*IF(OR(ROUND(VLOOKUP(OP!$C$55,HL_1,$B158+1,0)*OP!$C$28,0)*PY!$C$4&lt;PY!$D$5,ROUND(VLOOKUP(OP!$C$55,HL_1,$B158+1,0)*OP!$C$28,0)*PY!$C$4*PYR&lt;PY!$C$5),0,PYY)*PYR,0))</f>
        <v>0</v>
      </c>
      <c r="H158" s="568"/>
      <c r="I158" s="566">
        <f ca="1">IF(OR($A$2=1,$B158=""),"",ROUND(ROUND(VLOOKUP(OP!$C$55,HL_2,$B158+1,0)*OP!$C$28,0)*IF(OR($L158=0,$L158=""),1,PYO),0))</f>
        <v>100000</v>
      </c>
      <c r="J158" s="567"/>
      <c r="K158" s="567"/>
      <c r="L158" s="566">
        <f ca="1">IF(OR($A$2=1,$B158=""),"",ROUND(ROUND(VLOOKUP(OP!$C$55,HL_2,$B158+1,0)*OP!$C$28,0)*IF(OR(ROUND(VLOOKUP(OP!$C$55,HL_2,$B158+1,0)*OP!$C$28,0)*PY!$C$4&lt;PY!$D$5,ROUND(VLOOKUP(OP!$C$55,HL_2,$B158+1,0)*OP!$C$28,0)*PY!$C$4*PYR&lt;PY!$C$5),0,PYY)*PYR,0))</f>
        <v>0</v>
      </c>
      <c r="M158" s="568"/>
      <c r="N158" s="566">
        <f ca="1">IF(OR($A$2=1,$B158=""),"",ROUND((ROUND(VLOOKUP(OP!$C$55,HL_2,$B158+1,0)*OP!$C$28,0)+ROUND(OP!$C$28*10000*0.2,0))*IF(OR($Q158=0,$Q158=""),1,PYO),0))</f>
        <v>120000</v>
      </c>
      <c r="O158" s="567"/>
      <c r="P158" s="567"/>
      <c r="Q158" s="566">
        <f ca="1">IF(OR($A$2=1,$B158=""),"",ROUND((ROUND(VLOOKUP(OP!$C$55,HL_2,$B158+1,0)*OP!$C$28,0)+ROUND(OP!$C$28*10000*0.2,0))*IF(OR((ROUND(VLOOKUP(OP!$C$55,HL_2,$B158+1,0)*OP!$C$28,0)+ROUND(OP!$C$28*10000*0.2,0))*PY!$C$4&lt;PY!$D$5,(ROUND(VLOOKUP(OP!$C$55,HL_2,$B158+1,0)*OP!$C$28,0)+ROUND(OP!$C$28*10000*0.2,0))*PY!$C$4*PYR&lt;PY!$C$5),0,PYY)*PYR,0))</f>
        <v>0</v>
      </c>
      <c r="R158" s="568"/>
      <c r="S158" s="566">
        <f ca="1">IF(OR($A$2=1,$B158=""),"",ROUND(ROUND(VLOOKUP(OP!$C$55,HL_3,$B158+1,0)*OP!$C$28,0)*IF(OR($V158=0,$V158=""),1,PYO),0))</f>
        <v>100000</v>
      </c>
      <c r="T158" s="567"/>
      <c r="U158" s="567"/>
      <c r="V158" s="566">
        <f ca="1">IF(OR($A$2=1,$B158=""),"",ROUND(ROUND(VLOOKUP(OP!$C$55,HL_3,$B158+1,0)*OP!$C$28,0)*IF(OR(ROUND(VLOOKUP(OP!$C$55,HL_3,$B158+1,0)*OP!$C$28,0)*PY!$C$4&lt;PY!$D$5,ROUND(VLOOKUP(OP!$C$55,HL_3,$B158+1,0)*OP!$C$28,0)*PY!$C$4*PYR&lt;PY!$C$5),0,PYY)*PYR,0))</f>
        <v>0</v>
      </c>
      <c r="W158" s="568"/>
      <c r="X158" s="22"/>
    </row>
    <row r="159" spans="1:24" s="21" customFormat="1" ht="14.1" customHeight="1">
      <c r="B159" s="481">
        <f ca="1">IF(OR(C158&gt;=OP!F$57,C158=""),"",IF(C158+1&gt;OP!$F$57,OP!$F$57+1-$B$23,B158+1))</f>
        <v>26</v>
      </c>
      <c r="C159" s="481">
        <f ca="1">IF(OR($A$2=1,MAX($C$134:C158)&gt;=OP!$F$57),"",C158+(B159-B158))</f>
        <v>25</v>
      </c>
      <c r="D159" s="566">
        <f ca="1">IF(OR($A$2=1,$B159=""),"",ROUND(ROUND(VLOOKUP(OP!$C$55,HL_1,$B159+1,0)*OP!$C$28,0)*IF(OR($G159=0,$G159=""),1,PYO),0))</f>
        <v>50668</v>
      </c>
      <c r="E159" s="567"/>
      <c r="F159" s="567"/>
      <c r="G159" s="566">
        <f ca="1">IF(OR($A$2=1,$B159=""),"",ROUND(ROUND(VLOOKUP(OP!$C$55,HL_1,$B159+1,0)*OP!$C$28,0)*IF(OR(ROUND(VLOOKUP(OP!$C$55,HL_1,$B159+1,0)*OP!$C$28,0)*PY!$C$4&lt;PY!$D$5,ROUND(VLOOKUP(OP!$C$55,HL_1,$B159+1,0)*OP!$C$28,0)*PY!$C$4*PYR&lt;PY!$C$5),0,PYY)*PYR,0))</f>
        <v>0</v>
      </c>
      <c r="H159" s="568"/>
      <c r="I159" s="566">
        <f ca="1">IF(OR($A$2=1,$B159=""),"",ROUND(ROUND(VLOOKUP(OP!$C$55,HL_2,$B159+1,0)*OP!$C$28,0)*IF(OR($L159=0,$L159=""),1,PYO),0))</f>
        <v>100000</v>
      </c>
      <c r="J159" s="567"/>
      <c r="K159" s="567"/>
      <c r="L159" s="566">
        <f ca="1">IF(OR($A$2=1,$B159=""),"",ROUND(ROUND(VLOOKUP(OP!$C$55,HL_2,$B159+1,0)*OP!$C$28,0)*IF(OR(ROUND(VLOOKUP(OP!$C$55,HL_2,$B159+1,0)*OP!$C$28,0)*PY!$C$4&lt;PY!$D$5,ROUND(VLOOKUP(OP!$C$55,HL_2,$B159+1,0)*OP!$C$28,0)*PY!$C$4*PYR&lt;PY!$C$5),0,PYY)*PYR,0))</f>
        <v>0</v>
      </c>
      <c r="M159" s="568"/>
      <c r="N159" s="566">
        <f ca="1">IF(OR($A$2=1,$B159=""),"",ROUND((ROUND(VLOOKUP(OP!$C$55,HL_2,$B159+1,0)*OP!$C$28,0)+ROUND(OP!$C$28*10000*0.2,0))*IF(OR($Q159=0,$Q159=""),1,PYO),0))</f>
        <v>120000</v>
      </c>
      <c r="O159" s="567"/>
      <c r="P159" s="567"/>
      <c r="Q159" s="566">
        <f ca="1">IF(OR($A$2=1,$B159=""),"",ROUND((ROUND(VLOOKUP(OP!$C$55,HL_2,$B159+1,0)*OP!$C$28,0)+ROUND(OP!$C$28*10000*0.2,0))*IF(OR((ROUND(VLOOKUP(OP!$C$55,HL_2,$B159+1,0)*OP!$C$28,0)+ROUND(OP!$C$28*10000*0.2,0))*PY!$C$4&lt;PY!$D$5,(ROUND(VLOOKUP(OP!$C$55,HL_2,$B159+1,0)*OP!$C$28,0)+ROUND(OP!$C$28*10000*0.2,0))*PY!$C$4*PYR&lt;PY!$C$5),0,PYY)*PYR,0))</f>
        <v>0</v>
      </c>
      <c r="R159" s="568"/>
      <c r="S159" s="566">
        <f ca="1">IF(OR($A$2=1,$B159=""),"",ROUND(ROUND(VLOOKUP(OP!$C$55,HL_3,$B159+1,0)*OP!$C$28,0)*IF(OR($V159=0,$V159=""),1,PYO),0))</f>
        <v>100000</v>
      </c>
      <c r="T159" s="567"/>
      <c r="U159" s="567"/>
      <c r="V159" s="566">
        <f ca="1">IF(OR($A$2=1,$B159=""),"",ROUND(ROUND(VLOOKUP(OP!$C$55,HL_3,$B159+1,0)*OP!$C$28,0)*IF(OR(ROUND(VLOOKUP(OP!$C$55,HL_3,$B159+1,0)*OP!$C$28,0)*PY!$C$4&lt;PY!$D$5,ROUND(VLOOKUP(OP!$C$55,HL_3,$B159+1,0)*OP!$C$28,0)*PY!$C$4*PYR&lt;PY!$C$5),0,PYY)*PYR,0))</f>
        <v>0</v>
      </c>
      <c r="W159" s="568"/>
      <c r="X159" s="22"/>
    </row>
    <row r="160" spans="1:24" s="21" customFormat="1" ht="14.1" customHeight="1">
      <c r="B160" s="481">
        <f ca="1">IF(OR(C159&gt;=OP!F$57,C159=""),"",IF(C159+1&gt;OP!$F$57,OP!$F$57+1-$B$23,B159+1))</f>
        <v>27</v>
      </c>
      <c r="C160" s="481">
        <f ca="1">IF(OR($A$2=1,MAX($C$134:C159)&gt;=OP!$F$57),"",C159+(B160-B159))</f>
        <v>26</v>
      </c>
      <c r="D160" s="566">
        <f ca="1">IF(OR($A$2=1,$B160=""),"",ROUND(ROUND(VLOOKUP(OP!$C$55,HL_1,$B160+1,0)*OP!$C$28,0)*IF(OR($G160=0,$G160=""),1,PYO),0))</f>
        <v>50668</v>
      </c>
      <c r="E160" s="567"/>
      <c r="F160" s="567"/>
      <c r="G160" s="566">
        <f ca="1">IF(OR($A$2=1,$B160=""),"",ROUND(ROUND(VLOOKUP(OP!$C$55,HL_1,$B160+1,0)*OP!$C$28,0)*IF(OR(ROUND(VLOOKUP(OP!$C$55,HL_1,$B160+1,0)*OP!$C$28,0)*PY!$C$4&lt;PY!$D$5,ROUND(VLOOKUP(OP!$C$55,HL_1,$B160+1,0)*OP!$C$28,0)*PY!$C$4*PYR&lt;PY!$C$5),0,PYY)*PYR,0))</f>
        <v>0</v>
      </c>
      <c r="H160" s="568"/>
      <c r="I160" s="566">
        <f ca="1">IF(OR($A$2=1,$B160=""),"",ROUND(ROUND(VLOOKUP(OP!$C$55,HL_2,$B160+1,0)*OP!$C$28,0)*IF(OR($L160=0,$L160=""),1,PYO),0))</f>
        <v>100000</v>
      </c>
      <c r="J160" s="567"/>
      <c r="K160" s="567"/>
      <c r="L160" s="566">
        <f ca="1">IF(OR($A$2=1,$B160=""),"",ROUND(ROUND(VLOOKUP(OP!$C$55,HL_2,$B160+1,0)*OP!$C$28,0)*IF(OR(ROUND(VLOOKUP(OP!$C$55,HL_2,$B160+1,0)*OP!$C$28,0)*PY!$C$4&lt;PY!$D$5,ROUND(VLOOKUP(OP!$C$55,HL_2,$B160+1,0)*OP!$C$28,0)*PY!$C$4*PYR&lt;PY!$C$5),0,PYY)*PYR,0))</f>
        <v>0</v>
      </c>
      <c r="M160" s="568"/>
      <c r="N160" s="566">
        <f ca="1">IF(OR($A$2=1,$B160=""),"",ROUND((ROUND(VLOOKUP(OP!$C$55,HL_2,$B160+1,0)*OP!$C$28,0)+ROUND(OP!$C$28*10000*0.2,0))*IF(OR($Q160=0,$Q160=""),1,PYO),0))</f>
        <v>120000</v>
      </c>
      <c r="O160" s="567"/>
      <c r="P160" s="567"/>
      <c r="Q160" s="566">
        <f ca="1">IF(OR($A$2=1,$B160=""),"",ROUND((ROUND(VLOOKUP(OP!$C$55,HL_2,$B160+1,0)*OP!$C$28,0)+ROUND(OP!$C$28*10000*0.2,0))*IF(OR((ROUND(VLOOKUP(OP!$C$55,HL_2,$B160+1,0)*OP!$C$28,0)+ROUND(OP!$C$28*10000*0.2,0))*PY!$C$4&lt;PY!$D$5,(ROUND(VLOOKUP(OP!$C$55,HL_2,$B160+1,0)*OP!$C$28,0)+ROUND(OP!$C$28*10000*0.2,0))*PY!$C$4*PYR&lt;PY!$C$5),0,PYY)*PYR,0))</f>
        <v>0</v>
      </c>
      <c r="R160" s="568"/>
      <c r="S160" s="566">
        <f ca="1">IF(OR($A$2=1,$B160=""),"",ROUND(ROUND(VLOOKUP(OP!$C$55,HL_3,$B160+1,0)*OP!$C$28,0)*IF(OR($V160=0,$V160=""),1,PYO),0))</f>
        <v>100000</v>
      </c>
      <c r="T160" s="567"/>
      <c r="U160" s="567"/>
      <c r="V160" s="566">
        <f ca="1">IF(OR($A$2=1,$B160=""),"",ROUND(ROUND(VLOOKUP(OP!$C$55,HL_3,$B160+1,0)*OP!$C$28,0)*IF(OR(ROUND(VLOOKUP(OP!$C$55,HL_3,$B160+1,0)*OP!$C$28,0)*PY!$C$4&lt;PY!$D$5,ROUND(VLOOKUP(OP!$C$55,HL_3,$B160+1,0)*OP!$C$28,0)*PY!$C$4*PYR&lt;PY!$C$5),0,PYY)*PYR,0))</f>
        <v>0</v>
      </c>
      <c r="W160" s="568"/>
      <c r="X160" s="22"/>
    </row>
    <row r="161" spans="2:24" s="21" customFormat="1" ht="14.1" customHeight="1">
      <c r="B161" s="481">
        <f ca="1">IF(OR(C160&gt;=OP!F$57,C160=""),"",IF(C160+1&gt;OP!$F$57,OP!$F$57+1-$B$23,B160+1))</f>
        <v>28</v>
      </c>
      <c r="C161" s="481">
        <f ca="1">IF(OR($A$2=1,MAX($C$134:C160)&gt;=OP!$F$57),"",C160+(B161-B160))</f>
        <v>27</v>
      </c>
      <c r="D161" s="566">
        <f ca="1">IF(OR($A$2=1,$B161=""),"",ROUND(ROUND(VLOOKUP(OP!$C$55,HL_1,$B161+1,0)*OP!$C$28,0)*IF(OR($G161=0,$G161=""),1,PYO),0))</f>
        <v>50668</v>
      </c>
      <c r="E161" s="567"/>
      <c r="F161" s="567"/>
      <c r="G161" s="566">
        <f ca="1">IF(OR($A$2=1,$B161=""),"",ROUND(ROUND(VLOOKUP(OP!$C$55,HL_1,$B161+1,0)*OP!$C$28,0)*IF(OR(ROUND(VLOOKUP(OP!$C$55,HL_1,$B161+1,0)*OP!$C$28,0)*PY!$C$4&lt;PY!$D$5,ROUND(VLOOKUP(OP!$C$55,HL_1,$B161+1,0)*OP!$C$28,0)*PY!$C$4*PYR&lt;PY!$C$5),0,PYY)*PYR,0))</f>
        <v>0</v>
      </c>
      <c r="H161" s="568"/>
      <c r="I161" s="566">
        <f ca="1">IF(OR($A$2=1,$B161=""),"",ROUND(ROUND(VLOOKUP(OP!$C$55,HL_2,$B161+1,0)*OP!$C$28,0)*IF(OR($L161=0,$L161=""),1,PYO),0))</f>
        <v>100000</v>
      </c>
      <c r="J161" s="567"/>
      <c r="K161" s="567"/>
      <c r="L161" s="566">
        <f ca="1">IF(OR($A$2=1,$B161=""),"",ROUND(ROUND(VLOOKUP(OP!$C$55,HL_2,$B161+1,0)*OP!$C$28,0)*IF(OR(ROUND(VLOOKUP(OP!$C$55,HL_2,$B161+1,0)*OP!$C$28,0)*PY!$C$4&lt;PY!$D$5,ROUND(VLOOKUP(OP!$C$55,HL_2,$B161+1,0)*OP!$C$28,0)*PY!$C$4*PYR&lt;PY!$C$5),0,PYY)*PYR,0))</f>
        <v>0</v>
      </c>
      <c r="M161" s="568"/>
      <c r="N161" s="566">
        <f ca="1">IF(OR($A$2=1,$B161=""),"",ROUND((ROUND(VLOOKUP(OP!$C$55,HL_2,$B161+1,0)*OP!$C$28,0)+ROUND(OP!$C$28*10000*0.2,0))*IF(OR($Q161=0,$Q161=""),1,PYO),0))</f>
        <v>120000</v>
      </c>
      <c r="O161" s="567"/>
      <c r="P161" s="567"/>
      <c r="Q161" s="566">
        <f ca="1">IF(OR($A$2=1,$B161=""),"",ROUND((ROUND(VLOOKUP(OP!$C$55,HL_2,$B161+1,0)*OP!$C$28,0)+ROUND(OP!$C$28*10000*0.2,0))*IF(OR((ROUND(VLOOKUP(OP!$C$55,HL_2,$B161+1,0)*OP!$C$28,0)+ROUND(OP!$C$28*10000*0.2,0))*PY!$C$4&lt;PY!$D$5,(ROUND(VLOOKUP(OP!$C$55,HL_2,$B161+1,0)*OP!$C$28,0)+ROUND(OP!$C$28*10000*0.2,0))*PY!$C$4*PYR&lt;PY!$C$5),0,PYY)*PYR,0))</f>
        <v>0</v>
      </c>
      <c r="R161" s="568"/>
      <c r="S161" s="566">
        <f ca="1">IF(OR($A$2=1,$B161=""),"",ROUND(ROUND(VLOOKUP(OP!$C$55,HL_3,$B161+1,0)*OP!$C$28,0)*IF(OR($V161=0,$V161=""),1,PYO),0))</f>
        <v>100000</v>
      </c>
      <c r="T161" s="567"/>
      <c r="U161" s="567"/>
      <c r="V161" s="566">
        <f ca="1">IF(OR($A$2=1,$B161=""),"",ROUND(ROUND(VLOOKUP(OP!$C$55,HL_3,$B161+1,0)*OP!$C$28,0)*IF(OR(ROUND(VLOOKUP(OP!$C$55,HL_3,$B161+1,0)*OP!$C$28,0)*PY!$C$4&lt;PY!$D$5,ROUND(VLOOKUP(OP!$C$55,HL_3,$B161+1,0)*OP!$C$28,0)*PY!$C$4*PYR&lt;PY!$C$5),0,PYY)*PYR,0))</f>
        <v>0</v>
      </c>
      <c r="W161" s="568"/>
      <c r="X161" s="22"/>
    </row>
    <row r="162" spans="2:24" s="21" customFormat="1" ht="14.1" customHeight="1">
      <c r="B162" s="481">
        <f ca="1">IF(OR(C161&gt;=OP!F$57,C161=""),"",IF(C161+1&gt;OP!$F$57,OP!$F$57+1-$B$23,B161+1))</f>
        <v>29</v>
      </c>
      <c r="C162" s="481">
        <f ca="1">IF(OR($A$2=1,MAX($C$134:C161)&gt;=OP!$F$57),"",C161+(B162-B161))</f>
        <v>28</v>
      </c>
      <c r="D162" s="566">
        <f ca="1">IF(OR($A$2=1,$B162=""),"",ROUND(ROUND(VLOOKUP(OP!$C$55,HL_1,$B162+1,0)*OP!$C$28,0)*IF(OR($G162=0,$G162=""),1,PYO),0))</f>
        <v>50668</v>
      </c>
      <c r="E162" s="567"/>
      <c r="F162" s="567"/>
      <c r="G162" s="566">
        <f ca="1">IF(OR($A$2=1,$B162=""),"",ROUND(ROUND(VLOOKUP(OP!$C$55,HL_1,$B162+1,0)*OP!$C$28,0)*IF(OR(ROUND(VLOOKUP(OP!$C$55,HL_1,$B162+1,0)*OP!$C$28,0)*PY!$C$4&lt;PY!$D$5,ROUND(VLOOKUP(OP!$C$55,HL_1,$B162+1,0)*OP!$C$28,0)*PY!$C$4*PYR&lt;PY!$C$5),0,PYY)*PYR,0))</f>
        <v>0</v>
      </c>
      <c r="H162" s="568"/>
      <c r="I162" s="566">
        <f ca="1">IF(OR($A$2=1,$B162=""),"",ROUND(ROUND(VLOOKUP(OP!$C$55,HL_2,$B162+1,0)*OP!$C$28,0)*IF(OR($L162=0,$L162=""),1,PYO),0))</f>
        <v>100000</v>
      </c>
      <c r="J162" s="567"/>
      <c r="K162" s="567"/>
      <c r="L162" s="566">
        <f ca="1">IF(OR($A$2=1,$B162=""),"",ROUND(ROUND(VLOOKUP(OP!$C$55,HL_2,$B162+1,0)*OP!$C$28,0)*IF(OR(ROUND(VLOOKUP(OP!$C$55,HL_2,$B162+1,0)*OP!$C$28,0)*PY!$C$4&lt;PY!$D$5,ROUND(VLOOKUP(OP!$C$55,HL_2,$B162+1,0)*OP!$C$28,0)*PY!$C$4*PYR&lt;PY!$C$5),0,PYY)*PYR,0))</f>
        <v>0</v>
      </c>
      <c r="M162" s="568"/>
      <c r="N162" s="566">
        <f ca="1">IF(OR($A$2=1,$B162=""),"",ROUND((ROUND(VLOOKUP(OP!$C$55,HL_2,$B162+1,0)*OP!$C$28,0)+ROUND(OP!$C$28*10000*0.2,0))*IF(OR($Q162=0,$Q162=""),1,PYO),0))</f>
        <v>120000</v>
      </c>
      <c r="O162" s="567"/>
      <c r="P162" s="567"/>
      <c r="Q162" s="566">
        <f ca="1">IF(OR($A$2=1,$B162=""),"",ROUND((ROUND(VLOOKUP(OP!$C$55,HL_2,$B162+1,0)*OP!$C$28,0)+ROUND(OP!$C$28*10000*0.2,0))*IF(OR((ROUND(VLOOKUP(OP!$C$55,HL_2,$B162+1,0)*OP!$C$28,0)+ROUND(OP!$C$28*10000*0.2,0))*PY!$C$4&lt;PY!$D$5,(ROUND(VLOOKUP(OP!$C$55,HL_2,$B162+1,0)*OP!$C$28,0)+ROUND(OP!$C$28*10000*0.2,0))*PY!$C$4*PYR&lt;PY!$C$5),0,PYY)*PYR,0))</f>
        <v>0</v>
      </c>
      <c r="R162" s="568"/>
      <c r="S162" s="566">
        <f ca="1">IF(OR($A$2=1,$B162=""),"",ROUND(ROUND(VLOOKUP(OP!$C$55,HL_3,$B162+1,0)*OP!$C$28,0)*IF(OR($V162=0,$V162=""),1,PYO),0))</f>
        <v>100000</v>
      </c>
      <c r="T162" s="567"/>
      <c r="U162" s="567"/>
      <c r="V162" s="566">
        <f ca="1">IF(OR($A$2=1,$B162=""),"",ROUND(ROUND(VLOOKUP(OP!$C$55,HL_3,$B162+1,0)*OP!$C$28,0)*IF(OR(ROUND(VLOOKUP(OP!$C$55,HL_3,$B162+1,0)*OP!$C$28,0)*PY!$C$4&lt;PY!$D$5,ROUND(VLOOKUP(OP!$C$55,HL_3,$B162+1,0)*OP!$C$28,0)*PY!$C$4*PYR&lt;PY!$C$5),0,PYY)*PYR,0))</f>
        <v>0</v>
      </c>
      <c r="W162" s="568"/>
      <c r="X162" s="22"/>
    </row>
    <row r="163" spans="2:24" s="21" customFormat="1" ht="14.1" customHeight="1">
      <c r="B163" s="481">
        <f ca="1">IF(OR(C162&gt;=OP!F$57,C162=""),"",IF(C162+1&gt;OP!$F$57,OP!$F$57+1-$B$23,B162+1))</f>
        <v>30</v>
      </c>
      <c r="C163" s="481">
        <f ca="1">IF(OR($A$2=1,MAX($C$134:C162)&gt;=OP!$F$57),"",C162+(B163-B162))</f>
        <v>29</v>
      </c>
      <c r="D163" s="566">
        <f ca="1">IF(OR($A$2=1,$B163=""),"",ROUND(ROUND(VLOOKUP(OP!$C$55,HL_1,$B163+1,0)*OP!$C$28,0)*IF(OR($G163=0,$G163=""),1,PYO),0))</f>
        <v>50668</v>
      </c>
      <c r="E163" s="567"/>
      <c r="F163" s="567"/>
      <c r="G163" s="566">
        <f ca="1">IF(OR($A$2=1,$B163=""),"",ROUND(ROUND(VLOOKUP(OP!$C$55,HL_1,$B163+1,0)*OP!$C$28,0)*IF(OR(ROUND(VLOOKUP(OP!$C$55,HL_1,$B163+1,0)*OP!$C$28,0)*PY!$C$4&lt;PY!$D$5,ROUND(VLOOKUP(OP!$C$55,HL_1,$B163+1,0)*OP!$C$28,0)*PY!$C$4*PYR&lt;PY!$C$5),0,PYY)*PYR,0))</f>
        <v>0</v>
      </c>
      <c r="H163" s="568"/>
      <c r="I163" s="566">
        <f ca="1">IF(OR($A$2=1,$B163=""),"",ROUND(ROUND(VLOOKUP(OP!$C$55,HL_2,$B163+1,0)*OP!$C$28,0)*IF(OR($L163=0,$L163=""),1,PYO),0))</f>
        <v>100000</v>
      </c>
      <c r="J163" s="567"/>
      <c r="K163" s="567"/>
      <c r="L163" s="566">
        <f ca="1">IF(OR($A$2=1,$B163=""),"",ROUND(ROUND(VLOOKUP(OP!$C$55,HL_2,$B163+1,0)*OP!$C$28,0)*IF(OR(ROUND(VLOOKUP(OP!$C$55,HL_2,$B163+1,0)*OP!$C$28,0)*PY!$C$4&lt;PY!$D$5,ROUND(VLOOKUP(OP!$C$55,HL_2,$B163+1,0)*OP!$C$28,0)*PY!$C$4*PYR&lt;PY!$C$5),0,PYY)*PYR,0))</f>
        <v>0</v>
      </c>
      <c r="M163" s="568"/>
      <c r="N163" s="566">
        <f ca="1">IF(OR($A$2=1,$B163=""),"",ROUND((ROUND(VLOOKUP(OP!$C$55,HL_2,$B163+1,0)*OP!$C$28,0)+ROUND(OP!$C$28*10000*0.2,0))*IF(OR($Q163=0,$Q163=""),1,PYO),0))</f>
        <v>120000</v>
      </c>
      <c r="O163" s="567"/>
      <c r="P163" s="567"/>
      <c r="Q163" s="566">
        <f ca="1">IF(OR($A$2=1,$B163=""),"",ROUND((ROUND(VLOOKUP(OP!$C$55,HL_2,$B163+1,0)*OP!$C$28,0)+ROUND(OP!$C$28*10000*0.2,0))*IF(OR((ROUND(VLOOKUP(OP!$C$55,HL_2,$B163+1,0)*OP!$C$28,0)+ROUND(OP!$C$28*10000*0.2,0))*PY!$C$4&lt;PY!$D$5,(ROUND(VLOOKUP(OP!$C$55,HL_2,$B163+1,0)*OP!$C$28,0)+ROUND(OP!$C$28*10000*0.2,0))*PY!$C$4*PYR&lt;PY!$C$5),0,PYY)*PYR,0))</f>
        <v>0</v>
      </c>
      <c r="R163" s="568"/>
      <c r="S163" s="566">
        <f ca="1">IF(OR($A$2=1,$B163=""),"",ROUND(ROUND(VLOOKUP(OP!$C$55,HL_3,$B163+1,0)*OP!$C$28,0)*IF(OR($V163=0,$V163=""),1,PYO),0))</f>
        <v>100000</v>
      </c>
      <c r="T163" s="567"/>
      <c r="U163" s="567"/>
      <c r="V163" s="566">
        <f ca="1">IF(OR($A$2=1,$B163=""),"",ROUND(ROUND(VLOOKUP(OP!$C$55,HL_3,$B163+1,0)*OP!$C$28,0)*IF(OR(ROUND(VLOOKUP(OP!$C$55,HL_3,$B163+1,0)*OP!$C$28,0)*PY!$C$4&lt;PY!$D$5,ROUND(VLOOKUP(OP!$C$55,HL_3,$B163+1,0)*OP!$C$28,0)*PY!$C$4*PYR&lt;PY!$C$5),0,PYY)*PYR,0))</f>
        <v>0</v>
      </c>
      <c r="W163" s="568"/>
      <c r="X163" s="22"/>
    </row>
    <row r="164" spans="2:24" s="21" customFormat="1" ht="14.1" customHeight="1">
      <c r="B164" s="481">
        <f ca="1">IF(OR(C163&gt;=OP!F$57,C163=""),"",IF(C163+1&gt;OP!$F$57,OP!$F$57+1-$B$23,B163+1))</f>
        <v>31</v>
      </c>
      <c r="C164" s="481">
        <f ca="1">IF(OR($A$2=1,MAX($C$134:C163)&gt;=OP!$F$57),"",C163+(B164-B163))</f>
        <v>30</v>
      </c>
      <c r="D164" s="566">
        <f ca="1">IF(OR($A$2=1,$B164=""),"",ROUND(ROUND(VLOOKUP(OP!$C$55,HL_1,$B164+1,0)*OP!$C$28,0)*IF(OR($G164=0,$G164=""),1,PYO),0))</f>
        <v>50668</v>
      </c>
      <c r="E164" s="567"/>
      <c r="F164" s="567"/>
      <c r="G164" s="566">
        <f ca="1">IF(OR($A$2=1,$B164=""),"",ROUND(ROUND(VLOOKUP(OP!$C$55,HL_1,$B164+1,0)*OP!$C$28,0)*IF(OR(ROUND(VLOOKUP(OP!$C$55,HL_1,$B164+1,0)*OP!$C$28,0)*PY!$C$4&lt;PY!$D$5,ROUND(VLOOKUP(OP!$C$55,HL_1,$B164+1,0)*OP!$C$28,0)*PY!$C$4*PYR&lt;PY!$C$5),0,PYY)*PYR,0))</f>
        <v>0</v>
      </c>
      <c r="H164" s="568"/>
      <c r="I164" s="566">
        <f ca="1">IF(OR($A$2=1,$B164=""),"",ROUND(ROUND(VLOOKUP(OP!$C$55,HL_2,$B164+1,0)*OP!$C$28,0)*IF(OR($L164=0,$L164=""),1,PYO),0))</f>
        <v>100000</v>
      </c>
      <c r="J164" s="567"/>
      <c r="K164" s="567"/>
      <c r="L164" s="566">
        <f ca="1">IF(OR($A$2=1,$B164=""),"",ROUND(ROUND(VLOOKUP(OP!$C$55,HL_2,$B164+1,0)*OP!$C$28,0)*IF(OR(ROUND(VLOOKUP(OP!$C$55,HL_2,$B164+1,0)*OP!$C$28,0)*PY!$C$4&lt;PY!$D$5,ROUND(VLOOKUP(OP!$C$55,HL_2,$B164+1,0)*OP!$C$28,0)*PY!$C$4*PYR&lt;PY!$C$5),0,PYY)*PYR,0))</f>
        <v>0</v>
      </c>
      <c r="M164" s="568"/>
      <c r="N164" s="566">
        <f ca="1">IF(OR($A$2=1,$B164=""),"",ROUND((ROUND(VLOOKUP(OP!$C$55,HL_2,$B164+1,0)*OP!$C$28,0)+ROUND(OP!$C$28*10000*0.2,0))*IF(OR($Q164=0,$Q164=""),1,PYO),0))</f>
        <v>120000</v>
      </c>
      <c r="O164" s="567"/>
      <c r="P164" s="567"/>
      <c r="Q164" s="566">
        <f ca="1">IF(OR($A$2=1,$B164=""),"",ROUND((ROUND(VLOOKUP(OP!$C$55,HL_2,$B164+1,0)*OP!$C$28,0)+ROUND(OP!$C$28*10000*0.2,0))*IF(OR((ROUND(VLOOKUP(OP!$C$55,HL_2,$B164+1,0)*OP!$C$28,0)+ROUND(OP!$C$28*10000*0.2,0))*PY!$C$4&lt;PY!$D$5,(ROUND(VLOOKUP(OP!$C$55,HL_2,$B164+1,0)*OP!$C$28,0)+ROUND(OP!$C$28*10000*0.2,0))*PY!$C$4*PYR&lt;PY!$C$5),0,PYY)*PYR,0))</f>
        <v>0</v>
      </c>
      <c r="R164" s="568"/>
      <c r="S164" s="566">
        <f ca="1">IF(OR($A$2=1,$B164=""),"",ROUND(ROUND(VLOOKUP(OP!$C$55,HL_3,$B164+1,0)*OP!$C$28,0)*IF(OR($V164=0,$V164=""),1,PYO),0))</f>
        <v>100000</v>
      </c>
      <c r="T164" s="567"/>
      <c r="U164" s="567"/>
      <c r="V164" s="566">
        <f ca="1">IF(OR($A$2=1,$B164=""),"",ROUND(ROUND(VLOOKUP(OP!$C$55,HL_3,$B164+1,0)*OP!$C$28,0)*IF(OR(ROUND(VLOOKUP(OP!$C$55,HL_3,$B164+1,0)*OP!$C$28,0)*PY!$C$4&lt;PY!$D$5,ROUND(VLOOKUP(OP!$C$55,HL_3,$B164+1,0)*OP!$C$28,0)*PY!$C$4*PYR&lt;PY!$C$5),0,PYY)*PYR,0))</f>
        <v>0</v>
      </c>
      <c r="W164" s="568"/>
      <c r="X164" s="22"/>
    </row>
    <row r="165" spans="2:24" s="21" customFormat="1" ht="14.1" customHeight="1">
      <c r="B165" s="481">
        <f ca="1">IF(OR(C164&gt;=OP!F$57,C164=""),"",IF(C164+1&gt;OP!$F$57,OP!$F$57+1-$B$23,B164+1))</f>
        <v>32</v>
      </c>
      <c r="C165" s="481">
        <f ca="1">IF(OR($A$2=1,MAX($C$134:C164)&gt;=OP!$F$57),"",C164+(B165-B164))</f>
        <v>31</v>
      </c>
      <c r="D165" s="566">
        <f ca="1">IF(OR($A$2=1,$B165=""),"",ROUND(ROUND(VLOOKUP(OP!$C$55,HL_1,$B165+1,0)*OP!$C$28,0)*IF(OR($G165=0,$G165=""),1,PYO),0))</f>
        <v>50668</v>
      </c>
      <c r="E165" s="567"/>
      <c r="F165" s="567"/>
      <c r="G165" s="566">
        <f ca="1">IF(OR($A$2=1,$B165=""),"",ROUND(ROUND(VLOOKUP(OP!$C$55,HL_1,$B165+1,0)*OP!$C$28,0)*IF(OR(ROUND(VLOOKUP(OP!$C$55,HL_1,$B165+1,0)*OP!$C$28,0)*PY!$C$4&lt;PY!$D$5,ROUND(VLOOKUP(OP!$C$55,HL_1,$B165+1,0)*OP!$C$28,0)*PY!$C$4*PYR&lt;PY!$C$5),0,PYY)*PYR,0))</f>
        <v>0</v>
      </c>
      <c r="H165" s="568"/>
      <c r="I165" s="566">
        <f ca="1">IF(OR($A$2=1,$B165=""),"",ROUND(ROUND(VLOOKUP(OP!$C$55,HL_2,$B165+1,0)*OP!$C$28,0)*IF(OR($L165=0,$L165=""),1,PYO),0))</f>
        <v>100000</v>
      </c>
      <c r="J165" s="567"/>
      <c r="K165" s="567"/>
      <c r="L165" s="566">
        <f ca="1">IF(OR($A$2=1,$B165=""),"",ROUND(ROUND(VLOOKUP(OP!$C$55,HL_2,$B165+1,0)*OP!$C$28,0)*IF(OR(ROUND(VLOOKUP(OP!$C$55,HL_2,$B165+1,0)*OP!$C$28,0)*PY!$C$4&lt;PY!$D$5,ROUND(VLOOKUP(OP!$C$55,HL_2,$B165+1,0)*OP!$C$28,0)*PY!$C$4*PYR&lt;PY!$C$5),0,PYY)*PYR,0))</f>
        <v>0</v>
      </c>
      <c r="M165" s="568"/>
      <c r="N165" s="566">
        <f ca="1">IF(OR($A$2=1,$B165=""),"",ROUND((ROUND(VLOOKUP(OP!$C$55,HL_2,$B165+1,0)*OP!$C$28,0)+ROUND(OP!$C$28*10000*0.2,0))*IF(OR($Q165=0,$Q165=""),1,PYO),0))</f>
        <v>120000</v>
      </c>
      <c r="O165" s="567"/>
      <c r="P165" s="567"/>
      <c r="Q165" s="566">
        <f ca="1">IF(OR($A$2=1,$B165=""),"",ROUND((ROUND(VLOOKUP(OP!$C$55,HL_2,$B165+1,0)*OP!$C$28,0)+ROUND(OP!$C$28*10000*0.2,0))*IF(OR((ROUND(VLOOKUP(OP!$C$55,HL_2,$B165+1,0)*OP!$C$28,0)+ROUND(OP!$C$28*10000*0.2,0))*PY!$C$4&lt;PY!$D$5,(ROUND(VLOOKUP(OP!$C$55,HL_2,$B165+1,0)*OP!$C$28,0)+ROUND(OP!$C$28*10000*0.2,0))*PY!$C$4*PYR&lt;PY!$C$5),0,PYY)*PYR,0))</f>
        <v>0</v>
      </c>
      <c r="R165" s="568"/>
      <c r="S165" s="566">
        <f ca="1">IF(OR($A$2=1,$B165=""),"",ROUND(ROUND(VLOOKUP(OP!$C$55,HL_3,$B165+1,0)*OP!$C$28,0)*IF(OR($V165=0,$V165=""),1,PYO),0))</f>
        <v>100000</v>
      </c>
      <c r="T165" s="567"/>
      <c r="U165" s="567"/>
      <c r="V165" s="566">
        <f ca="1">IF(OR($A$2=1,$B165=""),"",ROUND(ROUND(VLOOKUP(OP!$C$55,HL_3,$B165+1,0)*OP!$C$28,0)*IF(OR(ROUND(VLOOKUP(OP!$C$55,HL_3,$B165+1,0)*OP!$C$28,0)*PY!$C$4&lt;PY!$D$5,ROUND(VLOOKUP(OP!$C$55,HL_3,$B165+1,0)*OP!$C$28,0)*PY!$C$4*PYR&lt;PY!$C$5),0,PYY)*PYR,0))</f>
        <v>0</v>
      </c>
      <c r="W165" s="568"/>
      <c r="X165" s="22"/>
    </row>
    <row r="166" spans="2:24" s="21" customFormat="1" ht="14.1" customHeight="1">
      <c r="B166" s="481">
        <f ca="1">IF(OR(C165&gt;=OP!F$57,C165=""),"",IF(C165+1&gt;OP!$F$57,OP!$F$57+1-$B$23,B165+1))</f>
        <v>33</v>
      </c>
      <c r="C166" s="481">
        <f ca="1">IF(OR($A$2=1,MAX($C$134:C165)&gt;=OP!$F$57),"",C165+(B166-B165))</f>
        <v>32</v>
      </c>
      <c r="D166" s="566">
        <f ca="1">IF(OR($A$2=1,$B166=""),"",ROUND(ROUND(VLOOKUP(OP!$C$55,HL_1,$B166+1,0)*OP!$C$28,0)*IF(OR($G166=0,$G166=""),1,PYO),0))</f>
        <v>50668</v>
      </c>
      <c r="E166" s="567"/>
      <c r="F166" s="567"/>
      <c r="G166" s="566">
        <f ca="1">IF(OR($A$2=1,$B166=""),"",ROUND(ROUND(VLOOKUP(OP!$C$55,HL_1,$B166+1,0)*OP!$C$28,0)*IF(OR(ROUND(VLOOKUP(OP!$C$55,HL_1,$B166+1,0)*OP!$C$28,0)*PY!$C$4&lt;PY!$D$5,ROUND(VLOOKUP(OP!$C$55,HL_1,$B166+1,0)*OP!$C$28,0)*PY!$C$4*PYR&lt;PY!$C$5),0,PYY)*PYR,0))</f>
        <v>0</v>
      </c>
      <c r="H166" s="568"/>
      <c r="I166" s="566">
        <f ca="1">IF(OR($A$2=1,$B166=""),"",ROUND(ROUND(VLOOKUP(OP!$C$55,HL_2,$B166+1,0)*OP!$C$28,0)*IF(OR($L166=0,$L166=""),1,PYO),0))</f>
        <v>100000</v>
      </c>
      <c r="J166" s="567"/>
      <c r="K166" s="567"/>
      <c r="L166" s="566">
        <f ca="1">IF(OR($A$2=1,$B166=""),"",ROUND(ROUND(VLOOKUP(OP!$C$55,HL_2,$B166+1,0)*OP!$C$28,0)*IF(OR(ROUND(VLOOKUP(OP!$C$55,HL_2,$B166+1,0)*OP!$C$28,0)*PY!$C$4&lt;PY!$D$5,ROUND(VLOOKUP(OP!$C$55,HL_2,$B166+1,0)*OP!$C$28,0)*PY!$C$4*PYR&lt;PY!$C$5),0,PYY)*PYR,0))</f>
        <v>0</v>
      </c>
      <c r="M166" s="568"/>
      <c r="N166" s="566">
        <f ca="1">IF(OR($A$2=1,$B166=""),"",ROUND((ROUND(VLOOKUP(OP!$C$55,HL_2,$B166+1,0)*OP!$C$28,0)+ROUND(OP!$C$28*10000*0.2,0))*IF(OR($Q166=0,$Q166=""),1,PYO),0))</f>
        <v>120000</v>
      </c>
      <c r="O166" s="567"/>
      <c r="P166" s="567"/>
      <c r="Q166" s="566">
        <f ca="1">IF(OR($A$2=1,$B166=""),"",ROUND((ROUND(VLOOKUP(OP!$C$55,HL_2,$B166+1,0)*OP!$C$28,0)+ROUND(OP!$C$28*10000*0.2,0))*IF(OR((ROUND(VLOOKUP(OP!$C$55,HL_2,$B166+1,0)*OP!$C$28,0)+ROUND(OP!$C$28*10000*0.2,0))*PY!$C$4&lt;PY!$D$5,(ROUND(VLOOKUP(OP!$C$55,HL_2,$B166+1,0)*OP!$C$28,0)+ROUND(OP!$C$28*10000*0.2,0))*PY!$C$4*PYR&lt;PY!$C$5),0,PYY)*PYR,0))</f>
        <v>0</v>
      </c>
      <c r="R166" s="568"/>
      <c r="S166" s="566">
        <f ca="1">IF(OR($A$2=1,$B166=""),"",ROUND(ROUND(VLOOKUP(OP!$C$55,HL_3,$B166+1,0)*OP!$C$28,0)*IF(OR($V166=0,$V166=""),1,PYO),0))</f>
        <v>100000</v>
      </c>
      <c r="T166" s="567"/>
      <c r="U166" s="567"/>
      <c r="V166" s="566">
        <f ca="1">IF(OR($A$2=1,$B166=""),"",ROUND(ROUND(VLOOKUP(OP!$C$55,HL_3,$B166+1,0)*OP!$C$28,0)*IF(OR(ROUND(VLOOKUP(OP!$C$55,HL_3,$B166+1,0)*OP!$C$28,0)*PY!$C$4&lt;PY!$D$5,ROUND(VLOOKUP(OP!$C$55,HL_3,$B166+1,0)*OP!$C$28,0)*PY!$C$4*PYR&lt;PY!$C$5),0,PYY)*PYR,0))</f>
        <v>0</v>
      </c>
      <c r="W166" s="568"/>
      <c r="X166" s="22"/>
    </row>
    <row r="167" spans="2:24" s="21" customFormat="1" ht="14.1" customHeight="1">
      <c r="B167" s="481">
        <f ca="1">IF(OR(C166&gt;=OP!F$57,C166=""),"",IF(C166+1&gt;OP!$F$57,OP!$F$57+1-$B$23,B166+1))</f>
        <v>34</v>
      </c>
      <c r="C167" s="481">
        <f ca="1">IF(OR($A$2=1,MAX($C$134:C166)&gt;=OP!$F$57),"",C166+(B167-B166))</f>
        <v>33</v>
      </c>
      <c r="D167" s="566">
        <f ca="1">IF(OR($A$2=1,$B167=""),"",ROUND(ROUND(VLOOKUP(OP!$C$55,HL_1,$B167+1,0)*OP!$C$28,0)*IF(OR($G167=0,$G167=""),1,PYO),0))</f>
        <v>50668</v>
      </c>
      <c r="E167" s="567"/>
      <c r="F167" s="567"/>
      <c r="G167" s="566">
        <f ca="1">IF(OR($A$2=1,$B167=""),"",ROUND(ROUND(VLOOKUP(OP!$C$55,HL_1,$B167+1,0)*OP!$C$28,0)*IF(OR(ROUND(VLOOKUP(OP!$C$55,HL_1,$B167+1,0)*OP!$C$28,0)*PY!$C$4&lt;PY!$D$5,ROUND(VLOOKUP(OP!$C$55,HL_1,$B167+1,0)*OP!$C$28,0)*PY!$C$4*PYR&lt;PY!$C$5),0,PYY)*PYR,0))</f>
        <v>0</v>
      </c>
      <c r="H167" s="568"/>
      <c r="I167" s="566">
        <f ca="1">IF(OR($A$2=1,$B167=""),"",ROUND(ROUND(VLOOKUP(OP!$C$55,HL_2,$B167+1,0)*OP!$C$28,0)*IF(OR($L167=0,$L167=""),1,PYO),0))</f>
        <v>100000</v>
      </c>
      <c r="J167" s="567"/>
      <c r="K167" s="567"/>
      <c r="L167" s="566">
        <f ca="1">IF(OR($A$2=1,$B167=""),"",ROUND(ROUND(VLOOKUP(OP!$C$55,HL_2,$B167+1,0)*OP!$C$28,0)*IF(OR(ROUND(VLOOKUP(OP!$C$55,HL_2,$B167+1,0)*OP!$C$28,0)*PY!$C$4&lt;PY!$D$5,ROUND(VLOOKUP(OP!$C$55,HL_2,$B167+1,0)*OP!$C$28,0)*PY!$C$4*PYR&lt;PY!$C$5),0,PYY)*PYR,0))</f>
        <v>0</v>
      </c>
      <c r="M167" s="568"/>
      <c r="N167" s="566">
        <f ca="1">IF(OR($A$2=1,$B167=""),"",ROUND((ROUND(VLOOKUP(OP!$C$55,HL_2,$B167+1,0)*OP!$C$28,0)+ROUND(OP!$C$28*10000*0.2,0))*IF(OR($Q167=0,$Q167=""),1,PYO),0))</f>
        <v>120000</v>
      </c>
      <c r="O167" s="567"/>
      <c r="P167" s="567"/>
      <c r="Q167" s="566">
        <f ca="1">IF(OR($A$2=1,$B167=""),"",ROUND((ROUND(VLOOKUP(OP!$C$55,HL_2,$B167+1,0)*OP!$C$28,0)+ROUND(OP!$C$28*10000*0.2,0))*IF(OR((ROUND(VLOOKUP(OP!$C$55,HL_2,$B167+1,0)*OP!$C$28,0)+ROUND(OP!$C$28*10000*0.2,0))*PY!$C$4&lt;PY!$D$5,(ROUND(VLOOKUP(OP!$C$55,HL_2,$B167+1,0)*OP!$C$28,0)+ROUND(OP!$C$28*10000*0.2,0))*PY!$C$4*PYR&lt;PY!$C$5),0,PYY)*PYR,0))</f>
        <v>0</v>
      </c>
      <c r="R167" s="568"/>
      <c r="S167" s="566">
        <f ca="1">IF(OR($A$2=1,$B167=""),"",ROUND(ROUND(VLOOKUP(OP!$C$55,HL_3,$B167+1,0)*OP!$C$28,0)*IF(OR($V167=0,$V167=""),1,PYO),0))</f>
        <v>100000</v>
      </c>
      <c r="T167" s="567"/>
      <c r="U167" s="567"/>
      <c r="V167" s="566">
        <f ca="1">IF(OR($A$2=1,$B167=""),"",ROUND(ROUND(VLOOKUP(OP!$C$55,HL_3,$B167+1,0)*OP!$C$28,0)*IF(OR(ROUND(VLOOKUP(OP!$C$55,HL_3,$B167+1,0)*OP!$C$28,0)*PY!$C$4&lt;PY!$D$5,ROUND(VLOOKUP(OP!$C$55,HL_3,$B167+1,0)*OP!$C$28,0)*PY!$C$4*PYR&lt;PY!$C$5),0,PYY)*PYR,0))</f>
        <v>0</v>
      </c>
      <c r="W167" s="568"/>
      <c r="X167" s="22"/>
    </row>
    <row r="168" spans="2:24" s="21" customFormat="1" ht="14.1" customHeight="1">
      <c r="B168" s="481">
        <f ca="1">IF(OR(C167&gt;=OP!F$57,C167=""),"",IF(C167+1&gt;OP!$F$57,OP!$F$57+1-$B$23,B167+1))</f>
        <v>35</v>
      </c>
      <c r="C168" s="481">
        <f ca="1">IF(OR($A$2=1,MAX($C$134:C167)&gt;=OP!$F$57),"",C167+(B168-B167))</f>
        <v>34</v>
      </c>
      <c r="D168" s="566">
        <f ca="1">IF(OR($A$2=1,$B168=""),"",ROUND(ROUND(VLOOKUP(OP!$C$55,HL_1,$B168+1,0)*OP!$C$28,0)*IF(OR($G168=0,$G168=""),1,PYO),0))</f>
        <v>50668</v>
      </c>
      <c r="E168" s="567"/>
      <c r="F168" s="567"/>
      <c r="G168" s="566">
        <f ca="1">IF(OR($A$2=1,$B168=""),"",ROUND(ROUND(VLOOKUP(OP!$C$55,HL_1,$B168+1,0)*OP!$C$28,0)*IF(OR(ROUND(VLOOKUP(OP!$C$55,HL_1,$B168+1,0)*OP!$C$28,0)*PY!$C$4&lt;PY!$D$5,ROUND(VLOOKUP(OP!$C$55,HL_1,$B168+1,0)*OP!$C$28,0)*PY!$C$4*PYR&lt;PY!$C$5),0,PYY)*PYR,0))</f>
        <v>0</v>
      </c>
      <c r="H168" s="568"/>
      <c r="I168" s="566">
        <f ca="1">IF(OR($A$2=1,$B168=""),"",ROUND(ROUND(VLOOKUP(OP!$C$55,HL_2,$B168+1,0)*OP!$C$28,0)*IF(OR($L168=0,$L168=""),1,PYO),0))</f>
        <v>100000</v>
      </c>
      <c r="J168" s="567"/>
      <c r="K168" s="567"/>
      <c r="L168" s="566">
        <f ca="1">IF(OR($A$2=1,$B168=""),"",ROUND(ROUND(VLOOKUP(OP!$C$55,HL_2,$B168+1,0)*OP!$C$28,0)*IF(OR(ROUND(VLOOKUP(OP!$C$55,HL_2,$B168+1,0)*OP!$C$28,0)*PY!$C$4&lt;PY!$D$5,ROUND(VLOOKUP(OP!$C$55,HL_2,$B168+1,0)*OP!$C$28,0)*PY!$C$4*PYR&lt;PY!$C$5),0,PYY)*PYR,0))</f>
        <v>0</v>
      </c>
      <c r="M168" s="568"/>
      <c r="N168" s="566">
        <f ca="1">IF(OR($A$2=1,$B168=""),"",ROUND((ROUND(VLOOKUP(OP!$C$55,HL_2,$B168+1,0)*OP!$C$28,0)+ROUND(OP!$C$28*10000*0.2,0))*IF(OR($Q168=0,$Q168=""),1,PYO),0))</f>
        <v>120000</v>
      </c>
      <c r="O168" s="567"/>
      <c r="P168" s="567"/>
      <c r="Q168" s="566">
        <f ca="1">IF(OR($A$2=1,$B168=""),"",ROUND((ROUND(VLOOKUP(OP!$C$55,HL_2,$B168+1,0)*OP!$C$28,0)+ROUND(OP!$C$28*10000*0.2,0))*IF(OR((ROUND(VLOOKUP(OP!$C$55,HL_2,$B168+1,0)*OP!$C$28,0)+ROUND(OP!$C$28*10000*0.2,0))*PY!$C$4&lt;PY!$D$5,(ROUND(VLOOKUP(OP!$C$55,HL_2,$B168+1,0)*OP!$C$28,0)+ROUND(OP!$C$28*10000*0.2,0))*PY!$C$4*PYR&lt;PY!$C$5),0,PYY)*PYR,0))</f>
        <v>0</v>
      </c>
      <c r="R168" s="568"/>
      <c r="S168" s="566">
        <f ca="1">IF(OR($A$2=1,$B168=""),"",ROUND(ROUND(VLOOKUP(OP!$C$55,HL_3,$B168+1,0)*OP!$C$28,0)*IF(OR($V168=0,$V168=""),1,PYO),0))</f>
        <v>100000</v>
      </c>
      <c r="T168" s="567"/>
      <c r="U168" s="567"/>
      <c r="V168" s="566">
        <f ca="1">IF(OR($A$2=1,$B168=""),"",ROUND(ROUND(VLOOKUP(OP!$C$55,HL_3,$B168+1,0)*OP!$C$28,0)*IF(OR(ROUND(VLOOKUP(OP!$C$55,HL_3,$B168+1,0)*OP!$C$28,0)*PY!$C$4&lt;PY!$D$5,ROUND(VLOOKUP(OP!$C$55,HL_3,$B168+1,0)*OP!$C$28,0)*PY!$C$4*PYR&lt;PY!$C$5),0,PYY)*PYR,0))</f>
        <v>0</v>
      </c>
      <c r="W168" s="568"/>
      <c r="X168" s="22"/>
    </row>
    <row r="169" spans="2:24" s="21" customFormat="1" ht="14.1" customHeight="1">
      <c r="B169" s="481">
        <f ca="1">IF(OR(C168&gt;=OP!F$57,C168=""),"",IF(C168+1&gt;OP!$F$57,OP!$F$57+1-$B$23,B168+1))</f>
        <v>36</v>
      </c>
      <c r="C169" s="481">
        <f ca="1">IF(OR($A$2=1,MAX($C$134:C168)&gt;=OP!$F$57),"",C168+(B169-B168))</f>
        <v>35</v>
      </c>
      <c r="D169" s="566">
        <f ca="1">IF(OR($A$2=1,$B169=""),"",ROUND(ROUND(VLOOKUP(OP!$C$55,HL_1,$B169+1,0)*OP!$C$28,0)*IF(OR($G169=0,$G169=""),1,PYO),0))</f>
        <v>50668</v>
      </c>
      <c r="E169" s="567"/>
      <c r="F169" s="567"/>
      <c r="G169" s="566">
        <f ca="1">IF(OR($A$2=1,$B169=""),"",ROUND(ROUND(VLOOKUP(OP!$C$55,HL_1,$B169+1,0)*OP!$C$28,0)*IF(OR(ROUND(VLOOKUP(OP!$C$55,HL_1,$B169+1,0)*OP!$C$28,0)*PY!$C$4&lt;PY!$D$5,ROUND(VLOOKUP(OP!$C$55,HL_1,$B169+1,0)*OP!$C$28,0)*PY!$C$4*PYR&lt;PY!$C$5),0,PYY)*PYR,0))</f>
        <v>0</v>
      </c>
      <c r="H169" s="568"/>
      <c r="I169" s="566">
        <f ca="1">IF(OR($A$2=1,$B169=""),"",ROUND(ROUND(VLOOKUP(OP!$C$55,HL_2,$B169+1,0)*OP!$C$28,0)*IF(OR($L169=0,$L169=""),1,PYO),0))</f>
        <v>100000</v>
      </c>
      <c r="J169" s="567"/>
      <c r="K169" s="567"/>
      <c r="L169" s="566">
        <f ca="1">IF(OR($A$2=1,$B169=""),"",ROUND(ROUND(VLOOKUP(OP!$C$55,HL_2,$B169+1,0)*OP!$C$28,0)*IF(OR(ROUND(VLOOKUP(OP!$C$55,HL_2,$B169+1,0)*OP!$C$28,0)*PY!$C$4&lt;PY!$D$5,ROUND(VLOOKUP(OP!$C$55,HL_2,$B169+1,0)*OP!$C$28,0)*PY!$C$4*PYR&lt;PY!$C$5),0,PYY)*PYR,0))</f>
        <v>0</v>
      </c>
      <c r="M169" s="568"/>
      <c r="N169" s="566">
        <f ca="1">IF(OR($A$2=1,$B169=""),"",ROUND((ROUND(VLOOKUP(OP!$C$55,HL_2,$B169+1,0)*OP!$C$28,0)+ROUND(OP!$C$28*10000*0.2,0))*IF(OR($Q169=0,$Q169=""),1,PYO),0))</f>
        <v>120000</v>
      </c>
      <c r="O169" s="567"/>
      <c r="P169" s="567"/>
      <c r="Q169" s="566">
        <f ca="1">IF(OR($A$2=1,$B169=""),"",ROUND((ROUND(VLOOKUP(OP!$C$55,HL_2,$B169+1,0)*OP!$C$28,0)+ROUND(OP!$C$28*10000*0.2,0))*IF(OR((ROUND(VLOOKUP(OP!$C$55,HL_2,$B169+1,0)*OP!$C$28,0)+ROUND(OP!$C$28*10000*0.2,0))*PY!$C$4&lt;PY!$D$5,(ROUND(VLOOKUP(OP!$C$55,HL_2,$B169+1,0)*OP!$C$28,0)+ROUND(OP!$C$28*10000*0.2,0))*PY!$C$4*PYR&lt;PY!$C$5),0,PYY)*PYR,0))</f>
        <v>0</v>
      </c>
      <c r="R169" s="568"/>
      <c r="S169" s="566">
        <f ca="1">IF(OR($A$2=1,$B169=""),"",ROUND(ROUND(VLOOKUP(OP!$C$55,HL_3,$B169+1,0)*OP!$C$28,0)*IF(OR($V169=0,$V169=""),1,PYO),0))</f>
        <v>100000</v>
      </c>
      <c r="T169" s="567"/>
      <c r="U169" s="567"/>
      <c r="V169" s="566">
        <f ca="1">IF(OR($A$2=1,$B169=""),"",ROUND(ROUND(VLOOKUP(OP!$C$55,HL_3,$B169+1,0)*OP!$C$28,0)*IF(OR(ROUND(VLOOKUP(OP!$C$55,HL_3,$B169+1,0)*OP!$C$28,0)*PY!$C$4&lt;PY!$D$5,ROUND(VLOOKUP(OP!$C$55,HL_3,$B169+1,0)*OP!$C$28,0)*PY!$C$4*PYR&lt;PY!$C$5),0,PYY)*PYR,0))</f>
        <v>0</v>
      </c>
      <c r="W169" s="568"/>
      <c r="X169" s="22"/>
    </row>
    <row r="170" spans="2:24" s="21" customFormat="1" ht="14.1" customHeight="1">
      <c r="B170" s="481">
        <f ca="1">IF(OR(C169&gt;=OP!F$57,C169=""),"",IF(C169+1&gt;OP!$F$57,OP!$F$57+1-$B$23,B169+1))</f>
        <v>37</v>
      </c>
      <c r="C170" s="481">
        <f ca="1">IF(OR($A$2=1,MAX($C$134:C169)&gt;=OP!$F$57),"",C169+(B170-B169))</f>
        <v>36</v>
      </c>
      <c r="D170" s="566">
        <f ca="1">IF(OR($A$2=1,$B170=""),"",ROUND(ROUND(VLOOKUP(OP!$C$55,HL_1,$B170+1,0)*OP!$C$28,0)*IF(OR($G170=0,$G170=""),1,PYO),0))</f>
        <v>50668</v>
      </c>
      <c r="E170" s="567"/>
      <c r="F170" s="567"/>
      <c r="G170" s="566">
        <f ca="1">IF(OR($A$2=1,$B170=""),"",ROUND(ROUND(VLOOKUP(OP!$C$55,HL_1,$B170+1,0)*OP!$C$28,0)*IF(OR(ROUND(VLOOKUP(OP!$C$55,HL_1,$B170+1,0)*OP!$C$28,0)*PY!$C$4&lt;PY!$D$5,ROUND(VLOOKUP(OP!$C$55,HL_1,$B170+1,0)*OP!$C$28,0)*PY!$C$4*PYR&lt;PY!$C$5),0,PYY)*PYR,0))</f>
        <v>0</v>
      </c>
      <c r="H170" s="568"/>
      <c r="I170" s="566">
        <f ca="1">IF(OR($A$2=1,$B170=""),"",ROUND(ROUND(VLOOKUP(OP!$C$55,HL_2,$B170+1,0)*OP!$C$28,0)*IF(OR($L170=0,$L170=""),1,PYO),0))</f>
        <v>100000</v>
      </c>
      <c r="J170" s="567"/>
      <c r="K170" s="567"/>
      <c r="L170" s="566">
        <f ca="1">IF(OR($A$2=1,$B170=""),"",ROUND(ROUND(VLOOKUP(OP!$C$55,HL_2,$B170+1,0)*OP!$C$28,0)*IF(OR(ROUND(VLOOKUP(OP!$C$55,HL_2,$B170+1,0)*OP!$C$28,0)*PY!$C$4&lt;PY!$D$5,ROUND(VLOOKUP(OP!$C$55,HL_2,$B170+1,0)*OP!$C$28,0)*PY!$C$4*PYR&lt;PY!$C$5),0,PYY)*PYR,0))</f>
        <v>0</v>
      </c>
      <c r="M170" s="568"/>
      <c r="N170" s="566">
        <f ca="1">IF(OR($A$2=1,$B170=""),"",ROUND((ROUND(VLOOKUP(OP!$C$55,HL_2,$B170+1,0)*OP!$C$28,0)+ROUND(OP!$C$28*10000*0.2,0))*IF(OR($Q170=0,$Q170=""),1,PYO),0))</f>
        <v>120000</v>
      </c>
      <c r="O170" s="567"/>
      <c r="P170" s="567"/>
      <c r="Q170" s="566">
        <f ca="1">IF(OR($A$2=1,$B170=""),"",ROUND((ROUND(VLOOKUP(OP!$C$55,HL_2,$B170+1,0)*OP!$C$28,0)+ROUND(OP!$C$28*10000*0.2,0))*IF(OR((ROUND(VLOOKUP(OP!$C$55,HL_2,$B170+1,0)*OP!$C$28,0)+ROUND(OP!$C$28*10000*0.2,0))*PY!$C$4&lt;PY!$D$5,(ROUND(VLOOKUP(OP!$C$55,HL_2,$B170+1,0)*OP!$C$28,0)+ROUND(OP!$C$28*10000*0.2,0))*PY!$C$4*PYR&lt;PY!$C$5),0,PYY)*PYR,0))</f>
        <v>0</v>
      </c>
      <c r="R170" s="568"/>
      <c r="S170" s="566">
        <f ca="1">IF(OR($A$2=1,$B170=""),"",ROUND(ROUND(VLOOKUP(OP!$C$55,HL_3,$B170+1,0)*OP!$C$28,0)*IF(OR($V170=0,$V170=""),1,PYO),0))</f>
        <v>100000</v>
      </c>
      <c r="T170" s="567"/>
      <c r="U170" s="567"/>
      <c r="V170" s="566">
        <f ca="1">IF(OR($A$2=1,$B170=""),"",ROUND(ROUND(VLOOKUP(OP!$C$55,HL_3,$B170+1,0)*OP!$C$28,0)*IF(OR(ROUND(VLOOKUP(OP!$C$55,HL_3,$B170+1,0)*OP!$C$28,0)*PY!$C$4&lt;PY!$D$5,ROUND(VLOOKUP(OP!$C$55,HL_3,$B170+1,0)*OP!$C$28,0)*PY!$C$4*PYR&lt;PY!$C$5),0,PYY)*PYR,0))</f>
        <v>0</v>
      </c>
      <c r="W170" s="568"/>
      <c r="X170" s="22"/>
    </row>
    <row r="171" spans="2:24" s="21" customFormat="1" ht="14.1" customHeight="1">
      <c r="B171" s="481">
        <f ca="1">IF(OR(C170&gt;=OP!F$57,C170=""),"",IF(C170+1&gt;OP!$F$57,OP!$F$57+1-$B$23,B170+1))</f>
        <v>38</v>
      </c>
      <c r="C171" s="481">
        <f ca="1">IF(OR($A$2=1,MAX($C$134:C170)&gt;=OP!$F$57),"",C170+(B171-B170))</f>
        <v>37</v>
      </c>
      <c r="D171" s="566">
        <f ca="1">IF(OR($A$2=1,$B171=""),"",ROUND(ROUND(VLOOKUP(OP!$C$55,HL_1,$B171+1,0)*OP!$C$28,0)*IF(OR($G171=0,$G171=""),1,PYO),0))</f>
        <v>50668</v>
      </c>
      <c r="E171" s="567"/>
      <c r="F171" s="567"/>
      <c r="G171" s="566">
        <f ca="1">IF(OR($A$2=1,$B171=""),"",ROUND(ROUND(VLOOKUP(OP!$C$55,HL_1,$B171+1,0)*OP!$C$28,0)*IF(OR(ROUND(VLOOKUP(OP!$C$55,HL_1,$B171+1,0)*OP!$C$28,0)*PY!$C$4&lt;PY!$D$5,ROUND(VLOOKUP(OP!$C$55,HL_1,$B171+1,0)*OP!$C$28,0)*PY!$C$4*PYR&lt;PY!$C$5),0,PYY)*PYR,0))</f>
        <v>0</v>
      </c>
      <c r="H171" s="568"/>
      <c r="I171" s="566">
        <f ca="1">IF(OR($A$2=1,$B171=""),"",ROUND(ROUND(VLOOKUP(OP!$C$55,HL_2,$B171+1,0)*OP!$C$28,0)*IF(OR($L171=0,$L171=""),1,PYO),0))</f>
        <v>100000</v>
      </c>
      <c r="J171" s="567"/>
      <c r="K171" s="567"/>
      <c r="L171" s="566">
        <f ca="1">IF(OR($A$2=1,$B171=""),"",ROUND(ROUND(VLOOKUP(OP!$C$55,HL_2,$B171+1,0)*OP!$C$28,0)*IF(OR(ROUND(VLOOKUP(OP!$C$55,HL_2,$B171+1,0)*OP!$C$28,0)*PY!$C$4&lt;PY!$D$5,ROUND(VLOOKUP(OP!$C$55,HL_2,$B171+1,0)*OP!$C$28,0)*PY!$C$4*PYR&lt;PY!$C$5),0,PYY)*PYR,0))</f>
        <v>0</v>
      </c>
      <c r="M171" s="568"/>
      <c r="N171" s="566">
        <f ca="1">IF(OR($A$2=1,$B171=""),"",ROUND((ROUND(VLOOKUP(OP!$C$55,HL_2,$B171+1,0)*OP!$C$28,0)+ROUND(OP!$C$28*10000*0.2,0))*IF(OR($Q171=0,$Q171=""),1,PYO),0))</f>
        <v>120000</v>
      </c>
      <c r="O171" s="567"/>
      <c r="P171" s="567"/>
      <c r="Q171" s="566">
        <f ca="1">IF(OR($A$2=1,$B171=""),"",ROUND((ROUND(VLOOKUP(OP!$C$55,HL_2,$B171+1,0)*OP!$C$28,0)+ROUND(OP!$C$28*10000*0.2,0))*IF(OR((ROUND(VLOOKUP(OP!$C$55,HL_2,$B171+1,0)*OP!$C$28,0)+ROUND(OP!$C$28*10000*0.2,0))*PY!$C$4&lt;PY!$D$5,(ROUND(VLOOKUP(OP!$C$55,HL_2,$B171+1,0)*OP!$C$28,0)+ROUND(OP!$C$28*10000*0.2,0))*PY!$C$4*PYR&lt;PY!$C$5),0,PYY)*PYR,0))</f>
        <v>0</v>
      </c>
      <c r="R171" s="568"/>
      <c r="S171" s="566">
        <f ca="1">IF(OR($A$2=1,$B171=""),"",ROUND(ROUND(VLOOKUP(OP!$C$55,HL_3,$B171+1,0)*OP!$C$28,0)*IF(OR($V171=0,$V171=""),1,PYO),0))</f>
        <v>100000</v>
      </c>
      <c r="T171" s="567"/>
      <c r="U171" s="567"/>
      <c r="V171" s="566">
        <f ca="1">IF(OR($A$2=1,$B171=""),"",ROUND(ROUND(VLOOKUP(OP!$C$55,HL_3,$B171+1,0)*OP!$C$28,0)*IF(OR(ROUND(VLOOKUP(OP!$C$55,HL_3,$B171+1,0)*OP!$C$28,0)*PY!$C$4&lt;PY!$D$5,ROUND(VLOOKUP(OP!$C$55,HL_3,$B171+1,0)*OP!$C$28,0)*PY!$C$4*PYR&lt;PY!$C$5),0,PYY)*PYR,0))</f>
        <v>0</v>
      </c>
      <c r="W171" s="568"/>
      <c r="X171" s="22"/>
    </row>
    <row r="172" spans="2:24" s="21" customFormat="1" ht="14.1" customHeight="1">
      <c r="B172" s="481">
        <f ca="1">IF(OR(C171&gt;=OP!F$57,C171=""),"",IF(C171+1&gt;OP!$F$57,OP!$F$57+1-$B$23,B171+1))</f>
        <v>39</v>
      </c>
      <c r="C172" s="481">
        <f ca="1">IF(OR($A$2=1,MAX($C$134:C171)&gt;=OP!$F$57),"",C171+(B172-B171))</f>
        <v>38</v>
      </c>
      <c r="D172" s="566">
        <f ca="1">IF(OR($A$2=1,$B172=""),"",ROUND(ROUND(VLOOKUP(OP!$C$55,HL_1,$B172+1,0)*OP!$C$28,0)*IF(OR($G172=0,$G172=""),1,PYO),0))</f>
        <v>50668</v>
      </c>
      <c r="E172" s="567"/>
      <c r="F172" s="567"/>
      <c r="G172" s="566">
        <f ca="1">IF(OR($A$2=1,$B172=""),"",ROUND(ROUND(VLOOKUP(OP!$C$55,HL_1,$B172+1,0)*OP!$C$28,0)*IF(OR(ROUND(VLOOKUP(OP!$C$55,HL_1,$B172+1,0)*OP!$C$28,0)*PY!$C$4&lt;PY!$D$5,ROUND(VLOOKUP(OP!$C$55,HL_1,$B172+1,0)*OP!$C$28,0)*PY!$C$4*PYR&lt;PY!$C$5),0,PYY)*PYR,0))</f>
        <v>0</v>
      </c>
      <c r="H172" s="568"/>
      <c r="I172" s="566">
        <f ca="1">IF(OR($A$2=1,$B172=""),"",ROUND(ROUND(VLOOKUP(OP!$C$55,HL_2,$B172+1,0)*OP!$C$28,0)*IF(OR($L172=0,$L172=""),1,PYO),0))</f>
        <v>100000</v>
      </c>
      <c r="J172" s="567"/>
      <c r="K172" s="567"/>
      <c r="L172" s="566">
        <f ca="1">IF(OR($A$2=1,$B172=""),"",ROUND(ROUND(VLOOKUP(OP!$C$55,HL_2,$B172+1,0)*OP!$C$28,0)*IF(OR(ROUND(VLOOKUP(OP!$C$55,HL_2,$B172+1,0)*OP!$C$28,0)*PY!$C$4&lt;PY!$D$5,ROUND(VLOOKUP(OP!$C$55,HL_2,$B172+1,0)*OP!$C$28,0)*PY!$C$4*PYR&lt;PY!$C$5),0,PYY)*PYR,0))</f>
        <v>0</v>
      </c>
      <c r="M172" s="568"/>
      <c r="N172" s="566">
        <f ca="1">IF(OR($A$2=1,$B172=""),"",ROUND((ROUND(VLOOKUP(OP!$C$55,HL_2,$B172+1,0)*OP!$C$28,0)+ROUND(OP!$C$28*10000*0.2,0))*IF(OR($Q172=0,$Q172=""),1,PYO),0))</f>
        <v>120000</v>
      </c>
      <c r="O172" s="567"/>
      <c r="P172" s="567"/>
      <c r="Q172" s="566">
        <f ca="1">IF(OR($A$2=1,$B172=""),"",ROUND((ROUND(VLOOKUP(OP!$C$55,HL_2,$B172+1,0)*OP!$C$28,0)+ROUND(OP!$C$28*10000*0.2,0))*IF(OR((ROUND(VLOOKUP(OP!$C$55,HL_2,$B172+1,0)*OP!$C$28,0)+ROUND(OP!$C$28*10000*0.2,0))*PY!$C$4&lt;PY!$D$5,(ROUND(VLOOKUP(OP!$C$55,HL_2,$B172+1,0)*OP!$C$28,0)+ROUND(OP!$C$28*10000*0.2,0))*PY!$C$4*PYR&lt;PY!$C$5),0,PYY)*PYR,0))</f>
        <v>0</v>
      </c>
      <c r="R172" s="568"/>
      <c r="S172" s="566">
        <f ca="1">IF(OR($A$2=1,$B172=""),"",ROUND(ROUND(VLOOKUP(OP!$C$55,HL_3,$B172+1,0)*OP!$C$28,0)*IF(OR($V172=0,$V172=""),1,PYO),0))</f>
        <v>100000</v>
      </c>
      <c r="T172" s="567"/>
      <c r="U172" s="567"/>
      <c r="V172" s="566">
        <f ca="1">IF(OR($A$2=1,$B172=""),"",ROUND(ROUND(VLOOKUP(OP!$C$55,HL_3,$B172+1,0)*OP!$C$28,0)*IF(OR(ROUND(VLOOKUP(OP!$C$55,HL_3,$B172+1,0)*OP!$C$28,0)*PY!$C$4&lt;PY!$D$5,ROUND(VLOOKUP(OP!$C$55,HL_3,$B172+1,0)*OP!$C$28,0)*PY!$C$4*PYR&lt;PY!$C$5),0,PYY)*PYR,0))</f>
        <v>0</v>
      </c>
      <c r="W172" s="568"/>
      <c r="X172" s="22"/>
    </row>
    <row r="173" spans="2:24" s="21" customFormat="1" ht="14.1" customHeight="1">
      <c r="B173" s="481">
        <f ca="1">IF(OR(C172&gt;=OP!F$57,C172=""),"",IF(C172+1&gt;OP!$F$57,OP!$F$57+1-$B$23,B172+1))</f>
        <v>40</v>
      </c>
      <c r="C173" s="481">
        <f ca="1">IF(OR($A$2=1,MAX($C$134:C172)&gt;=OP!$F$57),"",C172+(B173-B172))</f>
        <v>39</v>
      </c>
      <c r="D173" s="566">
        <f ca="1">IF(OR($A$2=1,$B173=""),"",ROUND(ROUND(VLOOKUP(OP!$C$55,HL_1,$B173+1,0)*OP!$C$28,0)*IF(OR($G173=0,$G173=""),1,PYO),0))</f>
        <v>50668</v>
      </c>
      <c r="E173" s="567"/>
      <c r="F173" s="567"/>
      <c r="G173" s="566">
        <f ca="1">IF(OR($A$2=1,$B173=""),"",ROUND(ROUND(VLOOKUP(OP!$C$55,HL_1,$B173+1,0)*OP!$C$28,0)*IF(OR(ROUND(VLOOKUP(OP!$C$55,HL_1,$B173+1,0)*OP!$C$28,0)*PY!$C$4&lt;PY!$D$5,ROUND(VLOOKUP(OP!$C$55,HL_1,$B173+1,0)*OP!$C$28,0)*PY!$C$4*PYR&lt;PY!$C$5),0,PYY)*PYR,0))</f>
        <v>0</v>
      </c>
      <c r="H173" s="568"/>
      <c r="I173" s="566">
        <f ca="1">IF(OR($A$2=1,$B173=""),"",ROUND(ROUND(VLOOKUP(OP!$C$55,HL_2,$B173+1,0)*OP!$C$28,0)*IF(OR($L173=0,$L173=""),1,PYO),0))</f>
        <v>100000</v>
      </c>
      <c r="J173" s="567"/>
      <c r="K173" s="567"/>
      <c r="L173" s="566">
        <f ca="1">IF(OR($A$2=1,$B173=""),"",ROUND(ROUND(VLOOKUP(OP!$C$55,HL_2,$B173+1,0)*OP!$C$28,0)*IF(OR(ROUND(VLOOKUP(OP!$C$55,HL_2,$B173+1,0)*OP!$C$28,0)*PY!$C$4&lt;PY!$D$5,ROUND(VLOOKUP(OP!$C$55,HL_2,$B173+1,0)*OP!$C$28,0)*PY!$C$4*PYR&lt;PY!$C$5),0,PYY)*PYR,0))</f>
        <v>0</v>
      </c>
      <c r="M173" s="568"/>
      <c r="N173" s="566">
        <f ca="1">IF(OR($A$2=1,$B173=""),"",ROUND((ROUND(VLOOKUP(OP!$C$55,HL_2,$B173+1,0)*OP!$C$28,0)+ROUND(OP!$C$28*10000*0.2,0))*IF(OR($Q173=0,$Q173=""),1,PYO),0))</f>
        <v>120000</v>
      </c>
      <c r="O173" s="567"/>
      <c r="P173" s="567"/>
      <c r="Q173" s="566">
        <f ca="1">IF(OR($A$2=1,$B173=""),"",ROUND((ROUND(VLOOKUP(OP!$C$55,HL_2,$B173+1,0)*OP!$C$28,0)+ROUND(OP!$C$28*10000*0.2,0))*IF(OR((ROUND(VLOOKUP(OP!$C$55,HL_2,$B173+1,0)*OP!$C$28,0)+ROUND(OP!$C$28*10000*0.2,0))*PY!$C$4&lt;PY!$D$5,(ROUND(VLOOKUP(OP!$C$55,HL_2,$B173+1,0)*OP!$C$28,0)+ROUND(OP!$C$28*10000*0.2,0))*PY!$C$4*PYR&lt;PY!$C$5),0,PYY)*PYR,0))</f>
        <v>0</v>
      </c>
      <c r="R173" s="568"/>
      <c r="S173" s="566">
        <f ca="1">IF(OR($A$2=1,$B173=""),"",ROUND(ROUND(VLOOKUP(OP!$C$55,HL_3,$B173+1,0)*OP!$C$28,0)*IF(OR($V173=0,$V173=""),1,PYO),0))</f>
        <v>100000</v>
      </c>
      <c r="T173" s="567"/>
      <c r="U173" s="567"/>
      <c r="V173" s="566">
        <f ca="1">IF(OR($A$2=1,$B173=""),"",ROUND(ROUND(VLOOKUP(OP!$C$55,HL_3,$B173+1,0)*OP!$C$28,0)*IF(OR(ROUND(VLOOKUP(OP!$C$55,HL_3,$B173+1,0)*OP!$C$28,0)*PY!$C$4&lt;PY!$D$5,ROUND(VLOOKUP(OP!$C$55,HL_3,$B173+1,0)*OP!$C$28,0)*PY!$C$4*PYR&lt;PY!$C$5),0,PYY)*PYR,0))</f>
        <v>0</v>
      </c>
      <c r="W173" s="568"/>
      <c r="X173" s="22"/>
    </row>
    <row r="174" spans="2:24" s="21" customFormat="1" ht="14.1" customHeight="1">
      <c r="B174" s="481">
        <f ca="1">IF(OR(C173&gt;=OP!F$57,C173=""),"",IF(C173+1&gt;OP!$F$57,OP!$F$57+1-$B$23,B173+1))</f>
        <v>41</v>
      </c>
      <c r="C174" s="481">
        <f ca="1">IF(OR($A$2=1,MAX($C$134:C173)&gt;=OP!$F$57),"",C173+(B174-B173))</f>
        <v>40</v>
      </c>
      <c r="D174" s="566">
        <f ca="1">IF(OR($A$2=1,$B174=""),"",ROUND(ROUND(VLOOKUP(OP!$C$55,HL_1,$B174+1,0)*OP!$C$28,0)*IF(OR($G174=0,$G174=""),1,PYO),0))</f>
        <v>50668</v>
      </c>
      <c r="E174" s="567"/>
      <c r="F174" s="567"/>
      <c r="G174" s="566">
        <f ca="1">IF(OR($A$2=1,$B174=""),"",ROUND(ROUND(VLOOKUP(OP!$C$55,HL_1,$B174+1,0)*OP!$C$28,0)*IF(OR(ROUND(VLOOKUP(OP!$C$55,HL_1,$B174+1,0)*OP!$C$28,0)*PY!$C$4&lt;PY!$D$5,ROUND(VLOOKUP(OP!$C$55,HL_1,$B174+1,0)*OP!$C$28,0)*PY!$C$4*PYR&lt;PY!$C$5),0,PYY)*PYR,0))</f>
        <v>0</v>
      </c>
      <c r="H174" s="568"/>
      <c r="I174" s="566">
        <f ca="1">IF(OR($A$2=1,$B174=""),"",ROUND(ROUND(VLOOKUP(OP!$C$55,HL_2,$B174+1,0)*OP!$C$28,0)*IF(OR($L174=0,$L174=""),1,PYO),0))</f>
        <v>100000</v>
      </c>
      <c r="J174" s="567"/>
      <c r="K174" s="567"/>
      <c r="L174" s="566">
        <f ca="1">IF(OR($A$2=1,$B174=""),"",ROUND(ROUND(VLOOKUP(OP!$C$55,HL_2,$B174+1,0)*OP!$C$28,0)*IF(OR(ROUND(VLOOKUP(OP!$C$55,HL_2,$B174+1,0)*OP!$C$28,0)*PY!$C$4&lt;PY!$D$5,ROUND(VLOOKUP(OP!$C$55,HL_2,$B174+1,0)*OP!$C$28,0)*PY!$C$4*PYR&lt;PY!$C$5),0,PYY)*PYR,0))</f>
        <v>0</v>
      </c>
      <c r="M174" s="568"/>
      <c r="N174" s="566">
        <f ca="1">IF(OR($A$2=1,$B174=""),"",ROUND((ROUND(VLOOKUP(OP!$C$55,HL_2,$B174+1,0)*OP!$C$28,0)+ROUND(OP!$C$28*10000*0.2,0))*IF(OR($Q174=0,$Q174=""),1,PYO),0))</f>
        <v>120000</v>
      </c>
      <c r="O174" s="567"/>
      <c r="P174" s="567"/>
      <c r="Q174" s="566">
        <f ca="1">IF(OR($A$2=1,$B174=""),"",ROUND((ROUND(VLOOKUP(OP!$C$55,HL_2,$B174+1,0)*OP!$C$28,0)+ROUND(OP!$C$28*10000*0.2,0))*IF(OR((ROUND(VLOOKUP(OP!$C$55,HL_2,$B174+1,0)*OP!$C$28,0)+ROUND(OP!$C$28*10000*0.2,0))*PY!$C$4&lt;PY!$D$5,(ROUND(VLOOKUP(OP!$C$55,HL_2,$B174+1,0)*OP!$C$28,0)+ROUND(OP!$C$28*10000*0.2,0))*PY!$C$4*PYR&lt;PY!$C$5),0,PYY)*PYR,0))</f>
        <v>0</v>
      </c>
      <c r="R174" s="568"/>
      <c r="S174" s="566">
        <f ca="1">IF(OR($A$2=1,$B174=""),"",ROUND(ROUND(VLOOKUP(OP!$C$55,HL_3,$B174+1,0)*OP!$C$28,0)*IF(OR($V174=0,$V174=""),1,PYO),0))</f>
        <v>100000</v>
      </c>
      <c r="T174" s="567"/>
      <c r="U174" s="567"/>
      <c r="V174" s="566">
        <f ca="1">IF(OR($A$2=1,$B174=""),"",ROUND(ROUND(VLOOKUP(OP!$C$55,HL_3,$B174+1,0)*OP!$C$28,0)*IF(OR(ROUND(VLOOKUP(OP!$C$55,HL_3,$B174+1,0)*OP!$C$28,0)*PY!$C$4&lt;PY!$D$5,ROUND(VLOOKUP(OP!$C$55,HL_3,$B174+1,0)*OP!$C$28,0)*PY!$C$4*PYR&lt;PY!$C$5),0,PYY)*PYR,0))</f>
        <v>0</v>
      </c>
      <c r="W174" s="568"/>
      <c r="X174" s="22"/>
    </row>
    <row r="175" spans="2:24" s="21" customFormat="1" ht="14.1" customHeight="1">
      <c r="B175" s="481">
        <f ca="1">IF(OR(C174&gt;=OP!F$57,C174=""),"",IF(C174+1&gt;OP!$F$57,OP!$F$57+1-$B$23,B174+1))</f>
        <v>42</v>
      </c>
      <c r="C175" s="481">
        <f ca="1">IF(OR($A$2=1,MAX($C$134:C174)&gt;=OP!$F$57),"",C174+(B175-B174))</f>
        <v>41</v>
      </c>
      <c r="D175" s="566">
        <f ca="1">IF(OR($A$2=1,$B175=""),"",ROUND(ROUND(VLOOKUP(OP!$C$55,HL_1,$B175+1,0)*OP!$C$28,0)*IF(OR($G175=0,$G175=""),1,PYO),0))</f>
        <v>50668</v>
      </c>
      <c r="E175" s="567"/>
      <c r="F175" s="567"/>
      <c r="G175" s="566">
        <f ca="1">IF(OR($A$2=1,$B175=""),"",ROUND(ROUND(VLOOKUP(OP!$C$55,HL_1,$B175+1,0)*OP!$C$28,0)*IF(OR(ROUND(VLOOKUP(OP!$C$55,HL_1,$B175+1,0)*OP!$C$28,0)*PY!$C$4&lt;PY!$D$5,ROUND(VLOOKUP(OP!$C$55,HL_1,$B175+1,0)*OP!$C$28,0)*PY!$C$4*PYR&lt;PY!$C$5),0,PYY)*PYR,0))</f>
        <v>0</v>
      </c>
      <c r="H175" s="568"/>
      <c r="I175" s="566">
        <f ca="1">IF(OR($A$2=1,$B175=""),"",ROUND(ROUND(VLOOKUP(OP!$C$55,HL_2,$B175+1,0)*OP!$C$28,0)*IF(OR($L175=0,$L175=""),1,PYO),0))</f>
        <v>100000</v>
      </c>
      <c r="J175" s="567"/>
      <c r="K175" s="567"/>
      <c r="L175" s="566">
        <f ca="1">IF(OR($A$2=1,$B175=""),"",ROUND(ROUND(VLOOKUP(OP!$C$55,HL_2,$B175+1,0)*OP!$C$28,0)*IF(OR(ROUND(VLOOKUP(OP!$C$55,HL_2,$B175+1,0)*OP!$C$28,0)*PY!$C$4&lt;PY!$D$5,ROUND(VLOOKUP(OP!$C$55,HL_2,$B175+1,0)*OP!$C$28,0)*PY!$C$4*PYR&lt;PY!$C$5),0,PYY)*PYR,0))</f>
        <v>0</v>
      </c>
      <c r="M175" s="568"/>
      <c r="N175" s="566">
        <f ca="1">IF(OR($A$2=1,$B175=""),"",ROUND((ROUND(VLOOKUP(OP!$C$55,HL_2,$B175+1,0)*OP!$C$28,0)+ROUND(OP!$C$28*10000*0.2,0))*IF(OR($Q175=0,$Q175=""),1,PYO),0))</f>
        <v>120000</v>
      </c>
      <c r="O175" s="567"/>
      <c r="P175" s="567"/>
      <c r="Q175" s="566">
        <f ca="1">IF(OR($A$2=1,$B175=""),"",ROUND((ROUND(VLOOKUP(OP!$C$55,HL_2,$B175+1,0)*OP!$C$28,0)+ROUND(OP!$C$28*10000*0.2,0))*IF(OR((ROUND(VLOOKUP(OP!$C$55,HL_2,$B175+1,0)*OP!$C$28,0)+ROUND(OP!$C$28*10000*0.2,0))*PY!$C$4&lt;PY!$D$5,(ROUND(VLOOKUP(OP!$C$55,HL_2,$B175+1,0)*OP!$C$28,0)+ROUND(OP!$C$28*10000*0.2,0))*PY!$C$4*PYR&lt;PY!$C$5),0,PYY)*PYR,0))</f>
        <v>0</v>
      </c>
      <c r="R175" s="568"/>
      <c r="S175" s="566">
        <f ca="1">IF(OR($A$2=1,$B175=""),"",ROUND(ROUND(VLOOKUP(OP!$C$55,HL_3,$B175+1,0)*OP!$C$28,0)*IF(OR($V175=0,$V175=""),1,PYO),0))</f>
        <v>100000</v>
      </c>
      <c r="T175" s="567"/>
      <c r="U175" s="567"/>
      <c r="V175" s="566">
        <f ca="1">IF(OR($A$2=1,$B175=""),"",ROUND(ROUND(VLOOKUP(OP!$C$55,HL_3,$B175+1,0)*OP!$C$28,0)*IF(OR(ROUND(VLOOKUP(OP!$C$55,HL_3,$B175+1,0)*OP!$C$28,0)*PY!$C$4&lt;PY!$D$5,ROUND(VLOOKUP(OP!$C$55,HL_3,$B175+1,0)*OP!$C$28,0)*PY!$C$4*PYR&lt;PY!$C$5),0,PYY)*PYR,0))</f>
        <v>0</v>
      </c>
      <c r="W175" s="568"/>
      <c r="X175" s="22"/>
    </row>
    <row r="176" spans="2:24" s="21" customFormat="1" ht="14.1" customHeight="1">
      <c r="B176" s="481">
        <f ca="1">IF(OR(C175&gt;=OP!F$57,C175=""),"",IF(C175+1&gt;OP!$F$57,OP!$F$57+1-$B$23,B175+1))</f>
        <v>43</v>
      </c>
      <c r="C176" s="481">
        <f ca="1">IF(OR($A$2=1,MAX($C$134:C175)&gt;=OP!$F$57),"",C175+(B176-B175))</f>
        <v>42</v>
      </c>
      <c r="D176" s="566">
        <f ca="1">IF(OR($A$2=1,$B176=""),"",ROUND(ROUND(VLOOKUP(OP!$C$55,HL_1,$B176+1,0)*OP!$C$28,0)*IF(OR($G176=0,$G176=""),1,PYO),0))</f>
        <v>50668</v>
      </c>
      <c r="E176" s="567"/>
      <c r="F176" s="567"/>
      <c r="G176" s="566">
        <f ca="1">IF(OR($A$2=1,$B176=""),"",ROUND(ROUND(VLOOKUP(OP!$C$55,HL_1,$B176+1,0)*OP!$C$28,0)*IF(OR(ROUND(VLOOKUP(OP!$C$55,HL_1,$B176+1,0)*OP!$C$28,0)*PY!$C$4&lt;PY!$D$5,ROUND(VLOOKUP(OP!$C$55,HL_1,$B176+1,0)*OP!$C$28,0)*PY!$C$4*PYR&lt;PY!$C$5),0,PYY)*PYR,0))</f>
        <v>0</v>
      </c>
      <c r="H176" s="568"/>
      <c r="I176" s="566">
        <f ca="1">IF(OR($A$2=1,$B176=""),"",ROUND(ROUND(VLOOKUP(OP!$C$55,HL_2,$B176+1,0)*OP!$C$28,0)*IF(OR($L176=0,$L176=""),1,PYO),0))</f>
        <v>100000</v>
      </c>
      <c r="J176" s="567"/>
      <c r="K176" s="567"/>
      <c r="L176" s="566">
        <f ca="1">IF(OR($A$2=1,$B176=""),"",ROUND(ROUND(VLOOKUP(OP!$C$55,HL_2,$B176+1,0)*OP!$C$28,0)*IF(OR(ROUND(VLOOKUP(OP!$C$55,HL_2,$B176+1,0)*OP!$C$28,0)*PY!$C$4&lt;PY!$D$5,ROUND(VLOOKUP(OP!$C$55,HL_2,$B176+1,0)*OP!$C$28,0)*PY!$C$4*PYR&lt;PY!$C$5),0,PYY)*PYR,0))</f>
        <v>0</v>
      </c>
      <c r="M176" s="568"/>
      <c r="N176" s="566">
        <f ca="1">IF(OR($A$2=1,$B176=""),"",ROUND((ROUND(VLOOKUP(OP!$C$55,HL_2,$B176+1,0)*OP!$C$28,0)+ROUND(OP!$C$28*10000*0.2,0))*IF(OR($Q176=0,$Q176=""),1,PYO),0))</f>
        <v>120000</v>
      </c>
      <c r="O176" s="567"/>
      <c r="P176" s="567"/>
      <c r="Q176" s="566">
        <f ca="1">IF(OR($A$2=1,$B176=""),"",ROUND((ROUND(VLOOKUP(OP!$C$55,HL_2,$B176+1,0)*OP!$C$28,0)+ROUND(OP!$C$28*10000*0.2,0))*IF(OR((ROUND(VLOOKUP(OP!$C$55,HL_2,$B176+1,0)*OP!$C$28,0)+ROUND(OP!$C$28*10000*0.2,0))*PY!$C$4&lt;PY!$D$5,(ROUND(VLOOKUP(OP!$C$55,HL_2,$B176+1,0)*OP!$C$28,0)+ROUND(OP!$C$28*10000*0.2,0))*PY!$C$4*PYR&lt;PY!$C$5),0,PYY)*PYR,0))</f>
        <v>0</v>
      </c>
      <c r="R176" s="568"/>
      <c r="S176" s="566">
        <f ca="1">IF(OR($A$2=1,$B176=""),"",ROUND(ROUND(VLOOKUP(OP!$C$55,HL_3,$B176+1,0)*OP!$C$28,0)*IF(OR($V176=0,$V176=""),1,PYO),0))</f>
        <v>100000</v>
      </c>
      <c r="T176" s="567"/>
      <c r="U176" s="567"/>
      <c r="V176" s="566">
        <f ca="1">IF(OR($A$2=1,$B176=""),"",ROUND(ROUND(VLOOKUP(OP!$C$55,HL_3,$B176+1,0)*OP!$C$28,0)*IF(OR(ROUND(VLOOKUP(OP!$C$55,HL_3,$B176+1,0)*OP!$C$28,0)*PY!$C$4&lt;PY!$D$5,ROUND(VLOOKUP(OP!$C$55,HL_3,$B176+1,0)*OP!$C$28,0)*PY!$C$4*PYR&lt;PY!$C$5),0,PYY)*PYR,0))</f>
        <v>0</v>
      </c>
      <c r="W176" s="568"/>
      <c r="X176" s="22"/>
    </row>
    <row r="177" spans="1:24" s="21" customFormat="1" ht="14.1" customHeight="1">
      <c r="B177" s="481">
        <f ca="1">IF(OR(C176&gt;=OP!F$57,C176=""),"",IF(C176+1&gt;OP!$F$57,OP!$F$57+1-$B$23,B176+1))</f>
        <v>44</v>
      </c>
      <c r="C177" s="481">
        <f ca="1">IF(OR($A$2=1,MAX($C$134:C176)&gt;=OP!$F$57),"",C176+(B177-B176))</f>
        <v>43</v>
      </c>
      <c r="D177" s="566">
        <f ca="1">IF(OR($A$2=1,$B177=""),"",ROUND(ROUND(VLOOKUP(OP!$C$55,HL_1,$B177+1,0)*OP!$C$28,0)*IF(OR($G177=0,$G177=""),1,PYO),0))</f>
        <v>50668</v>
      </c>
      <c r="E177" s="567"/>
      <c r="F177" s="567"/>
      <c r="G177" s="566">
        <f ca="1">IF(OR($A$2=1,$B177=""),"",ROUND(ROUND(VLOOKUP(OP!$C$55,HL_1,$B177+1,0)*OP!$C$28,0)*IF(OR(ROUND(VLOOKUP(OP!$C$55,HL_1,$B177+1,0)*OP!$C$28,0)*PY!$C$4&lt;PY!$D$5,ROUND(VLOOKUP(OP!$C$55,HL_1,$B177+1,0)*OP!$C$28,0)*PY!$C$4*PYR&lt;PY!$C$5),0,PYY)*PYR,0))</f>
        <v>0</v>
      </c>
      <c r="H177" s="568"/>
      <c r="I177" s="566">
        <f ca="1">IF(OR($A$2=1,$B177=""),"",ROUND(ROUND(VLOOKUP(OP!$C$55,HL_2,$B177+1,0)*OP!$C$28,0)*IF(OR($L177=0,$L177=""),1,PYO),0))</f>
        <v>100000</v>
      </c>
      <c r="J177" s="567"/>
      <c r="K177" s="567"/>
      <c r="L177" s="566">
        <f ca="1">IF(OR($A$2=1,$B177=""),"",ROUND(ROUND(VLOOKUP(OP!$C$55,HL_2,$B177+1,0)*OP!$C$28,0)*IF(OR(ROUND(VLOOKUP(OP!$C$55,HL_2,$B177+1,0)*OP!$C$28,0)*PY!$C$4&lt;PY!$D$5,ROUND(VLOOKUP(OP!$C$55,HL_2,$B177+1,0)*OP!$C$28,0)*PY!$C$4*PYR&lt;PY!$C$5),0,PYY)*PYR,0))</f>
        <v>0</v>
      </c>
      <c r="M177" s="568"/>
      <c r="N177" s="566">
        <f ca="1">IF(OR($A$2=1,$B177=""),"",ROUND((ROUND(VLOOKUP(OP!$C$55,HL_2,$B177+1,0)*OP!$C$28,0)+ROUND(OP!$C$28*10000*0.2,0))*IF(OR($Q177=0,$Q177=""),1,PYO),0))</f>
        <v>120000</v>
      </c>
      <c r="O177" s="567"/>
      <c r="P177" s="567"/>
      <c r="Q177" s="566">
        <f ca="1">IF(OR($A$2=1,$B177=""),"",ROUND((ROUND(VLOOKUP(OP!$C$55,HL_2,$B177+1,0)*OP!$C$28,0)+ROUND(OP!$C$28*10000*0.2,0))*IF(OR((ROUND(VLOOKUP(OP!$C$55,HL_2,$B177+1,0)*OP!$C$28,0)+ROUND(OP!$C$28*10000*0.2,0))*PY!$C$4&lt;PY!$D$5,(ROUND(VLOOKUP(OP!$C$55,HL_2,$B177+1,0)*OP!$C$28,0)+ROUND(OP!$C$28*10000*0.2,0))*PY!$C$4*PYR&lt;PY!$C$5),0,PYY)*PYR,0))</f>
        <v>0</v>
      </c>
      <c r="R177" s="568"/>
      <c r="S177" s="566">
        <f ca="1">IF(OR($A$2=1,$B177=""),"",ROUND(ROUND(VLOOKUP(OP!$C$55,HL_3,$B177+1,0)*OP!$C$28,0)*IF(OR($V177=0,$V177=""),1,PYO),0))</f>
        <v>100000</v>
      </c>
      <c r="T177" s="567"/>
      <c r="U177" s="567"/>
      <c r="V177" s="566">
        <f ca="1">IF(OR($A$2=1,$B177=""),"",ROUND(ROUND(VLOOKUP(OP!$C$55,HL_3,$B177+1,0)*OP!$C$28,0)*IF(OR(ROUND(VLOOKUP(OP!$C$55,HL_3,$B177+1,0)*OP!$C$28,0)*PY!$C$4&lt;PY!$D$5,ROUND(VLOOKUP(OP!$C$55,HL_3,$B177+1,0)*OP!$C$28,0)*PY!$C$4*PYR&lt;PY!$C$5),0,PYY)*PYR,0))</f>
        <v>0</v>
      </c>
      <c r="W177" s="568"/>
      <c r="X177" s="22"/>
    </row>
    <row r="178" spans="1:24" s="21" customFormat="1" ht="14.1" customHeight="1">
      <c r="B178" s="481">
        <f ca="1">IF(OR(C177&gt;=OP!F$57,C177=""),"",IF(C177+1&gt;OP!$F$57,OP!$F$57+1-$B$23,B177+1))</f>
        <v>45</v>
      </c>
      <c r="C178" s="481">
        <f ca="1">IF(OR($A$2=1,MAX($C$134:C177)&gt;=OP!$F$57),"",C177+(B178-B177))</f>
        <v>44</v>
      </c>
      <c r="D178" s="566">
        <f ca="1">IF(OR($A$2=1,$B178=""),"",ROUND(ROUND(VLOOKUP(OP!$C$55,HL_1,$B178+1,0)*OP!$C$28,0)*IF(OR($G178=0,$G178=""),1,PYO),0))</f>
        <v>50668</v>
      </c>
      <c r="E178" s="567"/>
      <c r="F178" s="567"/>
      <c r="G178" s="566">
        <f ca="1">IF(OR($A$2=1,$B178=""),"",ROUND(ROUND(VLOOKUP(OP!$C$55,HL_1,$B178+1,0)*OP!$C$28,0)*IF(OR(ROUND(VLOOKUP(OP!$C$55,HL_1,$B178+1,0)*OP!$C$28,0)*PY!$C$4&lt;PY!$D$5,ROUND(VLOOKUP(OP!$C$55,HL_1,$B178+1,0)*OP!$C$28,0)*PY!$C$4*PYR&lt;PY!$C$5),0,PYY)*PYR,0))</f>
        <v>0</v>
      </c>
      <c r="H178" s="568"/>
      <c r="I178" s="566">
        <f ca="1">IF(OR($A$2=1,$B178=""),"",ROUND(ROUND(VLOOKUP(OP!$C$55,HL_2,$B178+1,0)*OP!$C$28,0)*IF(OR($L178=0,$L178=""),1,PYO),0))</f>
        <v>100000</v>
      </c>
      <c r="J178" s="567"/>
      <c r="K178" s="567"/>
      <c r="L178" s="566">
        <f ca="1">IF(OR($A$2=1,$B178=""),"",ROUND(ROUND(VLOOKUP(OP!$C$55,HL_2,$B178+1,0)*OP!$C$28,0)*IF(OR(ROUND(VLOOKUP(OP!$C$55,HL_2,$B178+1,0)*OP!$C$28,0)*PY!$C$4&lt;PY!$D$5,ROUND(VLOOKUP(OP!$C$55,HL_2,$B178+1,0)*OP!$C$28,0)*PY!$C$4*PYR&lt;PY!$C$5),0,PYY)*PYR,0))</f>
        <v>0</v>
      </c>
      <c r="M178" s="568"/>
      <c r="N178" s="566">
        <f ca="1">IF(OR($A$2=1,$B178=""),"",ROUND((ROUND(VLOOKUP(OP!$C$55,HL_2,$B178+1,0)*OP!$C$28,0)+ROUND(OP!$C$28*10000*0.2,0))*IF(OR($Q178=0,$Q178=""),1,PYO),0))</f>
        <v>120000</v>
      </c>
      <c r="O178" s="567"/>
      <c r="P178" s="567"/>
      <c r="Q178" s="566">
        <f ca="1">IF(OR($A$2=1,$B178=""),"",ROUND((ROUND(VLOOKUP(OP!$C$55,HL_2,$B178+1,0)*OP!$C$28,0)+ROUND(OP!$C$28*10000*0.2,0))*IF(OR((ROUND(VLOOKUP(OP!$C$55,HL_2,$B178+1,0)*OP!$C$28,0)+ROUND(OP!$C$28*10000*0.2,0))*PY!$C$4&lt;PY!$D$5,(ROUND(VLOOKUP(OP!$C$55,HL_2,$B178+1,0)*OP!$C$28,0)+ROUND(OP!$C$28*10000*0.2,0))*PY!$C$4*PYR&lt;PY!$C$5),0,PYY)*PYR,0))</f>
        <v>0</v>
      </c>
      <c r="R178" s="568"/>
      <c r="S178" s="566">
        <f ca="1">IF(OR($A$2=1,$B178=""),"",ROUND(ROUND(VLOOKUP(OP!$C$55,HL_3,$B178+1,0)*OP!$C$28,0)*IF(OR($V178=0,$V178=""),1,PYO),0))</f>
        <v>100000</v>
      </c>
      <c r="T178" s="567"/>
      <c r="U178" s="567"/>
      <c r="V178" s="566">
        <f ca="1">IF(OR($A$2=1,$B178=""),"",ROUND(ROUND(VLOOKUP(OP!$C$55,HL_3,$B178+1,0)*OP!$C$28,0)*IF(OR(ROUND(VLOOKUP(OP!$C$55,HL_3,$B178+1,0)*OP!$C$28,0)*PY!$C$4&lt;PY!$D$5,ROUND(VLOOKUP(OP!$C$55,HL_3,$B178+1,0)*OP!$C$28,0)*PY!$C$4*PYR&lt;PY!$C$5),0,PYY)*PYR,0))</f>
        <v>0</v>
      </c>
      <c r="W178" s="568"/>
      <c r="X178" s="22"/>
    </row>
    <row r="179" spans="1:24" s="21" customFormat="1">
      <c r="B179" s="428"/>
      <c r="C179" s="428"/>
      <c r="D179" s="429"/>
      <c r="E179" s="430"/>
      <c r="F179" s="429"/>
      <c r="G179" s="430"/>
      <c r="H179" s="429"/>
      <c r="I179" s="430"/>
      <c r="J179" s="429"/>
      <c r="K179" s="430"/>
      <c r="L179" s="429"/>
      <c r="M179" s="430"/>
      <c r="N179" s="430"/>
      <c r="O179" s="430"/>
      <c r="P179" s="430"/>
      <c r="Q179" s="430"/>
      <c r="R179" s="429"/>
      <c r="S179" s="430"/>
      <c r="T179" s="429"/>
      <c r="U179" s="430"/>
      <c r="V179" s="429"/>
      <c r="W179" s="430"/>
      <c r="X179" s="22"/>
    </row>
    <row r="180" spans="1:24" s="21" customFormat="1">
      <c r="B180" s="428"/>
      <c r="C180" s="428"/>
      <c r="D180" s="429"/>
      <c r="E180" s="430"/>
      <c r="F180" s="429"/>
      <c r="G180" s="430"/>
      <c r="H180" s="429"/>
      <c r="I180" s="430"/>
      <c r="J180" s="429"/>
      <c r="K180" s="430"/>
      <c r="L180" s="429"/>
      <c r="M180" s="430"/>
      <c r="N180" s="430"/>
      <c r="O180" s="430"/>
      <c r="P180" s="430"/>
      <c r="Q180" s="430"/>
      <c r="R180" s="429"/>
      <c r="S180" s="430"/>
      <c r="T180" s="429"/>
      <c r="U180" s="430"/>
      <c r="V180" s="429"/>
      <c r="W180" s="430"/>
      <c r="X180" s="22"/>
    </row>
    <row r="181" spans="1:24" s="21" customFormat="1">
      <c r="B181" s="428"/>
      <c r="C181" s="428"/>
      <c r="D181" s="429"/>
      <c r="E181" s="430"/>
      <c r="F181" s="429"/>
      <c r="G181" s="430"/>
      <c r="H181" s="429"/>
      <c r="I181" s="430"/>
      <c r="J181" s="429"/>
      <c r="K181" s="430"/>
      <c r="L181" s="429"/>
      <c r="M181" s="430"/>
      <c r="N181" s="430"/>
      <c r="O181" s="430"/>
      <c r="P181" s="430"/>
      <c r="Q181" s="430"/>
      <c r="R181" s="429"/>
      <c r="S181" s="430"/>
      <c r="T181" s="429"/>
      <c r="U181" s="430"/>
      <c r="V181" s="429"/>
      <c r="W181" s="430"/>
      <c r="X181" s="22"/>
    </row>
    <row r="182" spans="1:24" s="21" customFormat="1" ht="14.1" customHeight="1">
      <c r="B182" s="428"/>
      <c r="C182" s="428"/>
      <c r="D182" s="429"/>
      <c r="E182" s="430"/>
      <c r="F182" s="429"/>
      <c r="G182" s="430"/>
      <c r="H182" s="429"/>
      <c r="I182" s="430"/>
      <c r="J182" s="429"/>
      <c r="K182" s="430"/>
      <c r="L182" s="429"/>
      <c r="M182" s="430"/>
      <c r="N182" s="430"/>
      <c r="O182" s="430"/>
      <c r="P182" s="430"/>
      <c r="Q182" s="430"/>
      <c r="R182" s="429"/>
      <c r="S182" s="430"/>
      <c r="T182" s="429"/>
      <c r="U182" s="430"/>
      <c r="V182" s="429"/>
      <c r="W182" s="430"/>
      <c r="X182" s="22"/>
    </row>
    <row r="183" spans="1:24" s="24" customFormat="1" ht="15" customHeight="1">
      <c r="A183" s="35">
        <v>1</v>
      </c>
      <c r="B183" s="598" t="str">
        <f>OP!$D$107</f>
        <v>本建議書僅供參考，詳細商品內容及其變更，應以投保當時保單條款內容及本公司核保、保全作業規定為準</v>
      </c>
      <c r="C183" s="598"/>
      <c r="D183" s="598"/>
      <c r="E183" s="598"/>
      <c r="F183" s="598"/>
      <c r="G183" s="598"/>
      <c r="H183" s="598"/>
      <c r="I183" s="598"/>
      <c r="J183" s="598"/>
      <c r="K183" s="598"/>
      <c r="L183" s="598"/>
      <c r="M183" s="598"/>
      <c r="N183" s="598"/>
      <c r="O183" s="598"/>
      <c r="P183" s="598"/>
      <c r="Q183" s="598"/>
      <c r="R183" s="598"/>
      <c r="S183" s="598"/>
      <c r="T183" s="598"/>
      <c r="U183" s="598"/>
      <c r="V183" s="598"/>
      <c r="W183" s="598"/>
      <c r="X183" s="23"/>
    </row>
    <row r="184" spans="1:24" s="24" customFormat="1" ht="15" customHeight="1">
      <c r="B184" s="375"/>
      <c r="C184" s="376"/>
      <c r="F184" s="559" t="str">
        <f>OP!$D$106</f>
        <v xml:space="preserve"> ※本契約條款樣張須於訂立契約前提供要保人至少三日審閱期間</v>
      </c>
      <c r="G184" s="560"/>
      <c r="H184" s="560"/>
      <c r="I184" s="560"/>
      <c r="J184" s="560"/>
      <c r="K184" s="560"/>
      <c r="L184" s="560"/>
      <c r="M184" s="560"/>
      <c r="N184" s="560"/>
      <c r="O184" s="560"/>
      <c r="P184" s="560"/>
      <c r="Q184" s="560"/>
      <c r="R184" s="485"/>
      <c r="S184" s="227"/>
      <c r="T184" s="160"/>
      <c r="U184" s="160"/>
      <c r="V184" s="160"/>
      <c r="W184" s="161" t="str">
        <f ca="1">OP!$D$105</f>
        <v>V1.2-1150101 試算日：1150101</v>
      </c>
      <c r="X184" s="23"/>
    </row>
    <row r="185" spans="1:24" s="24" customFormat="1" ht="15" customHeight="1">
      <c r="B185" s="375"/>
      <c r="C185" s="376"/>
      <c r="E185" s="470"/>
      <c r="F185" s="471"/>
      <c r="G185" s="471"/>
      <c r="H185" s="471"/>
      <c r="I185" s="471"/>
      <c r="J185" s="471"/>
      <c r="K185" s="471"/>
      <c r="L185" s="471"/>
      <c r="M185" s="471"/>
      <c r="N185" s="471"/>
      <c r="O185" s="471"/>
      <c r="P185" s="471"/>
      <c r="Q185" s="471"/>
      <c r="R185" s="471"/>
      <c r="S185" s="227"/>
      <c r="T185" s="160"/>
      <c r="U185" s="160"/>
      <c r="V185" s="160"/>
      <c r="W185" s="373" t="str">
        <f>IF(OP!$C$105="停售","本商品已停售","")</f>
        <v/>
      </c>
      <c r="X185" s="23"/>
    </row>
    <row r="186" spans="1:24" s="24" customFormat="1" ht="16.5" customHeight="1">
      <c r="B186" s="473" t="str">
        <f>IF(OR(PYY=0,PY!$C$6=0),"未設定分期定期保險金",IF(AND(輸入頁!$G$26&gt;0,MAX($F195:$G279,$J195:$K279,$R195:$S279,$V195:$W279)=0),"指定分期給付金額低於最低限制，僅能一次給付",IF(輸入頁!$G$26=0,"","指定保險金比例："&amp;TEXT(PY!$C$4,"0%")&amp;"，"&amp;輸入頁!$F$28&amp;TEXT(輸入頁!$G$28,"0.00%")&amp;"，"&amp;輸入頁!$F$30&amp;TEXT(輸入頁!$G$30,"0 個月"))))</f>
        <v>未設定分期定期保險金</v>
      </c>
      <c r="C186" s="370"/>
      <c r="D186" s="370"/>
      <c r="E186" s="370"/>
      <c r="F186" s="370"/>
      <c r="G186" s="370"/>
      <c r="H186" s="370"/>
      <c r="I186" s="370"/>
      <c r="J186" s="370"/>
      <c r="K186" s="370"/>
      <c r="L186" s="370"/>
      <c r="M186" s="370"/>
      <c r="N186" s="370"/>
      <c r="O186" s="370"/>
      <c r="P186" s="370"/>
      <c r="Q186" s="370"/>
      <c r="R186" s="370"/>
      <c r="S186" s="370"/>
      <c r="V186" s="371"/>
      <c r="W186" s="477" t="s">
        <v>769</v>
      </c>
      <c r="X186" s="23"/>
    </row>
    <row r="187" spans="1:24" s="369" customFormat="1" ht="16.5" customHeight="1">
      <c r="B187" s="604" t="s">
        <v>316</v>
      </c>
      <c r="C187" s="604" t="s">
        <v>0</v>
      </c>
      <c r="D187" s="583" t="s">
        <v>753</v>
      </c>
      <c r="E187" s="584"/>
      <c r="F187" s="584"/>
      <c r="G187" s="584"/>
      <c r="H187" s="584"/>
      <c r="I187" s="584"/>
      <c r="J187" s="584"/>
      <c r="K187" s="584"/>
      <c r="L187" s="584"/>
      <c r="M187" s="584"/>
      <c r="N187" s="585" t="s">
        <v>1041</v>
      </c>
      <c r="O187" s="586"/>
      <c r="P187" s="586"/>
      <c r="Q187" s="586"/>
      <c r="R187" s="586"/>
      <c r="S187" s="585" t="s">
        <v>984</v>
      </c>
      <c r="T187" s="586"/>
      <c r="U187" s="586"/>
      <c r="V187" s="586"/>
      <c r="W187" s="586"/>
      <c r="X187" s="368"/>
    </row>
    <row r="188" spans="1:24" s="369" customFormat="1" ht="30" customHeight="1">
      <c r="B188" s="585"/>
      <c r="C188" s="585"/>
      <c r="D188" s="587" t="s">
        <v>630</v>
      </c>
      <c r="E188" s="588"/>
      <c r="F188" s="588"/>
      <c r="G188" s="588"/>
      <c r="H188" s="588"/>
      <c r="I188" s="587" t="s">
        <v>767</v>
      </c>
      <c r="J188" s="588"/>
      <c r="K188" s="588"/>
      <c r="L188" s="588"/>
      <c r="M188" s="588"/>
      <c r="N188" s="586"/>
      <c r="O188" s="586"/>
      <c r="P188" s="586"/>
      <c r="Q188" s="586"/>
      <c r="R188" s="586"/>
      <c r="S188" s="586"/>
      <c r="T188" s="586"/>
      <c r="U188" s="586"/>
      <c r="V188" s="586"/>
      <c r="W188" s="586"/>
      <c r="X188" s="368"/>
    </row>
    <row r="189" spans="1:24" s="369" customFormat="1" ht="53.1" customHeight="1">
      <c r="B189" s="605"/>
      <c r="C189" s="606"/>
      <c r="D189" s="587" t="s">
        <v>983</v>
      </c>
      <c r="E189" s="588"/>
      <c r="F189" s="588"/>
      <c r="G189" s="587" t="str">
        <f>IF(OR(PYY=0,PY!$C$6=0),"","分期給付(月)
給付"&amp;PY!$C$6&amp;"個月
(預估值)")</f>
        <v/>
      </c>
      <c r="H189" s="589"/>
      <c r="I189" s="587" t="s">
        <v>983</v>
      </c>
      <c r="J189" s="588"/>
      <c r="K189" s="588"/>
      <c r="L189" s="587" t="str">
        <f>IF(OR(PYY=0,PY!$C$6=0),"","分期給付(月)
給付"&amp;PY!$C$6&amp;"個月
(預估值)")</f>
        <v/>
      </c>
      <c r="M189" s="589"/>
      <c r="N189" s="587" t="s">
        <v>983</v>
      </c>
      <c r="O189" s="588"/>
      <c r="P189" s="588"/>
      <c r="Q189" s="587" t="str">
        <f>IF(OR(PYY=0,PY!$C$6=0),"","分期給付(月)
給付"&amp;PY!$C$6&amp;"個月
(預估值)")</f>
        <v/>
      </c>
      <c r="R189" s="589"/>
      <c r="S189" s="587" t="s">
        <v>983</v>
      </c>
      <c r="T189" s="588"/>
      <c r="U189" s="588"/>
      <c r="V189" s="587" t="str">
        <f>IF(OR(PYY=0,PY!$C$6=0),"","分期給付(月)
給付"&amp;PY!$C$6&amp;"個月
(預估值)")</f>
        <v/>
      </c>
      <c r="W189" s="589"/>
      <c r="X189" s="368"/>
    </row>
    <row r="190" spans="1:24" s="21" customFormat="1" ht="14.1" customHeight="1">
      <c r="B190" s="481">
        <f ca="1">IF(OR(C178&gt;=OP!F$57,C178=""),"",IF(C178+1&gt;OP!$F$57,OP!$F$57+1-$B$23,B178+1))</f>
        <v>46</v>
      </c>
      <c r="C190" s="481">
        <f ca="1">IF(OR($A$2=1,MAX($C$134:$C$178)&gt;=OP!$F$57),"",C178+(B190-B178))</f>
        <v>45</v>
      </c>
      <c r="D190" s="566">
        <f ca="1">IF(OR($A$2=1,$B190=""),"",ROUND(ROUND(VLOOKUP(OP!$C$55,HL_1,$B190+1,0)*OP!$C$28,0)*IF(OR($G190=0,$G190=""),1,PYO),0))</f>
        <v>50668</v>
      </c>
      <c r="E190" s="567"/>
      <c r="F190" s="567"/>
      <c r="G190" s="566">
        <f ca="1">IF(OR($A$2=1,$B190=""),"",ROUND(ROUND(VLOOKUP(OP!$C$55,HL_1,$B190+1,0)*OP!$C$28,0)*IF(OR(ROUND(VLOOKUP(OP!$C$55,HL_1,$B190+1,0)*OP!$C$28,0)*PY!$C$4&lt;PY!$D$5,ROUND(VLOOKUP(OP!$C$55,HL_1,$B190+1,0)*OP!$C$28,0)*PY!$C$4*PYR&lt;PY!$C$5),0,PYY)*PYR,0))</f>
        <v>0</v>
      </c>
      <c r="H190" s="568"/>
      <c r="I190" s="566">
        <f ca="1">IF(OR($A$2=1,$B190=""),"",ROUND(ROUND(VLOOKUP(OP!$C$55,HL_2,$B190+1,0)*OP!$C$28,0)*IF(OR($L190=0,$L190=""),1,PYO),0))</f>
        <v>100000</v>
      </c>
      <c r="J190" s="567"/>
      <c r="K190" s="567"/>
      <c r="L190" s="566">
        <f ca="1">IF(OR($A$2=1,$B190=""),"",ROUND(ROUND(VLOOKUP(OP!$C$55,HL_2,$B190+1,0)*OP!$C$28,0)*IF(OR(ROUND(VLOOKUP(OP!$C$55,HL_2,$B190+1,0)*OP!$C$28,0)*PY!$C$4&lt;PY!$D$5,ROUND(VLOOKUP(OP!$C$55,HL_2,$B190+1,0)*OP!$C$28,0)*PY!$C$4*PYR&lt;PY!$C$5),0,PYY)*PYR,0))</f>
        <v>0</v>
      </c>
      <c r="M190" s="568"/>
      <c r="N190" s="566">
        <f ca="1">IF(OR($A$2=1,$B190=""),"",ROUND((ROUND(VLOOKUP(OP!$C$55,HL_2,$B190+1,0)*OP!$C$28,0)+ROUND(OP!$C$28*10000*0.2,0))*IF(OR($Q190=0,$Q190=""),1,PYO),0))</f>
        <v>120000</v>
      </c>
      <c r="O190" s="567"/>
      <c r="P190" s="567"/>
      <c r="Q190" s="566">
        <f ca="1">IF(OR($A$2=1,$B190=""),"",ROUND((ROUND(VLOOKUP(OP!$C$55,HL_2,$B190+1,0)*OP!$C$28,0)+ROUND(OP!$C$28*10000*0.2,0))*IF(OR((ROUND(VLOOKUP(OP!$C$55,HL_2,$B190+1,0)*OP!$C$28,0)+ROUND(OP!$C$28*10000*0.2,0))*PY!$C$4&lt;PY!$D$5,(ROUND(VLOOKUP(OP!$C$55,HL_2,$B190+1,0)*OP!$C$28,0)+ROUND(OP!$C$28*10000*0.2,0))*PY!$C$4*PYR&lt;PY!$C$5),0,PYY)*PYR,0))</f>
        <v>0</v>
      </c>
      <c r="R190" s="568"/>
      <c r="S190" s="566">
        <f ca="1">IF(OR($A$2=1,$B190=""),"",ROUND(ROUND(VLOOKUP(OP!$C$55,HL_3,$B190+1,0)*OP!$C$28,0)*IF(OR($V190=0,$V190=""),1,PYO),0))</f>
        <v>100000</v>
      </c>
      <c r="T190" s="567"/>
      <c r="U190" s="567"/>
      <c r="V190" s="566">
        <f ca="1">IF(OR($A$2=1,$B190=""),"",ROUND(ROUND(VLOOKUP(OP!$C$55,HL_3,$B190+1,0)*OP!$C$28,0)*IF(OR(ROUND(VLOOKUP(OP!$C$55,HL_3,$B190+1,0)*OP!$C$28,0)*PY!$C$4&lt;PY!$D$5,ROUND(VLOOKUP(OP!$C$55,HL_3,$B190+1,0)*OP!$C$28,0)*PY!$C$4*PYR&lt;PY!$C$5),0,PYY)*PYR,0))</f>
        <v>0</v>
      </c>
      <c r="W190" s="568"/>
      <c r="X190" s="22"/>
    </row>
    <row r="191" spans="1:24" s="21" customFormat="1" ht="14.1" customHeight="1">
      <c r="B191" s="481">
        <f ca="1">IF(OR(C190&gt;=OP!F$57,C190=""),"",IF(C190+1&gt;OP!$F$57,OP!$F$57+1-$B$23,B190+1))</f>
        <v>47</v>
      </c>
      <c r="C191" s="481">
        <f ca="1">IF(OR($A$2=1,MAX($C$134:$C$178,$C$190:C190)&gt;=OP!$F$57),"",C190+(B191-B190))</f>
        <v>46</v>
      </c>
      <c r="D191" s="566">
        <f ca="1">IF(OR($A$2=1,$B191=""),"",ROUND(ROUND(VLOOKUP(OP!$C$55,HL_1,$B191+1,0)*OP!$C$28,0)*IF(OR($G191=0,$G191=""),1,PYO),0))</f>
        <v>50668</v>
      </c>
      <c r="E191" s="567"/>
      <c r="F191" s="567"/>
      <c r="G191" s="566">
        <f ca="1">IF(OR($A$2=1,$B191=""),"",ROUND(ROUND(VLOOKUP(OP!$C$55,HL_1,$B191+1,0)*OP!$C$28,0)*IF(OR(ROUND(VLOOKUP(OP!$C$55,HL_1,$B191+1,0)*OP!$C$28,0)*PY!$C$4&lt;PY!$D$5,ROUND(VLOOKUP(OP!$C$55,HL_1,$B191+1,0)*OP!$C$28,0)*PY!$C$4*PYR&lt;PY!$C$5),0,PYY)*PYR,0))</f>
        <v>0</v>
      </c>
      <c r="H191" s="568"/>
      <c r="I191" s="566">
        <f ca="1">IF(OR($A$2=1,$B191=""),"",ROUND(ROUND(VLOOKUP(OP!$C$55,HL_2,$B191+1,0)*OP!$C$28,0)*IF(OR($L191=0,$L191=""),1,PYO),0))</f>
        <v>100000</v>
      </c>
      <c r="J191" s="567"/>
      <c r="K191" s="567"/>
      <c r="L191" s="566">
        <f ca="1">IF(OR($A$2=1,$B191=""),"",ROUND(ROUND(VLOOKUP(OP!$C$55,HL_2,$B191+1,0)*OP!$C$28,0)*IF(OR(ROUND(VLOOKUP(OP!$C$55,HL_2,$B191+1,0)*OP!$C$28,0)*PY!$C$4&lt;PY!$D$5,ROUND(VLOOKUP(OP!$C$55,HL_2,$B191+1,0)*OP!$C$28,0)*PY!$C$4*PYR&lt;PY!$C$5),0,PYY)*PYR,0))</f>
        <v>0</v>
      </c>
      <c r="M191" s="568"/>
      <c r="N191" s="566">
        <f ca="1">IF(OR($A$2=1,$B191=""),"",ROUND((ROUND(VLOOKUP(OP!$C$55,HL_2,$B191+1,0)*OP!$C$28,0)+ROUND(OP!$C$28*10000*0.2,0))*IF(OR($Q191=0,$Q191=""),1,PYO),0))</f>
        <v>120000</v>
      </c>
      <c r="O191" s="567"/>
      <c r="P191" s="567"/>
      <c r="Q191" s="566">
        <f ca="1">IF(OR($A$2=1,$B191=""),"",ROUND((ROUND(VLOOKUP(OP!$C$55,HL_2,$B191+1,0)*OP!$C$28,0)+ROUND(OP!$C$28*10000*0.2,0))*IF(OR((ROUND(VLOOKUP(OP!$C$55,HL_2,$B191+1,0)*OP!$C$28,0)+ROUND(OP!$C$28*10000*0.2,0))*PY!$C$4&lt;PY!$D$5,(ROUND(VLOOKUP(OP!$C$55,HL_2,$B191+1,0)*OP!$C$28,0)+ROUND(OP!$C$28*10000*0.2,0))*PY!$C$4*PYR&lt;PY!$C$5),0,PYY)*PYR,0))</f>
        <v>0</v>
      </c>
      <c r="R191" s="568"/>
      <c r="S191" s="566">
        <f ca="1">IF(OR($A$2=1,$B191=""),"",ROUND(ROUND(VLOOKUP(OP!$C$55,HL_3,$B191+1,0)*OP!$C$28,0)*IF(OR($V191=0,$V191=""),1,PYO),0))</f>
        <v>100000</v>
      </c>
      <c r="T191" s="567"/>
      <c r="U191" s="567"/>
      <c r="V191" s="566">
        <f ca="1">IF(OR($A$2=1,$B191=""),"",ROUND(ROUND(VLOOKUP(OP!$C$55,HL_3,$B191+1,0)*OP!$C$28,0)*IF(OR(ROUND(VLOOKUP(OP!$C$55,HL_3,$B191+1,0)*OP!$C$28,0)*PY!$C$4&lt;PY!$D$5,ROUND(VLOOKUP(OP!$C$55,HL_3,$B191+1,0)*OP!$C$28,0)*PY!$C$4*PYR&lt;PY!$C$5),0,PYY)*PYR,0))</f>
        <v>0</v>
      </c>
      <c r="W191" s="568"/>
      <c r="X191" s="22"/>
    </row>
    <row r="192" spans="1:24" s="21" customFormat="1" ht="14.1" customHeight="1">
      <c r="B192" s="481">
        <f ca="1">IF(OR(C191&gt;=OP!F$57,C191=""),"",IF(C191+1&gt;OP!$F$57,OP!$F$57+1-$B$23,B191+1))</f>
        <v>48</v>
      </c>
      <c r="C192" s="481">
        <f ca="1">IF(OR($A$2=1,MAX($C$134:$C$178,$C$190:C191)&gt;=OP!$F$57),"",C191+(B192-B191))</f>
        <v>47</v>
      </c>
      <c r="D192" s="566">
        <f ca="1">IF(OR($A$2=1,$B192=""),"",ROUND(ROUND(VLOOKUP(OP!$C$55,HL_1,$B192+1,0)*OP!$C$28,0)*IF(OR($G192=0,$G192=""),1,PYO),0))</f>
        <v>50668</v>
      </c>
      <c r="E192" s="567"/>
      <c r="F192" s="567"/>
      <c r="G192" s="566">
        <f ca="1">IF(OR($A$2=1,$B192=""),"",ROUND(ROUND(VLOOKUP(OP!$C$55,HL_1,$B192+1,0)*OP!$C$28,0)*IF(OR(ROUND(VLOOKUP(OP!$C$55,HL_1,$B192+1,0)*OP!$C$28,0)*PY!$C$4&lt;PY!$D$5,ROUND(VLOOKUP(OP!$C$55,HL_1,$B192+1,0)*OP!$C$28,0)*PY!$C$4*PYR&lt;PY!$C$5),0,PYY)*PYR,0))</f>
        <v>0</v>
      </c>
      <c r="H192" s="568"/>
      <c r="I192" s="566">
        <f ca="1">IF(OR($A$2=1,$B192=""),"",ROUND(ROUND(VLOOKUP(OP!$C$55,HL_2,$B192+1,0)*OP!$C$28,0)*IF(OR($L192=0,$L192=""),1,PYO),0))</f>
        <v>100000</v>
      </c>
      <c r="J192" s="567"/>
      <c r="K192" s="567"/>
      <c r="L192" s="566">
        <f ca="1">IF(OR($A$2=1,$B192=""),"",ROUND(ROUND(VLOOKUP(OP!$C$55,HL_2,$B192+1,0)*OP!$C$28,0)*IF(OR(ROUND(VLOOKUP(OP!$C$55,HL_2,$B192+1,0)*OP!$C$28,0)*PY!$C$4&lt;PY!$D$5,ROUND(VLOOKUP(OP!$C$55,HL_2,$B192+1,0)*OP!$C$28,0)*PY!$C$4*PYR&lt;PY!$C$5),0,PYY)*PYR,0))</f>
        <v>0</v>
      </c>
      <c r="M192" s="568"/>
      <c r="N192" s="566">
        <f ca="1">IF(OR($A$2=1,$B192=""),"",ROUND((ROUND(VLOOKUP(OP!$C$55,HL_2,$B192+1,0)*OP!$C$28,0)+ROUND(OP!$C$28*10000*0.2,0))*IF(OR($Q192=0,$Q192=""),1,PYO),0))</f>
        <v>120000</v>
      </c>
      <c r="O192" s="567"/>
      <c r="P192" s="567"/>
      <c r="Q192" s="566">
        <f ca="1">IF(OR($A$2=1,$B192=""),"",ROUND((ROUND(VLOOKUP(OP!$C$55,HL_2,$B192+1,0)*OP!$C$28,0)+ROUND(OP!$C$28*10000*0.2,0))*IF(OR((ROUND(VLOOKUP(OP!$C$55,HL_2,$B192+1,0)*OP!$C$28,0)+ROUND(OP!$C$28*10000*0.2,0))*PY!$C$4&lt;PY!$D$5,(ROUND(VLOOKUP(OP!$C$55,HL_2,$B192+1,0)*OP!$C$28,0)+ROUND(OP!$C$28*10000*0.2,0))*PY!$C$4*PYR&lt;PY!$C$5),0,PYY)*PYR,0))</f>
        <v>0</v>
      </c>
      <c r="R192" s="568"/>
      <c r="S192" s="566">
        <f ca="1">IF(OR($A$2=1,$B192=""),"",ROUND(ROUND(VLOOKUP(OP!$C$55,HL_3,$B192+1,0)*OP!$C$28,0)*IF(OR($V192=0,$V192=""),1,PYO),0))</f>
        <v>100000</v>
      </c>
      <c r="T192" s="567"/>
      <c r="U192" s="567"/>
      <c r="V192" s="566">
        <f ca="1">IF(OR($A$2=1,$B192=""),"",ROUND(ROUND(VLOOKUP(OP!$C$55,HL_3,$B192+1,0)*OP!$C$28,0)*IF(OR(ROUND(VLOOKUP(OP!$C$55,HL_3,$B192+1,0)*OP!$C$28,0)*PY!$C$4&lt;PY!$D$5,ROUND(VLOOKUP(OP!$C$55,HL_3,$B192+1,0)*OP!$C$28,0)*PY!$C$4*PYR&lt;PY!$C$5),0,PYY)*PYR,0))</f>
        <v>0</v>
      </c>
      <c r="W192" s="568"/>
      <c r="X192" s="22"/>
    </row>
    <row r="193" spans="2:24" s="21" customFormat="1" ht="14.1" customHeight="1">
      <c r="B193" s="481">
        <f ca="1">IF(OR(C192&gt;=OP!F$57,C192=""),"",IF(C192+1&gt;OP!$F$57,OP!$F$57+1-$B$23,B192+1))</f>
        <v>49</v>
      </c>
      <c r="C193" s="481">
        <f ca="1">IF(OR($A$2=1,MAX($C$134:$C$178,$C$190:C192)&gt;=OP!$F$57),"",C192+(B193-B192))</f>
        <v>48</v>
      </c>
      <c r="D193" s="566">
        <f ca="1">IF(OR($A$2=1,$B193=""),"",ROUND(ROUND(VLOOKUP(OP!$C$55,HL_1,$B193+1,0)*OP!$C$28,0)*IF(OR($G193=0,$G193=""),1,PYO),0))</f>
        <v>50668</v>
      </c>
      <c r="E193" s="567"/>
      <c r="F193" s="567"/>
      <c r="G193" s="566">
        <f ca="1">IF(OR($A$2=1,$B193=""),"",ROUND(ROUND(VLOOKUP(OP!$C$55,HL_1,$B193+1,0)*OP!$C$28,0)*IF(OR(ROUND(VLOOKUP(OP!$C$55,HL_1,$B193+1,0)*OP!$C$28,0)*PY!$C$4&lt;PY!$D$5,ROUND(VLOOKUP(OP!$C$55,HL_1,$B193+1,0)*OP!$C$28,0)*PY!$C$4*PYR&lt;PY!$C$5),0,PYY)*PYR,0))</f>
        <v>0</v>
      </c>
      <c r="H193" s="568"/>
      <c r="I193" s="566">
        <f ca="1">IF(OR($A$2=1,$B193=""),"",ROUND(ROUND(VLOOKUP(OP!$C$55,HL_2,$B193+1,0)*OP!$C$28,0)*IF(OR($L193=0,$L193=""),1,PYO),0))</f>
        <v>100000</v>
      </c>
      <c r="J193" s="567"/>
      <c r="K193" s="567"/>
      <c r="L193" s="566">
        <f ca="1">IF(OR($A$2=1,$B193=""),"",ROUND(ROUND(VLOOKUP(OP!$C$55,HL_2,$B193+1,0)*OP!$C$28,0)*IF(OR(ROUND(VLOOKUP(OP!$C$55,HL_2,$B193+1,0)*OP!$C$28,0)*PY!$C$4&lt;PY!$D$5,ROUND(VLOOKUP(OP!$C$55,HL_2,$B193+1,0)*OP!$C$28,0)*PY!$C$4*PYR&lt;PY!$C$5),0,PYY)*PYR,0))</f>
        <v>0</v>
      </c>
      <c r="M193" s="568"/>
      <c r="N193" s="566">
        <f ca="1">IF(OR($A$2=1,$B193=""),"",ROUND((ROUND(VLOOKUP(OP!$C$55,HL_2,$B193+1,0)*OP!$C$28,0)+ROUND(OP!$C$28*10000*0.2,0))*IF(OR($Q193=0,$Q193=""),1,PYO),0))</f>
        <v>120000</v>
      </c>
      <c r="O193" s="567"/>
      <c r="P193" s="567"/>
      <c r="Q193" s="566">
        <f ca="1">IF(OR($A$2=1,$B193=""),"",ROUND((ROUND(VLOOKUP(OP!$C$55,HL_2,$B193+1,0)*OP!$C$28,0)+ROUND(OP!$C$28*10000*0.2,0))*IF(OR((ROUND(VLOOKUP(OP!$C$55,HL_2,$B193+1,0)*OP!$C$28,0)+ROUND(OP!$C$28*10000*0.2,0))*PY!$C$4&lt;PY!$D$5,(ROUND(VLOOKUP(OP!$C$55,HL_2,$B193+1,0)*OP!$C$28,0)+ROUND(OP!$C$28*10000*0.2,0))*PY!$C$4*PYR&lt;PY!$C$5),0,PYY)*PYR,0))</f>
        <v>0</v>
      </c>
      <c r="R193" s="568"/>
      <c r="S193" s="566">
        <f ca="1">IF(OR($A$2=1,$B193=""),"",ROUND(ROUND(VLOOKUP(OP!$C$55,HL_3,$B193+1,0)*OP!$C$28,0)*IF(OR($V193=0,$V193=""),1,PYO),0))</f>
        <v>100000</v>
      </c>
      <c r="T193" s="567"/>
      <c r="U193" s="567"/>
      <c r="V193" s="566">
        <f ca="1">IF(OR($A$2=1,$B193=""),"",ROUND(ROUND(VLOOKUP(OP!$C$55,HL_3,$B193+1,0)*OP!$C$28,0)*IF(OR(ROUND(VLOOKUP(OP!$C$55,HL_3,$B193+1,0)*OP!$C$28,0)*PY!$C$4&lt;PY!$D$5,ROUND(VLOOKUP(OP!$C$55,HL_3,$B193+1,0)*OP!$C$28,0)*PY!$C$4*PYR&lt;PY!$C$5),0,PYY)*PYR,0))</f>
        <v>0</v>
      </c>
      <c r="W193" s="568"/>
      <c r="X193" s="22"/>
    </row>
    <row r="194" spans="2:24" s="21" customFormat="1" ht="14.1" customHeight="1">
      <c r="B194" s="481">
        <f ca="1">IF(OR(C193&gt;=OP!F$57,C193=""),"",IF(C193+1&gt;OP!$F$57,OP!$F$57+1-$B$23,B193+1))</f>
        <v>50</v>
      </c>
      <c r="C194" s="481">
        <f ca="1">IF(OR($A$2=1,MAX($C$134:$C$178,$C$190:C193)&gt;=OP!$F$57),"",C193+(B194-B193))</f>
        <v>49</v>
      </c>
      <c r="D194" s="566">
        <f ca="1">IF(OR($A$2=1,$B194=""),"",ROUND(ROUND(VLOOKUP(OP!$C$55,HL_1,$B194+1,0)*OP!$C$28,0)*IF(OR($G194=0,$G194=""),1,PYO),0))</f>
        <v>50668</v>
      </c>
      <c r="E194" s="567"/>
      <c r="F194" s="567"/>
      <c r="G194" s="566">
        <f ca="1">IF(OR($A$2=1,$B194=""),"",ROUND(ROUND(VLOOKUP(OP!$C$55,HL_1,$B194+1,0)*OP!$C$28,0)*IF(OR(ROUND(VLOOKUP(OP!$C$55,HL_1,$B194+1,0)*OP!$C$28,0)*PY!$C$4&lt;PY!$D$5,ROUND(VLOOKUP(OP!$C$55,HL_1,$B194+1,0)*OP!$C$28,0)*PY!$C$4*PYR&lt;PY!$C$5),0,PYY)*PYR,0))</f>
        <v>0</v>
      </c>
      <c r="H194" s="568"/>
      <c r="I194" s="566">
        <f ca="1">IF(OR($A$2=1,$B194=""),"",ROUND(ROUND(VLOOKUP(OP!$C$55,HL_2,$B194+1,0)*OP!$C$28,0)*IF(OR($L194=0,$L194=""),1,PYO),0))</f>
        <v>100000</v>
      </c>
      <c r="J194" s="567"/>
      <c r="K194" s="567"/>
      <c r="L194" s="566">
        <f ca="1">IF(OR($A$2=1,$B194=""),"",ROUND(ROUND(VLOOKUP(OP!$C$55,HL_2,$B194+1,0)*OP!$C$28,0)*IF(OR(ROUND(VLOOKUP(OP!$C$55,HL_2,$B194+1,0)*OP!$C$28,0)*PY!$C$4&lt;PY!$D$5,ROUND(VLOOKUP(OP!$C$55,HL_2,$B194+1,0)*OP!$C$28,0)*PY!$C$4*PYR&lt;PY!$C$5),0,PYY)*PYR,0))</f>
        <v>0</v>
      </c>
      <c r="M194" s="568"/>
      <c r="N194" s="566">
        <f ca="1">IF(OR($A$2=1,$B194=""),"",ROUND((ROUND(VLOOKUP(OP!$C$55,HL_2,$B194+1,0)*OP!$C$28,0)+ROUND(OP!$C$28*10000*0.2,0))*IF(OR($Q194=0,$Q194=""),1,PYO),0))</f>
        <v>120000</v>
      </c>
      <c r="O194" s="567"/>
      <c r="P194" s="567"/>
      <c r="Q194" s="566">
        <f ca="1">IF(OR($A$2=1,$B194=""),"",ROUND((ROUND(VLOOKUP(OP!$C$55,HL_2,$B194+1,0)*OP!$C$28,0)+ROUND(OP!$C$28*10000*0.2,0))*IF(OR((ROUND(VLOOKUP(OP!$C$55,HL_2,$B194+1,0)*OP!$C$28,0)+ROUND(OP!$C$28*10000*0.2,0))*PY!$C$4&lt;PY!$D$5,(ROUND(VLOOKUP(OP!$C$55,HL_2,$B194+1,0)*OP!$C$28,0)+ROUND(OP!$C$28*10000*0.2,0))*PY!$C$4*PYR&lt;PY!$C$5),0,PYY)*PYR,0))</f>
        <v>0</v>
      </c>
      <c r="R194" s="568"/>
      <c r="S194" s="566">
        <f ca="1">IF(OR($A$2=1,$B194=""),"",ROUND(ROUND(VLOOKUP(OP!$C$55,HL_3,$B194+1,0)*OP!$C$28,0)*IF(OR($V194=0,$V194=""),1,PYO),0))</f>
        <v>100000</v>
      </c>
      <c r="T194" s="567"/>
      <c r="U194" s="567"/>
      <c r="V194" s="566">
        <f ca="1">IF(OR($A$2=1,$B194=""),"",ROUND(ROUND(VLOOKUP(OP!$C$55,HL_3,$B194+1,0)*OP!$C$28,0)*IF(OR(ROUND(VLOOKUP(OP!$C$55,HL_3,$B194+1,0)*OP!$C$28,0)*PY!$C$4&lt;PY!$D$5,ROUND(VLOOKUP(OP!$C$55,HL_3,$B194+1,0)*OP!$C$28,0)*PY!$C$4*PYR&lt;PY!$C$5),0,PYY)*PYR,0))</f>
        <v>0</v>
      </c>
      <c r="W194" s="568"/>
      <c r="X194" s="22"/>
    </row>
    <row r="195" spans="2:24" s="21" customFormat="1" ht="14.1" customHeight="1">
      <c r="B195" s="481">
        <f ca="1">IF(OR(C194&gt;=OP!F$57,C194=""),"",IF(C194+1&gt;OP!$F$57,OP!$F$57+1-$B$23,B194+1))</f>
        <v>51</v>
      </c>
      <c r="C195" s="481">
        <f ca="1">IF(OR($A$2=1,MAX($C$134:$C$178,$C$190:C194)&gt;=OP!$F$57),"",C194+(B195-B194))</f>
        <v>50</v>
      </c>
      <c r="D195" s="566">
        <f ca="1">IF(OR($A$2=1,$B195=""),"",ROUND(ROUND(VLOOKUP(OP!$C$55,HL_1,$B195+1,0)*OP!$C$28,0)*IF(OR($G195=0,$G195=""),1,PYO),0))</f>
        <v>50668</v>
      </c>
      <c r="E195" s="567"/>
      <c r="F195" s="567"/>
      <c r="G195" s="566">
        <f ca="1">IF(OR($A$2=1,$B195=""),"",ROUND(ROUND(VLOOKUP(OP!$C$55,HL_1,$B195+1,0)*OP!$C$28,0)*IF(OR(ROUND(VLOOKUP(OP!$C$55,HL_1,$B195+1,0)*OP!$C$28,0)*PY!$C$4&lt;PY!$D$5,ROUND(VLOOKUP(OP!$C$55,HL_1,$B195+1,0)*OP!$C$28,0)*PY!$C$4*PYR&lt;PY!$C$5),0,PYY)*PYR,0))</f>
        <v>0</v>
      </c>
      <c r="H195" s="568"/>
      <c r="I195" s="566">
        <f ca="1">IF(OR($A$2=1,$B195=""),"",ROUND(ROUND(VLOOKUP(OP!$C$55,HL_2,$B195+1,0)*OP!$C$28,0)*IF(OR($L195=0,$L195=""),1,PYO),0))</f>
        <v>100000</v>
      </c>
      <c r="J195" s="567"/>
      <c r="K195" s="567"/>
      <c r="L195" s="566">
        <f ca="1">IF(OR($A$2=1,$B195=""),"",ROUND(ROUND(VLOOKUP(OP!$C$55,HL_2,$B195+1,0)*OP!$C$28,0)*IF(OR(ROUND(VLOOKUP(OP!$C$55,HL_2,$B195+1,0)*OP!$C$28,0)*PY!$C$4&lt;PY!$D$5,ROUND(VLOOKUP(OP!$C$55,HL_2,$B195+1,0)*OP!$C$28,0)*PY!$C$4*PYR&lt;PY!$C$5),0,PYY)*PYR,0))</f>
        <v>0</v>
      </c>
      <c r="M195" s="568"/>
      <c r="N195" s="566">
        <f ca="1">IF(OR($A$2=1,$B195=""),"",ROUND((ROUND(VLOOKUP(OP!$C$55,HL_2,$B195+1,0)*OP!$C$28,0)+ROUND(OP!$C$28*10000*0.2,0))*IF(OR($Q195=0,$Q195=""),1,PYO),0))</f>
        <v>120000</v>
      </c>
      <c r="O195" s="567"/>
      <c r="P195" s="567"/>
      <c r="Q195" s="566">
        <f ca="1">IF(OR($A$2=1,$B195=""),"",ROUND((ROUND(VLOOKUP(OP!$C$55,HL_2,$B195+1,0)*OP!$C$28,0)+ROUND(OP!$C$28*10000*0.2,0))*IF(OR((ROUND(VLOOKUP(OP!$C$55,HL_2,$B195+1,0)*OP!$C$28,0)+ROUND(OP!$C$28*10000*0.2,0))*PY!$C$4&lt;PY!$D$5,(ROUND(VLOOKUP(OP!$C$55,HL_2,$B195+1,0)*OP!$C$28,0)+ROUND(OP!$C$28*10000*0.2,0))*PY!$C$4*PYR&lt;PY!$C$5),0,PYY)*PYR,0))</f>
        <v>0</v>
      </c>
      <c r="R195" s="568"/>
      <c r="S195" s="566">
        <f ca="1">IF(OR($A$2=1,$B195=""),"",ROUND(ROUND(VLOOKUP(OP!$C$55,HL_3,$B195+1,0)*OP!$C$28,0)*IF(OR($V195=0,$V195=""),1,PYO),0))</f>
        <v>100000</v>
      </c>
      <c r="T195" s="567"/>
      <c r="U195" s="567"/>
      <c r="V195" s="566">
        <f ca="1">IF(OR($A$2=1,$B195=""),"",ROUND(ROUND(VLOOKUP(OP!$C$55,HL_3,$B195+1,0)*OP!$C$28,0)*IF(OR(ROUND(VLOOKUP(OP!$C$55,HL_3,$B195+1,0)*OP!$C$28,0)*PY!$C$4&lt;PY!$D$5,ROUND(VLOOKUP(OP!$C$55,HL_3,$B195+1,0)*OP!$C$28,0)*PY!$C$4*PYR&lt;PY!$C$5),0,PYY)*PYR,0))</f>
        <v>0</v>
      </c>
      <c r="W195" s="568"/>
      <c r="X195" s="22"/>
    </row>
    <row r="196" spans="2:24" s="21" customFormat="1" ht="14.1" customHeight="1">
      <c r="B196" s="481">
        <f ca="1">IF(OR(C195&gt;=OP!F$57,C195=""),"",IF(C195+1&gt;OP!$F$57,OP!$F$57+1-$B$23,B195+1))</f>
        <v>52</v>
      </c>
      <c r="C196" s="481">
        <f ca="1">IF(OR($A$2=1,MAX($C$134:$C$178,$C$190:C195)&gt;=OP!$F$57),"",C195+(B196-B195))</f>
        <v>51</v>
      </c>
      <c r="D196" s="566">
        <f ca="1">IF(OR($A$2=1,$B196=""),"",ROUND(ROUND(VLOOKUP(OP!$C$55,HL_1,$B196+1,0)*OP!$C$28,0)*IF(OR($G196=0,$G196=""),1,PYO),0))</f>
        <v>50668</v>
      </c>
      <c r="E196" s="567"/>
      <c r="F196" s="567"/>
      <c r="G196" s="566">
        <f ca="1">IF(OR($A$2=1,$B196=""),"",ROUND(ROUND(VLOOKUP(OP!$C$55,HL_1,$B196+1,0)*OP!$C$28,0)*IF(OR(ROUND(VLOOKUP(OP!$C$55,HL_1,$B196+1,0)*OP!$C$28,0)*PY!$C$4&lt;PY!$D$5,ROUND(VLOOKUP(OP!$C$55,HL_1,$B196+1,0)*OP!$C$28,0)*PY!$C$4*PYR&lt;PY!$C$5),0,PYY)*PYR,0))</f>
        <v>0</v>
      </c>
      <c r="H196" s="568"/>
      <c r="I196" s="566">
        <f ca="1">IF(OR($A$2=1,$B196=""),"",ROUND(ROUND(VLOOKUP(OP!$C$55,HL_2,$B196+1,0)*OP!$C$28,0)*IF(OR($L196=0,$L196=""),1,PYO),0))</f>
        <v>100000</v>
      </c>
      <c r="J196" s="567"/>
      <c r="K196" s="567"/>
      <c r="L196" s="566">
        <f ca="1">IF(OR($A$2=1,$B196=""),"",ROUND(ROUND(VLOOKUP(OP!$C$55,HL_2,$B196+1,0)*OP!$C$28,0)*IF(OR(ROUND(VLOOKUP(OP!$C$55,HL_2,$B196+1,0)*OP!$C$28,0)*PY!$C$4&lt;PY!$D$5,ROUND(VLOOKUP(OP!$C$55,HL_2,$B196+1,0)*OP!$C$28,0)*PY!$C$4*PYR&lt;PY!$C$5),0,PYY)*PYR,0))</f>
        <v>0</v>
      </c>
      <c r="M196" s="568"/>
      <c r="N196" s="566">
        <f ca="1">IF(OR($A$2=1,$B196=""),"",ROUND((ROUND(VLOOKUP(OP!$C$55,HL_2,$B196+1,0)*OP!$C$28,0)+ROUND(OP!$C$28*10000*0.2,0))*IF(OR($Q196=0,$Q196=""),1,PYO),0))</f>
        <v>120000</v>
      </c>
      <c r="O196" s="567"/>
      <c r="P196" s="567"/>
      <c r="Q196" s="566">
        <f ca="1">IF(OR($A$2=1,$B196=""),"",ROUND((ROUND(VLOOKUP(OP!$C$55,HL_2,$B196+1,0)*OP!$C$28,0)+ROUND(OP!$C$28*10000*0.2,0))*IF(OR((ROUND(VLOOKUP(OP!$C$55,HL_2,$B196+1,0)*OP!$C$28,0)+ROUND(OP!$C$28*10000*0.2,0))*PY!$C$4&lt;PY!$D$5,(ROUND(VLOOKUP(OP!$C$55,HL_2,$B196+1,0)*OP!$C$28,0)+ROUND(OP!$C$28*10000*0.2,0))*PY!$C$4*PYR&lt;PY!$C$5),0,PYY)*PYR,0))</f>
        <v>0</v>
      </c>
      <c r="R196" s="568"/>
      <c r="S196" s="566">
        <f ca="1">IF(OR($A$2=1,$B196=""),"",ROUND(ROUND(VLOOKUP(OP!$C$55,HL_3,$B196+1,0)*OP!$C$28,0)*IF(OR($V196=0,$V196=""),1,PYO),0))</f>
        <v>100000</v>
      </c>
      <c r="T196" s="567"/>
      <c r="U196" s="567"/>
      <c r="V196" s="566">
        <f ca="1">IF(OR($A$2=1,$B196=""),"",ROUND(ROUND(VLOOKUP(OP!$C$55,HL_3,$B196+1,0)*OP!$C$28,0)*IF(OR(ROUND(VLOOKUP(OP!$C$55,HL_3,$B196+1,0)*OP!$C$28,0)*PY!$C$4&lt;PY!$D$5,ROUND(VLOOKUP(OP!$C$55,HL_3,$B196+1,0)*OP!$C$28,0)*PY!$C$4*PYR&lt;PY!$C$5),0,PYY)*PYR,0))</f>
        <v>0</v>
      </c>
      <c r="W196" s="568"/>
      <c r="X196" s="22"/>
    </row>
    <row r="197" spans="2:24" s="21" customFormat="1" ht="14.1" customHeight="1">
      <c r="B197" s="481">
        <f ca="1">IF(OR(C196&gt;=OP!F$57,C196=""),"",IF(C196+1&gt;OP!$F$57,OP!$F$57+1-$B$23,B196+1))</f>
        <v>53</v>
      </c>
      <c r="C197" s="481">
        <f ca="1">IF(OR($A$2=1,MAX($C$134:$C$178,$C$190:C196)&gt;=OP!$F$57),"",C196+(B197-B196))</f>
        <v>52</v>
      </c>
      <c r="D197" s="566">
        <f ca="1">IF(OR($A$2=1,$B197=""),"",ROUND(ROUND(VLOOKUP(OP!$C$55,HL_1,$B197+1,0)*OP!$C$28,0)*IF(OR($G197=0,$G197=""),1,PYO),0))</f>
        <v>50668</v>
      </c>
      <c r="E197" s="567"/>
      <c r="F197" s="567"/>
      <c r="G197" s="566">
        <f ca="1">IF(OR($A$2=1,$B197=""),"",ROUND(ROUND(VLOOKUP(OP!$C$55,HL_1,$B197+1,0)*OP!$C$28,0)*IF(OR(ROUND(VLOOKUP(OP!$C$55,HL_1,$B197+1,0)*OP!$C$28,0)*PY!$C$4&lt;PY!$D$5,ROUND(VLOOKUP(OP!$C$55,HL_1,$B197+1,0)*OP!$C$28,0)*PY!$C$4*PYR&lt;PY!$C$5),0,PYY)*PYR,0))</f>
        <v>0</v>
      </c>
      <c r="H197" s="568"/>
      <c r="I197" s="566">
        <f ca="1">IF(OR($A$2=1,$B197=""),"",ROUND(ROUND(VLOOKUP(OP!$C$55,HL_2,$B197+1,0)*OP!$C$28,0)*IF(OR($L197=0,$L197=""),1,PYO),0))</f>
        <v>100000</v>
      </c>
      <c r="J197" s="567"/>
      <c r="K197" s="567"/>
      <c r="L197" s="566">
        <f ca="1">IF(OR($A$2=1,$B197=""),"",ROUND(ROUND(VLOOKUP(OP!$C$55,HL_2,$B197+1,0)*OP!$C$28,0)*IF(OR(ROUND(VLOOKUP(OP!$C$55,HL_2,$B197+1,0)*OP!$C$28,0)*PY!$C$4&lt;PY!$D$5,ROUND(VLOOKUP(OP!$C$55,HL_2,$B197+1,0)*OP!$C$28,0)*PY!$C$4*PYR&lt;PY!$C$5),0,PYY)*PYR,0))</f>
        <v>0</v>
      </c>
      <c r="M197" s="568"/>
      <c r="N197" s="566">
        <f ca="1">IF(OR($A$2=1,$B197=""),"",ROUND((ROUND(VLOOKUP(OP!$C$55,HL_2,$B197+1,0)*OP!$C$28,0)+ROUND(OP!$C$28*10000*0.2,0))*IF(OR($Q197=0,$Q197=""),1,PYO),0))</f>
        <v>120000</v>
      </c>
      <c r="O197" s="567"/>
      <c r="P197" s="567"/>
      <c r="Q197" s="566">
        <f ca="1">IF(OR($A$2=1,$B197=""),"",ROUND((ROUND(VLOOKUP(OP!$C$55,HL_2,$B197+1,0)*OP!$C$28,0)+ROUND(OP!$C$28*10000*0.2,0))*IF(OR((ROUND(VLOOKUP(OP!$C$55,HL_2,$B197+1,0)*OP!$C$28,0)+ROUND(OP!$C$28*10000*0.2,0))*PY!$C$4&lt;PY!$D$5,(ROUND(VLOOKUP(OP!$C$55,HL_2,$B197+1,0)*OP!$C$28,0)+ROUND(OP!$C$28*10000*0.2,0))*PY!$C$4*PYR&lt;PY!$C$5),0,PYY)*PYR,0))</f>
        <v>0</v>
      </c>
      <c r="R197" s="568"/>
      <c r="S197" s="566">
        <f ca="1">IF(OR($A$2=1,$B197=""),"",ROUND(ROUND(VLOOKUP(OP!$C$55,HL_3,$B197+1,0)*OP!$C$28,0)*IF(OR($V197=0,$V197=""),1,PYO),0))</f>
        <v>100000</v>
      </c>
      <c r="T197" s="567"/>
      <c r="U197" s="567"/>
      <c r="V197" s="566">
        <f ca="1">IF(OR($A$2=1,$B197=""),"",ROUND(ROUND(VLOOKUP(OP!$C$55,HL_3,$B197+1,0)*OP!$C$28,0)*IF(OR(ROUND(VLOOKUP(OP!$C$55,HL_3,$B197+1,0)*OP!$C$28,0)*PY!$C$4&lt;PY!$D$5,ROUND(VLOOKUP(OP!$C$55,HL_3,$B197+1,0)*OP!$C$28,0)*PY!$C$4*PYR&lt;PY!$C$5),0,PYY)*PYR,0))</f>
        <v>0</v>
      </c>
      <c r="W197" s="568"/>
      <c r="X197" s="22"/>
    </row>
    <row r="198" spans="2:24" s="21" customFormat="1" ht="14.1" customHeight="1">
      <c r="B198" s="481">
        <f ca="1">IF(OR(C197&gt;=OP!F$57,C197=""),"",IF(C197+1&gt;OP!$F$57,OP!$F$57+1-$B$23,B197+1))</f>
        <v>54</v>
      </c>
      <c r="C198" s="481">
        <f ca="1">IF(OR($A$2=1,MAX($C$134:$C$178,$C$190:C197)&gt;=OP!$F$57),"",C197+(B198-B197))</f>
        <v>53</v>
      </c>
      <c r="D198" s="566">
        <f ca="1">IF(OR($A$2=1,$B198=""),"",ROUND(ROUND(VLOOKUP(OP!$C$55,HL_1,$B198+1,0)*OP!$C$28,0)*IF(OR($G198=0,$G198=""),1,PYO),0))</f>
        <v>50668</v>
      </c>
      <c r="E198" s="567"/>
      <c r="F198" s="567"/>
      <c r="G198" s="566">
        <f ca="1">IF(OR($A$2=1,$B198=""),"",ROUND(ROUND(VLOOKUP(OP!$C$55,HL_1,$B198+1,0)*OP!$C$28,0)*IF(OR(ROUND(VLOOKUP(OP!$C$55,HL_1,$B198+1,0)*OP!$C$28,0)*PY!$C$4&lt;PY!$D$5,ROUND(VLOOKUP(OP!$C$55,HL_1,$B198+1,0)*OP!$C$28,0)*PY!$C$4*PYR&lt;PY!$C$5),0,PYY)*PYR,0))</f>
        <v>0</v>
      </c>
      <c r="H198" s="568"/>
      <c r="I198" s="566">
        <f ca="1">IF(OR($A$2=1,$B198=""),"",ROUND(ROUND(VLOOKUP(OP!$C$55,HL_2,$B198+1,0)*OP!$C$28,0)*IF(OR($L198=0,$L198=""),1,PYO),0))</f>
        <v>100000</v>
      </c>
      <c r="J198" s="567"/>
      <c r="K198" s="567"/>
      <c r="L198" s="566">
        <f ca="1">IF(OR($A$2=1,$B198=""),"",ROUND(ROUND(VLOOKUP(OP!$C$55,HL_2,$B198+1,0)*OP!$C$28,0)*IF(OR(ROUND(VLOOKUP(OP!$C$55,HL_2,$B198+1,0)*OP!$C$28,0)*PY!$C$4&lt;PY!$D$5,ROUND(VLOOKUP(OP!$C$55,HL_2,$B198+1,0)*OP!$C$28,0)*PY!$C$4*PYR&lt;PY!$C$5),0,PYY)*PYR,0))</f>
        <v>0</v>
      </c>
      <c r="M198" s="568"/>
      <c r="N198" s="566">
        <f ca="1">IF(OR($A$2=1,$B198=""),"",ROUND((ROUND(VLOOKUP(OP!$C$55,HL_2,$B198+1,0)*OP!$C$28,0)+ROUND(OP!$C$28*10000*0.2,0))*IF(OR($Q198=0,$Q198=""),1,PYO),0))</f>
        <v>120000</v>
      </c>
      <c r="O198" s="567"/>
      <c r="P198" s="567"/>
      <c r="Q198" s="566">
        <f ca="1">IF(OR($A$2=1,$B198=""),"",ROUND((ROUND(VLOOKUP(OP!$C$55,HL_2,$B198+1,0)*OP!$C$28,0)+ROUND(OP!$C$28*10000*0.2,0))*IF(OR((ROUND(VLOOKUP(OP!$C$55,HL_2,$B198+1,0)*OP!$C$28,0)+ROUND(OP!$C$28*10000*0.2,0))*PY!$C$4&lt;PY!$D$5,(ROUND(VLOOKUP(OP!$C$55,HL_2,$B198+1,0)*OP!$C$28,0)+ROUND(OP!$C$28*10000*0.2,0))*PY!$C$4*PYR&lt;PY!$C$5),0,PYY)*PYR,0))</f>
        <v>0</v>
      </c>
      <c r="R198" s="568"/>
      <c r="S198" s="566">
        <f ca="1">IF(OR($A$2=1,$B198=""),"",ROUND(ROUND(VLOOKUP(OP!$C$55,HL_3,$B198+1,0)*OP!$C$28,0)*IF(OR($V198=0,$V198=""),1,PYO),0))</f>
        <v>100000</v>
      </c>
      <c r="T198" s="567"/>
      <c r="U198" s="567"/>
      <c r="V198" s="566">
        <f ca="1">IF(OR($A$2=1,$B198=""),"",ROUND(ROUND(VLOOKUP(OP!$C$55,HL_3,$B198+1,0)*OP!$C$28,0)*IF(OR(ROUND(VLOOKUP(OP!$C$55,HL_3,$B198+1,0)*OP!$C$28,0)*PY!$C$4&lt;PY!$D$5,ROUND(VLOOKUP(OP!$C$55,HL_3,$B198+1,0)*OP!$C$28,0)*PY!$C$4*PYR&lt;PY!$C$5),0,PYY)*PYR,0))</f>
        <v>0</v>
      </c>
      <c r="W198" s="568"/>
      <c r="X198" s="22"/>
    </row>
    <row r="199" spans="2:24" s="21" customFormat="1" ht="14.1" customHeight="1">
      <c r="B199" s="481">
        <f ca="1">IF(OR(C198&gt;=OP!F$57,C198=""),"",IF(C198+1&gt;OP!$F$57,OP!$F$57+1-$B$23,B198+1))</f>
        <v>55</v>
      </c>
      <c r="C199" s="481">
        <f ca="1">IF(OR($A$2=1,MAX($C$134:$C$178,$C$190:C198)&gt;=OP!$F$57),"",C198+(B199-B198))</f>
        <v>54</v>
      </c>
      <c r="D199" s="566">
        <f ca="1">IF(OR($A$2=1,$B199=""),"",ROUND(ROUND(VLOOKUP(OP!$C$55,HL_1,$B199+1,0)*OP!$C$28,0)*IF(OR($G199=0,$G199=""),1,PYO),0))</f>
        <v>50668</v>
      </c>
      <c r="E199" s="567"/>
      <c r="F199" s="567"/>
      <c r="G199" s="566">
        <f ca="1">IF(OR($A$2=1,$B199=""),"",ROUND(ROUND(VLOOKUP(OP!$C$55,HL_1,$B199+1,0)*OP!$C$28,0)*IF(OR(ROUND(VLOOKUP(OP!$C$55,HL_1,$B199+1,0)*OP!$C$28,0)*PY!$C$4&lt;PY!$D$5,ROUND(VLOOKUP(OP!$C$55,HL_1,$B199+1,0)*OP!$C$28,0)*PY!$C$4*PYR&lt;PY!$C$5),0,PYY)*PYR,0))</f>
        <v>0</v>
      </c>
      <c r="H199" s="568"/>
      <c r="I199" s="566">
        <f ca="1">IF(OR($A$2=1,$B199=""),"",ROUND(ROUND(VLOOKUP(OP!$C$55,HL_2,$B199+1,0)*OP!$C$28,0)*IF(OR($L199=0,$L199=""),1,PYO),0))</f>
        <v>100000</v>
      </c>
      <c r="J199" s="567"/>
      <c r="K199" s="567"/>
      <c r="L199" s="566">
        <f ca="1">IF(OR($A$2=1,$B199=""),"",ROUND(ROUND(VLOOKUP(OP!$C$55,HL_2,$B199+1,0)*OP!$C$28,0)*IF(OR(ROUND(VLOOKUP(OP!$C$55,HL_2,$B199+1,0)*OP!$C$28,0)*PY!$C$4&lt;PY!$D$5,ROUND(VLOOKUP(OP!$C$55,HL_2,$B199+1,0)*OP!$C$28,0)*PY!$C$4*PYR&lt;PY!$C$5),0,PYY)*PYR,0))</f>
        <v>0</v>
      </c>
      <c r="M199" s="568"/>
      <c r="N199" s="566">
        <f ca="1">IF(OR($A$2=1,$B199=""),"",ROUND((ROUND(VLOOKUP(OP!$C$55,HL_2,$B199+1,0)*OP!$C$28,0)+ROUND(OP!$C$28*10000*0.2,0))*IF(OR($Q199=0,$Q199=""),1,PYO),0))</f>
        <v>120000</v>
      </c>
      <c r="O199" s="567"/>
      <c r="P199" s="567"/>
      <c r="Q199" s="566">
        <f ca="1">IF(OR($A$2=1,$B199=""),"",ROUND((ROUND(VLOOKUP(OP!$C$55,HL_2,$B199+1,0)*OP!$C$28,0)+ROUND(OP!$C$28*10000*0.2,0))*IF(OR((ROUND(VLOOKUP(OP!$C$55,HL_2,$B199+1,0)*OP!$C$28,0)+ROUND(OP!$C$28*10000*0.2,0))*PY!$C$4&lt;PY!$D$5,(ROUND(VLOOKUP(OP!$C$55,HL_2,$B199+1,0)*OP!$C$28,0)+ROUND(OP!$C$28*10000*0.2,0))*PY!$C$4*PYR&lt;PY!$C$5),0,PYY)*PYR,0))</f>
        <v>0</v>
      </c>
      <c r="R199" s="568"/>
      <c r="S199" s="566">
        <f ca="1">IF(OR($A$2=1,$B199=""),"",ROUND(ROUND(VLOOKUP(OP!$C$55,HL_3,$B199+1,0)*OP!$C$28,0)*IF(OR($V199=0,$V199=""),1,PYO),0))</f>
        <v>100000</v>
      </c>
      <c r="T199" s="567"/>
      <c r="U199" s="567"/>
      <c r="V199" s="566">
        <f ca="1">IF(OR($A$2=1,$B199=""),"",ROUND(ROUND(VLOOKUP(OP!$C$55,HL_3,$B199+1,0)*OP!$C$28,0)*IF(OR(ROUND(VLOOKUP(OP!$C$55,HL_3,$B199+1,0)*OP!$C$28,0)*PY!$C$4&lt;PY!$D$5,ROUND(VLOOKUP(OP!$C$55,HL_3,$B199+1,0)*OP!$C$28,0)*PY!$C$4*PYR&lt;PY!$C$5),0,PYY)*PYR,0))</f>
        <v>0</v>
      </c>
      <c r="W199" s="568"/>
      <c r="X199" s="22"/>
    </row>
    <row r="200" spans="2:24" s="21" customFormat="1" ht="14.1" customHeight="1">
      <c r="B200" s="481">
        <f ca="1">IF(OR(C199&gt;=OP!F$57,C199=""),"",IF(C199+1&gt;OP!$F$57,OP!$F$57+1-$B$23,B199+1))</f>
        <v>56</v>
      </c>
      <c r="C200" s="481">
        <f ca="1">IF(OR($A$2=1,MAX($C$134:$C$178,$C$190:C199)&gt;=OP!$F$57),"",C199+(B200-B199))</f>
        <v>55</v>
      </c>
      <c r="D200" s="566">
        <f ca="1">IF(OR($A$2=1,$B200=""),"",ROUND(ROUND(VLOOKUP(OP!$C$55,HL_1,$B200+1,0)*OP!$C$28,0)*IF(OR($G200=0,$G200=""),1,PYO),0))</f>
        <v>50668</v>
      </c>
      <c r="E200" s="567"/>
      <c r="F200" s="567"/>
      <c r="G200" s="566">
        <f ca="1">IF(OR($A$2=1,$B200=""),"",ROUND(ROUND(VLOOKUP(OP!$C$55,HL_1,$B200+1,0)*OP!$C$28,0)*IF(OR(ROUND(VLOOKUP(OP!$C$55,HL_1,$B200+1,0)*OP!$C$28,0)*PY!$C$4&lt;PY!$D$5,ROUND(VLOOKUP(OP!$C$55,HL_1,$B200+1,0)*OP!$C$28,0)*PY!$C$4*PYR&lt;PY!$C$5),0,PYY)*PYR,0))</f>
        <v>0</v>
      </c>
      <c r="H200" s="568"/>
      <c r="I200" s="566">
        <f ca="1">IF(OR($A$2=1,$B200=""),"",ROUND(ROUND(VLOOKUP(OP!$C$55,HL_2,$B200+1,0)*OP!$C$28,0)*IF(OR($L200=0,$L200=""),1,PYO),0))</f>
        <v>100000</v>
      </c>
      <c r="J200" s="567"/>
      <c r="K200" s="567"/>
      <c r="L200" s="566">
        <f ca="1">IF(OR($A$2=1,$B200=""),"",ROUND(ROUND(VLOOKUP(OP!$C$55,HL_2,$B200+1,0)*OP!$C$28,0)*IF(OR(ROUND(VLOOKUP(OP!$C$55,HL_2,$B200+1,0)*OP!$C$28,0)*PY!$C$4&lt;PY!$D$5,ROUND(VLOOKUP(OP!$C$55,HL_2,$B200+1,0)*OP!$C$28,0)*PY!$C$4*PYR&lt;PY!$C$5),0,PYY)*PYR,0))</f>
        <v>0</v>
      </c>
      <c r="M200" s="568"/>
      <c r="N200" s="566">
        <f ca="1">IF(OR($A$2=1,$B200=""),"",ROUND((ROUND(VLOOKUP(OP!$C$55,HL_2,$B200+1,0)*OP!$C$28,0)+ROUND(OP!$C$28*10000*0.2,0))*IF(OR($Q200=0,$Q200=""),1,PYO),0))</f>
        <v>120000</v>
      </c>
      <c r="O200" s="567"/>
      <c r="P200" s="567"/>
      <c r="Q200" s="566">
        <f ca="1">IF(OR($A$2=1,$B200=""),"",ROUND((ROUND(VLOOKUP(OP!$C$55,HL_2,$B200+1,0)*OP!$C$28,0)+ROUND(OP!$C$28*10000*0.2,0))*IF(OR((ROUND(VLOOKUP(OP!$C$55,HL_2,$B200+1,0)*OP!$C$28,0)+ROUND(OP!$C$28*10000*0.2,0))*PY!$C$4&lt;PY!$D$5,(ROUND(VLOOKUP(OP!$C$55,HL_2,$B200+1,0)*OP!$C$28,0)+ROUND(OP!$C$28*10000*0.2,0))*PY!$C$4*PYR&lt;PY!$C$5),0,PYY)*PYR,0))</f>
        <v>0</v>
      </c>
      <c r="R200" s="568"/>
      <c r="S200" s="566">
        <f ca="1">IF(OR($A$2=1,$B200=""),"",ROUND(ROUND(VLOOKUP(OP!$C$55,HL_3,$B200+1,0)*OP!$C$28,0)*IF(OR($V200=0,$V200=""),1,PYO),0))</f>
        <v>100000</v>
      </c>
      <c r="T200" s="567"/>
      <c r="U200" s="567"/>
      <c r="V200" s="566">
        <f ca="1">IF(OR($A$2=1,$B200=""),"",ROUND(ROUND(VLOOKUP(OP!$C$55,HL_3,$B200+1,0)*OP!$C$28,0)*IF(OR(ROUND(VLOOKUP(OP!$C$55,HL_3,$B200+1,0)*OP!$C$28,0)*PY!$C$4&lt;PY!$D$5,ROUND(VLOOKUP(OP!$C$55,HL_3,$B200+1,0)*OP!$C$28,0)*PY!$C$4*PYR&lt;PY!$C$5),0,PYY)*PYR,0))</f>
        <v>0</v>
      </c>
      <c r="W200" s="568"/>
      <c r="X200" s="22"/>
    </row>
    <row r="201" spans="2:24" s="21" customFormat="1" ht="14.1" customHeight="1">
      <c r="B201" s="481">
        <f ca="1">IF(OR(C200&gt;=OP!F$57,C200=""),"",IF(C200+1&gt;OP!$F$57,OP!$F$57+1-$B$23,B200+1))</f>
        <v>57</v>
      </c>
      <c r="C201" s="481">
        <f ca="1">IF(OR($A$2=1,MAX($C$134:$C$178,$C$190:C200)&gt;=OP!$F$57),"",C200+(B201-B200))</f>
        <v>56</v>
      </c>
      <c r="D201" s="566">
        <f ca="1">IF(OR($A$2=1,$B201=""),"",ROUND(ROUND(VLOOKUP(OP!$C$55,HL_1,$B201+1,0)*OP!$C$28,0)*IF(OR($G201=0,$G201=""),1,PYO),0))</f>
        <v>50668</v>
      </c>
      <c r="E201" s="567"/>
      <c r="F201" s="567"/>
      <c r="G201" s="566">
        <f ca="1">IF(OR($A$2=1,$B201=""),"",ROUND(ROUND(VLOOKUP(OP!$C$55,HL_1,$B201+1,0)*OP!$C$28,0)*IF(OR(ROUND(VLOOKUP(OP!$C$55,HL_1,$B201+1,0)*OP!$C$28,0)*PY!$C$4&lt;PY!$D$5,ROUND(VLOOKUP(OP!$C$55,HL_1,$B201+1,0)*OP!$C$28,0)*PY!$C$4*PYR&lt;PY!$C$5),0,PYY)*PYR,0))</f>
        <v>0</v>
      </c>
      <c r="H201" s="568"/>
      <c r="I201" s="566">
        <f ca="1">IF(OR($A$2=1,$B201=""),"",ROUND(ROUND(VLOOKUP(OP!$C$55,HL_2,$B201+1,0)*OP!$C$28,0)*IF(OR($L201=0,$L201=""),1,PYO),0))</f>
        <v>100000</v>
      </c>
      <c r="J201" s="567"/>
      <c r="K201" s="567"/>
      <c r="L201" s="566">
        <f ca="1">IF(OR($A$2=1,$B201=""),"",ROUND(ROUND(VLOOKUP(OP!$C$55,HL_2,$B201+1,0)*OP!$C$28,0)*IF(OR(ROUND(VLOOKUP(OP!$C$55,HL_2,$B201+1,0)*OP!$C$28,0)*PY!$C$4&lt;PY!$D$5,ROUND(VLOOKUP(OP!$C$55,HL_2,$B201+1,0)*OP!$C$28,0)*PY!$C$4*PYR&lt;PY!$C$5),0,PYY)*PYR,0))</f>
        <v>0</v>
      </c>
      <c r="M201" s="568"/>
      <c r="N201" s="566">
        <f ca="1">IF(OR($A$2=1,$B201=""),"",ROUND((ROUND(VLOOKUP(OP!$C$55,HL_2,$B201+1,0)*OP!$C$28,0)+ROUND(OP!$C$28*10000*0.2,0))*IF(OR($Q201=0,$Q201=""),1,PYO),0))</f>
        <v>120000</v>
      </c>
      <c r="O201" s="567"/>
      <c r="P201" s="567"/>
      <c r="Q201" s="566">
        <f ca="1">IF(OR($A$2=1,$B201=""),"",ROUND((ROUND(VLOOKUP(OP!$C$55,HL_2,$B201+1,0)*OP!$C$28,0)+ROUND(OP!$C$28*10000*0.2,0))*IF(OR((ROUND(VLOOKUP(OP!$C$55,HL_2,$B201+1,0)*OP!$C$28,0)+ROUND(OP!$C$28*10000*0.2,0))*PY!$C$4&lt;PY!$D$5,(ROUND(VLOOKUP(OP!$C$55,HL_2,$B201+1,0)*OP!$C$28,0)+ROUND(OP!$C$28*10000*0.2,0))*PY!$C$4*PYR&lt;PY!$C$5),0,PYY)*PYR,0))</f>
        <v>0</v>
      </c>
      <c r="R201" s="568"/>
      <c r="S201" s="566">
        <f ca="1">IF(OR($A$2=1,$B201=""),"",ROUND(ROUND(VLOOKUP(OP!$C$55,HL_3,$B201+1,0)*OP!$C$28,0)*IF(OR($V201=0,$V201=""),1,PYO),0))</f>
        <v>100000</v>
      </c>
      <c r="T201" s="567"/>
      <c r="U201" s="567"/>
      <c r="V201" s="566">
        <f ca="1">IF(OR($A$2=1,$B201=""),"",ROUND(ROUND(VLOOKUP(OP!$C$55,HL_3,$B201+1,0)*OP!$C$28,0)*IF(OR(ROUND(VLOOKUP(OP!$C$55,HL_3,$B201+1,0)*OP!$C$28,0)*PY!$C$4&lt;PY!$D$5,ROUND(VLOOKUP(OP!$C$55,HL_3,$B201+1,0)*OP!$C$28,0)*PY!$C$4*PYR&lt;PY!$C$5),0,PYY)*PYR,0))</f>
        <v>0</v>
      </c>
      <c r="W201" s="568"/>
      <c r="X201" s="22"/>
    </row>
    <row r="202" spans="2:24" s="21" customFormat="1" ht="14.1" customHeight="1">
      <c r="B202" s="481">
        <f ca="1">IF(OR(C201&gt;=OP!F$57,C201=""),"",IF(C201+1&gt;OP!$F$57,OP!$F$57+1-$B$23,B201+1))</f>
        <v>58</v>
      </c>
      <c r="C202" s="481">
        <f ca="1">IF(OR($A$2=1,MAX($C$134:$C$178,$C$190:C201)&gt;=OP!$F$57),"",C201+(B202-B201))</f>
        <v>57</v>
      </c>
      <c r="D202" s="566">
        <f ca="1">IF(OR($A$2=1,$B202=""),"",ROUND(ROUND(VLOOKUP(OP!$C$55,HL_1,$B202+1,0)*OP!$C$28,0)*IF(OR($G202=0,$G202=""),1,PYO),0))</f>
        <v>50668</v>
      </c>
      <c r="E202" s="567"/>
      <c r="F202" s="567"/>
      <c r="G202" s="566">
        <f ca="1">IF(OR($A$2=1,$B202=""),"",ROUND(ROUND(VLOOKUP(OP!$C$55,HL_1,$B202+1,0)*OP!$C$28,0)*IF(OR(ROUND(VLOOKUP(OP!$C$55,HL_1,$B202+1,0)*OP!$C$28,0)*PY!$C$4&lt;PY!$D$5,ROUND(VLOOKUP(OP!$C$55,HL_1,$B202+1,0)*OP!$C$28,0)*PY!$C$4*PYR&lt;PY!$C$5),0,PYY)*PYR,0))</f>
        <v>0</v>
      </c>
      <c r="H202" s="568"/>
      <c r="I202" s="566">
        <f ca="1">IF(OR($A$2=1,$B202=""),"",ROUND(ROUND(VLOOKUP(OP!$C$55,HL_2,$B202+1,0)*OP!$C$28,0)*IF(OR($L202=0,$L202=""),1,PYO),0))</f>
        <v>100000</v>
      </c>
      <c r="J202" s="567"/>
      <c r="K202" s="567"/>
      <c r="L202" s="566">
        <f ca="1">IF(OR($A$2=1,$B202=""),"",ROUND(ROUND(VLOOKUP(OP!$C$55,HL_2,$B202+1,0)*OP!$C$28,0)*IF(OR(ROUND(VLOOKUP(OP!$C$55,HL_2,$B202+1,0)*OP!$C$28,0)*PY!$C$4&lt;PY!$D$5,ROUND(VLOOKUP(OP!$C$55,HL_2,$B202+1,0)*OP!$C$28,0)*PY!$C$4*PYR&lt;PY!$C$5),0,PYY)*PYR,0))</f>
        <v>0</v>
      </c>
      <c r="M202" s="568"/>
      <c r="N202" s="566">
        <f ca="1">IF(OR($A$2=1,$B202=""),"",ROUND((ROUND(VLOOKUP(OP!$C$55,HL_2,$B202+1,0)*OP!$C$28,0)+ROUND(OP!$C$28*10000*0.2,0))*IF(OR($Q202=0,$Q202=""),1,PYO),0))</f>
        <v>120000</v>
      </c>
      <c r="O202" s="567"/>
      <c r="P202" s="567"/>
      <c r="Q202" s="566">
        <f ca="1">IF(OR($A$2=1,$B202=""),"",ROUND((ROUND(VLOOKUP(OP!$C$55,HL_2,$B202+1,0)*OP!$C$28,0)+ROUND(OP!$C$28*10000*0.2,0))*IF(OR((ROUND(VLOOKUP(OP!$C$55,HL_2,$B202+1,0)*OP!$C$28,0)+ROUND(OP!$C$28*10000*0.2,0))*PY!$C$4&lt;PY!$D$5,(ROUND(VLOOKUP(OP!$C$55,HL_2,$B202+1,0)*OP!$C$28,0)+ROUND(OP!$C$28*10000*0.2,0))*PY!$C$4*PYR&lt;PY!$C$5),0,PYY)*PYR,0))</f>
        <v>0</v>
      </c>
      <c r="R202" s="568"/>
      <c r="S202" s="566">
        <f ca="1">IF(OR($A$2=1,$B202=""),"",ROUND(ROUND(VLOOKUP(OP!$C$55,HL_3,$B202+1,0)*OP!$C$28,0)*IF(OR($V202=0,$V202=""),1,PYO),0))</f>
        <v>100000</v>
      </c>
      <c r="T202" s="567"/>
      <c r="U202" s="567"/>
      <c r="V202" s="566">
        <f ca="1">IF(OR($A$2=1,$B202=""),"",ROUND(ROUND(VLOOKUP(OP!$C$55,HL_3,$B202+1,0)*OP!$C$28,0)*IF(OR(ROUND(VLOOKUP(OP!$C$55,HL_3,$B202+1,0)*OP!$C$28,0)*PY!$C$4&lt;PY!$D$5,ROUND(VLOOKUP(OP!$C$55,HL_3,$B202+1,0)*OP!$C$28,0)*PY!$C$4*PYR&lt;PY!$C$5),0,PYY)*PYR,0))</f>
        <v>0</v>
      </c>
      <c r="W202" s="568"/>
      <c r="X202" s="22"/>
    </row>
    <row r="203" spans="2:24" s="21" customFormat="1" ht="14.1" customHeight="1">
      <c r="B203" s="481">
        <f ca="1">IF(OR(C202&gt;=OP!F$57,C202=""),"",IF(C202+1&gt;OP!$F$57,OP!$F$57+1-$B$23,B202+1))</f>
        <v>59</v>
      </c>
      <c r="C203" s="481">
        <f ca="1">IF(OR($A$2=1,MAX($C$134:$C$178,$C$190:C202)&gt;=OP!$F$57),"",C202+(B203-B202))</f>
        <v>58</v>
      </c>
      <c r="D203" s="566">
        <f ca="1">IF(OR($A$2=1,$B203=""),"",ROUND(ROUND(VLOOKUP(OP!$C$55,HL_1,$B203+1,0)*OP!$C$28,0)*IF(OR($G203=0,$G203=""),1,PYO),0))</f>
        <v>50668</v>
      </c>
      <c r="E203" s="567"/>
      <c r="F203" s="567"/>
      <c r="G203" s="566">
        <f ca="1">IF(OR($A$2=1,$B203=""),"",ROUND(ROUND(VLOOKUP(OP!$C$55,HL_1,$B203+1,0)*OP!$C$28,0)*IF(OR(ROUND(VLOOKUP(OP!$C$55,HL_1,$B203+1,0)*OP!$C$28,0)*PY!$C$4&lt;PY!$D$5,ROUND(VLOOKUP(OP!$C$55,HL_1,$B203+1,0)*OP!$C$28,0)*PY!$C$4*PYR&lt;PY!$C$5),0,PYY)*PYR,0))</f>
        <v>0</v>
      </c>
      <c r="H203" s="568"/>
      <c r="I203" s="566">
        <f ca="1">IF(OR($A$2=1,$B203=""),"",ROUND(ROUND(VLOOKUP(OP!$C$55,HL_2,$B203+1,0)*OP!$C$28,0)*IF(OR($L203=0,$L203=""),1,PYO),0))</f>
        <v>100000</v>
      </c>
      <c r="J203" s="567"/>
      <c r="K203" s="567"/>
      <c r="L203" s="566">
        <f ca="1">IF(OR($A$2=1,$B203=""),"",ROUND(ROUND(VLOOKUP(OP!$C$55,HL_2,$B203+1,0)*OP!$C$28,0)*IF(OR(ROUND(VLOOKUP(OP!$C$55,HL_2,$B203+1,0)*OP!$C$28,0)*PY!$C$4&lt;PY!$D$5,ROUND(VLOOKUP(OP!$C$55,HL_2,$B203+1,0)*OP!$C$28,0)*PY!$C$4*PYR&lt;PY!$C$5),0,PYY)*PYR,0))</f>
        <v>0</v>
      </c>
      <c r="M203" s="568"/>
      <c r="N203" s="566">
        <f ca="1">IF(OR($A$2=1,$B203=""),"",ROUND((ROUND(VLOOKUP(OP!$C$55,HL_2,$B203+1,0)*OP!$C$28,0)+ROUND(OP!$C$28*10000*0.2,0))*IF(OR($Q203=0,$Q203=""),1,PYO),0))</f>
        <v>120000</v>
      </c>
      <c r="O203" s="567"/>
      <c r="P203" s="567"/>
      <c r="Q203" s="566">
        <f ca="1">IF(OR($A$2=1,$B203=""),"",ROUND((ROUND(VLOOKUP(OP!$C$55,HL_2,$B203+1,0)*OP!$C$28,0)+ROUND(OP!$C$28*10000*0.2,0))*IF(OR((ROUND(VLOOKUP(OP!$C$55,HL_2,$B203+1,0)*OP!$C$28,0)+ROUND(OP!$C$28*10000*0.2,0))*PY!$C$4&lt;PY!$D$5,(ROUND(VLOOKUP(OP!$C$55,HL_2,$B203+1,0)*OP!$C$28,0)+ROUND(OP!$C$28*10000*0.2,0))*PY!$C$4*PYR&lt;PY!$C$5),0,PYY)*PYR,0))</f>
        <v>0</v>
      </c>
      <c r="R203" s="568"/>
      <c r="S203" s="566">
        <f ca="1">IF(OR($A$2=1,$B203=""),"",ROUND(ROUND(VLOOKUP(OP!$C$55,HL_3,$B203+1,0)*OP!$C$28,0)*IF(OR($V203=0,$V203=""),1,PYO),0))</f>
        <v>100000</v>
      </c>
      <c r="T203" s="567"/>
      <c r="U203" s="567"/>
      <c r="V203" s="566">
        <f ca="1">IF(OR($A$2=1,$B203=""),"",ROUND(ROUND(VLOOKUP(OP!$C$55,HL_3,$B203+1,0)*OP!$C$28,0)*IF(OR(ROUND(VLOOKUP(OP!$C$55,HL_3,$B203+1,0)*OP!$C$28,0)*PY!$C$4&lt;PY!$D$5,ROUND(VLOOKUP(OP!$C$55,HL_3,$B203+1,0)*OP!$C$28,0)*PY!$C$4*PYR&lt;PY!$C$5),0,PYY)*PYR,0))</f>
        <v>0</v>
      </c>
      <c r="W203" s="568"/>
      <c r="X203" s="22"/>
    </row>
    <row r="204" spans="2:24" s="21" customFormat="1" ht="14.1" customHeight="1">
      <c r="B204" s="481">
        <f ca="1">IF(OR(C203&gt;=OP!F$57,C203=""),"",IF(C203+1&gt;OP!$F$57,OP!$F$57+1-$B$23,B203+1))</f>
        <v>60</v>
      </c>
      <c r="C204" s="481">
        <f ca="1">IF(OR($A$2=1,MAX($C$134:$C$178,$C$190:C203)&gt;=OP!$F$57),"",C203+(B204-B203))</f>
        <v>59</v>
      </c>
      <c r="D204" s="566">
        <f ca="1">IF(OR($A$2=1,$B204=""),"",ROUND(ROUND(VLOOKUP(OP!$C$55,HL_1,$B204+1,0)*OP!$C$28,0)*IF(OR($G204=0,$G204=""),1,PYO),0))</f>
        <v>50668</v>
      </c>
      <c r="E204" s="567"/>
      <c r="F204" s="567"/>
      <c r="G204" s="566">
        <f ca="1">IF(OR($A$2=1,$B204=""),"",ROUND(ROUND(VLOOKUP(OP!$C$55,HL_1,$B204+1,0)*OP!$C$28,0)*IF(OR(ROUND(VLOOKUP(OP!$C$55,HL_1,$B204+1,0)*OP!$C$28,0)*PY!$C$4&lt;PY!$D$5,ROUND(VLOOKUP(OP!$C$55,HL_1,$B204+1,0)*OP!$C$28,0)*PY!$C$4*PYR&lt;PY!$C$5),0,PYY)*PYR,0))</f>
        <v>0</v>
      </c>
      <c r="H204" s="568"/>
      <c r="I204" s="566">
        <f ca="1">IF(OR($A$2=1,$B204=""),"",ROUND(ROUND(VLOOKUP(OP!$C$55,HL_2,$B204+1,0)*OP!$C$28,0)*IF(OR($L204=0,$L204=""),1,PYO),0))</f>
        <v>100000</v>
      </c>
      <c r="J204" s="567"/>
      <c r="K204" s="567"/>
      <c r="L204" s="566">
        <f ca="1">IF(OR($A$2=1,$B204=""),"",ROUND(ROUND(VLOOKUP(OP!$C$55,HL_2,$B204+1,0)*OP!$C$28,0)*IF(OR(ROUND(VLOOKUP(OP!$C$55,HL_2,$B204+1,0)*OP!$C$28,0)*PY!$C$4&lt;PY!$D$5,ROUND(VLOOKUP(OP!$C$55,HL_2,$B204+1,0)*OP!$C$28,0)*PY!$C$4*PYR&lt;PY!$C$5),0,PYY)*PYR,0))</f>
        <v>0</v>
      </c>
      <c r="M204" s="568"/>
      <c r="N204" s="566">
        <f ca="1">IF(OR($A$2=1,$B204=""),"",ROUND((ROUND(VLOOKUP(OP!$C$55,HL_2,$B204+1,0)*OP!$C$28,0)+ROUND(OP!$C$28*10000*0.2,0))*IF(OR($Q204=0,$Q204=""),1,PYO),0))</f>
        <v>120000</v>
      </c>
      <c r="O204" s="567"/>
      <c r="P204" s="567"/>
      <c r="Q204" s="566">
        <f ca="1">IF(OR($A$2=1,$B204=""),"",ROUND((ROUND(VLOOKUP(OP!$C$55,HL_2,$B204+1,0)*OP!$C$28,0)+ROUND(OP!$C$28*10000*0.2,0))*IF(OR((ROUND(VLOOKUP(OP!$C$55,HL_2,$B204+1,0)*OP!$C$28,0)+ROUND(OP!$C$28*10000*0.2,0))*PY!$C$4&lt;PY!$D$5,(ROUND(VLOOKUP(OP!$C$55,HL_2,$B204+1,0)*OP!$C$28,0)+ROUND(OP!$C$28*10000*0.2,0))*PY!$C$4*PYR&lt;PY!$C$5),0,PYY)*PYR,0))</f>
        <v>0</v>
      </c>
      <c r="R204" s="568"/>
      <c r="S204" s="566">
        <f ca="1">IF(OR($A$2=1,$B204=""),"",ROUND(ROUND(VLOOKUP(OP!$C$55,HL_3,$B204+1,0)*OP!$C$28,0)*IF(OR($V204=0,$V204=""),1,PYO),0))</f>
        <v>100000</v>
      </c>
      <c r="T204" s="567"/>
      <c r="U204" s="567"/>
      <c r="V204" s="566">
        <f ca="1">IF(OR($A$2=1,$B204=""),"",ROUND(ROUND(VLOOKUP(OP!$C$55,HL_3,$B204+1,0)*OP!$C$28,0)*IF(OR(ROUND(VLOOKUP(OP!$C$55,HL_3,$B204+1,0)*OP!$C$28,0)*PY!$C$4&lt;PY!$D$5,ROUND(VLOOKUP(OP!$C$55,HL_3,$B204+1,0)*OP!$C$28,0)*PY!$C$4*PYR&lt;PY!$C$5),0,PYY)*PYR,0))</f>
        <v>0</v>
      </c>
      <c r="W204" s="568"/>
      <c r="X204" s="22"/>
    </row>
    <row r="205" spans="2:24" s="21" customFormat="1" ht="14.1" customHeight="1">
      <c r="B205" s="481">
        <f ca="1">IF(OR(C204&gt;=OP!F$57,C204=""),"",IF(C204+1&gt;OP!$F$57,OP!$F$57+1-$B$23,B204+1))</f>
        <v>61</v>
      </c>
      <c r="C205" s="481">
        <f ca="1">IF(OR($A$2=1,MAX($C$134:$C$178,$C$190:C204)&gt;=OP!$F$57),"",C204+(B205-B204))</f>
        <v>60</v>
      </c>
      <c r="D205" s="566">
        <f ca="1">IF(OR($A$2=1,$B205=""),"",ROUND(ROUND(VLOOKUP(OP!$C$55,HL_1,$B205+1,0)*OP!$C$28,0)*IF(OR($G205=0,$G205=""),1,PYO),0))</f>
        <v>50668</v>
      </c>
      <c r="E205" s="567"/>
      <c r="F205" s="567"/>
      <c r="G205" s="566">
        <f ca="1">IF(OR($A$2=1,$B205=""),"",ROUND(ROUND(VLOOKUP(OP!$C$55,HL_1,$B205+1,0)*OP!$C$28,0)*IF(OR(ROUND(VLOOKUP(OP!$C$55,HL_1,$B205+1,0)*OP!$C$28,0)*PY!$C$4&lt;PY!$D$5,ROUND(VLOOKUP(OP!$C$55,HL_1,$B205+1,0)*OP!$C$28,0)*PY!$C$4*PYR&lt;PY!$C$5),0,PYY)*PYR,0))</f>
        <v>0</v>
      </c>
      <c r="H205" s="568"/>
      <c r="I205" s="566">
        <f ca="1">IF(OR($A$2=1,$B205=""),"",ROUND(ROUND(VLOOKUP(OP!$C$55,HL_2,$B205+1,0)*OP!$C$28,0)*IF(OR($L205=0,$L205=""),1,PYO),0))</f>
        <v>100000</v>
      </c>
      <c r="J205" s="567"/>
      <c r="K205" s="567"/>
      <c r="L205" s="566">
        <f ca="1">IF(OR($A$2=1,$B205=""),"",ROUND(ROUND(VLOOKUP(OP!$C$55,HL_2,$B205+1,0)*OP!$C$28,0)*IF(OR(ROUND(VLOOKUP(OP!$C$55,HL_2,$B205+1,0)*OP!$C$28,0)*PY!$C$4&lt;PY!$D$5,ROUND(VLOOKUP(OP!$C$55,HL_2,$B205+1,0)*OP!$C$28,0)*PY!$C$4*PYR&lt;PY!$C$5),0,PYY)*PYR,0))</f>
        <v>0</v>
      </c>
      <c r="M205" s="568"/>
      <c r="N205" s="566">
        <f ca="1">IF(OR($A$2=1,$B205=""),"",ROUND((ROUND(VLOOKUP(OP!$C$55,HL_2,$B205+1,0)*OP!$C$28,0)+ROUND(OP!$C$28*10000*0.2,0))*IF(OR($Q205=0,$Q205=""),1,PYO),0))</f>
        <v>120000</v>
      </c>
      <c r="O205" s="567"/>
      <c r="P205" s="567"/>
      <c r="Q205" s="566">
        <f ca="1">IF(OR($A$2=1,$B205=""),"",ROUND((ROUND(VLOOKUP(OP!$C$55,HL_2,$B205+1,0)*OP!$C$28,0)+ROUND(OP!$C$28*10000*0.2,0))*IF(OR((ROUND(VLOOKUP(OP!$C$55,HL_2,$B205+1,0)*OP!$C$28,0)+ROUND(OP!$C$28*10000*0.2,0))*PY!$C$4&lt;PY!$D$5,(ROUND(VLOOKUP(OP!$C$55,HL_2,$B205+1,0)*OP!$C$28,0)+ROUND(OP!$C$28*10000*0.2,0))*PY!$C$4*PYR&lt;PY!$C$5),0,PYY)*PYR,0))</f>
        <v>0</v>
      </c>
      <c r="R205" s="568"/>
      <c r="S205" s="566">
        <f ca="1">IF(OR($A$2=1,$B205=""),"",ROUND(ROUND(VLOOKUP(OP!$C$55,HL_3,$B205+1,0)*OP!$C$28,0)*IF(OR($V205=0,$V205=""),1,PYO),0))</f>
        <v>100000</v>
      </c>
      <c r="T205" s="567"/>
      <c r="U205" s="567"/>
      <c r="V205" s="566">
        <f ca="1">IF(OR($A$2=1,$B205=""),"",ROUND(ROUND(VLOOKUP(OP!$C$55,HL_3,$B205+1,0)*OP!$C$28,0)*IF(OR(ROUND(VLOOKUP(OP!$C$55,HL_3,$B205+1,0)*OP!$C$28,0)*PY!$C$4&lt;PY!$D$5,ROUND(VLOOKUP(OP!$C$55,HL_3,$B205+1,0)*OP!$C$28,0)*PY!$C$4*PYR&lt;PY!$C$5),0,PYY)*PYR,0))</f>
        <v>0</v>
      </c>
      <c r="W205" s="568"/>
      <c r="X205" s="22"/>
    </row>
    <row r="206" spans="2:24" s="21" customFormat="1" ht="14.1" customHeight="1">
      <c r="B206" s="481">
        <f ca="1">IF(OR(C205&gt;=OP!F$57,C205=""),"",IF(C205+1&gt;OP!$F$57,OP!$F$57+1-$B$23,B205+1))</f>
        <v>62</v>
      </c>
      <c r="C206" s="481">
        <f ca="1">IF(OR($A$2=1,MAX($C$134:$C$178,$C$190:C205)&gt;=OP!$F$57),"",C205+(B206-B205))</f>
        <v>61</v>
      </c>
      <c r="D206" s="566">
        <f ca="1">IF(OR($A$2=1,$B206=""),"",ROUND(ROUND(VLOOKUP(OP!$C$55,HL_1,$B206+1,0)*OP!$C$28,0)*IF(OR($G206=0,$G206=""),1,PYO),0))</f>
        <v>50668</v>
      </c>
      <c r="E206" s="567"/>
      <c r="F206" s="567"/>
      <c r="G206" s="566">
        <f ca="1">IF(OR($A$2=1,$B206=""),"",ROUND(ROUND(VLOOKUP(OP!$C$55,HL_1,$B206+1,0)*OP!$C$28,0)*IF(OR(ROUND(VLOOKUP(OP!$C$55,HL_1,$B206+1,0)*OP!$C$28,0)*PY!$C$4&lt;PY!$D$5,ROUND(VLOOKUP(OP!$C$55,HL_1,$B206+1,0)*OP!$C$28,0)*PY!$C$4*PYR&lt;PY!$C$5),0,PYY)*PYR,0))</f>
        <v>0</v>
      </c>
      <c r="H206" s="568"/>
      <c r="I206" s="566">
        <f ca="1">IF(OR($A$2=1,$B206=""),"",ROUND(ROUND(VLOOKUP(OP!$C$55,HL_2,$B206+1,0)*OP!$C$28,0)*IF(OR($L206=0,$L206=""),1,PYO),0))</f>
        <v>100000</v>
      </c>
      <c r="J206" s="567"/>
      <c r="K206" s="567"/>
      <c r="L206" s="566">
        <f ca="1">IF(OR($A$2=1,$B206=""),"",ROUND(ROUND(VLOOKUP(OP!$C$55,HL_2,$B206+1,0)*OP!$C$28,0)*IF(OR(ROUND(VLOOKUP(OP!$C$55,HL_2,$B206+1,0)*OP!$C$28,0)*PY!$C$4&lt;PY!$D$5,ROUND(VLOOKUP(OP!$C$55,HL_2,$B206+1,0)*OP!$C$28,0)*PY!$C$4*PYR&lt;PY!$C$5),0,PYY)*PYR,0))</f>
        <v>0</v>
      </c>
      <c r="M206" s="568"/>
      <c r="N206" s="566">
        <f ca="1">IF(OR($A$2=1,$B206=""),"",ROUND((ROUND(VLOOKUP(OP!$C$55,HL_2,$B206+1,0)*OP!$C$28,0)+ROUND(OP!$C$28*10000*0.2,0))*IF(OR($Q206=0,$Q206=""),1,PYO),0))</f>
        <v>120000</v>
      </c>
      <c r="O206" s="567"/>
      <c r="P206" s="567"/>
      <c r="Q206" s="566">
        <f ca="1">IF(OR($A$2=1,$B206=""),"",ROUND((ROUND(VLOOKUP(OP!$C$55,HL_2,$B206+1,0)*OP!$C$28,0)+ROUND(OP!$C$28*10000*0.2,0))*IF(OR((ROUND(VLOOKUP(OP!$C$55,HL_2,$B206+1,0)*OP!$C$28,0)+ROUND(OP!$C$28*10000*0.2,0))*PY!$C$4&lt;PY!$D$5,(ROUND(VLOOKUP(OP!$C$55,HL_2,$B206+1,0)*OP!$C$28,0)+ROUND(OP!$C$28*10000*0.2,0))*PY!$C$4*PYR&lt;PY!$C$5),0,PYY)*PYR,0))</f>
        <v>0</v>
      </c>
      <c r="R206" s="568"/>
      <c r="S206" s="566">
        <f ca="1">IF(OR($A$2=1,$B206=""),"",ROUND(ROUND(VLOOKUP(OP!$C$55,HL_3,$B206+1,0)*OP!$C$28,0)*IF(OR($V206=0,$V206=""),1,PYO),0))</f>
        <v>100000</v>
      </c>
      <c r="T206" s="567"/>
      <c r="U206" s="567"/>
      <c r="V206" s="566">
        <f ca="1">IF(OR($A$2=1,$B206=""),"",ROUND(ROUND(VLOOKUP(OP!$C$55,HL_3,$B206+1,0)*OP!$C$28,0)*IF(OR(ROUND(VLOOKUP(OP!$C$55,HL_3,$B206+1,0)*OP!$C$28,0)*PY!$C$4&lt;PY!$D$5,ROUND(VLOOKUP(OP!$C$55,HL_3,$B206+1,0)*OP!$C$28,0)*PY!$C$4*PYR&lt;PY!$C$5),0,PYY)*PYR,0))</f>
        <v>0</v>
      </c>
      <c r="W206" s="568"/>
      <c r="X206" s="22"/>
    </row>
    <row r="207" spans="2:24" s="21" customFormat="1" ht="14.1" customHeight="1">
      <c r="B207" s="481">
        <f ca="1">IF(OR(C206&gt;=OP!F$57,C206=""),"",IF(C206+1&gt;OP!$F$57,OP!$F$57+1-$B$23,B206+1))</f>
        <v>63</v>
      </c>
      <c r="C207" s="481">
        <f ca="1">IF(OR($A$2=1,MAX($C$134:$C$178,$C$190:C206)&gt;=OP!$F$57),"",C206+(B207-B206))</f>
        <v>62</v>
      </c>
      <c r="D207" s="566">
        <f ca="1">IF(OR($A$2=1,$B207=""),"",ROUND(ROUND(VLOOKUP(OP!$C$55,HL_1,$B207+1,0)*OP!$C$28,0)*IF(OR($G207=0,$G207=""),1,PYO),0))</f>
        <v>50668</v>
      </c>
      <c r="E207" s="567"/>
      <c r="F207" s="567"/>
      <c r="G207" s="566">
        <f ca="1">IF(OR($A$2=1,$B207=""),"",ROUND(ROUND(VLOOKUP(OP!$C$55,HL_1,$B207+1,0)*OP!$C$28,0)*IF(OR(ROUND(VLOOKUP(OP!$C$55,HL_1,$B207+1,0)*OP!$C$28,0)*PY!$C$4&lt;PY!$D$5,ROUND(VLOOKUP(OP!$C$55,HL_1,$B207+1,0)*OP!$C$28,0)*PY!$C$4*PYR&lt;PY!$C$5),0,PYY)*PYR,0))</f>
        <v>0</v>
      </c>
      <c r="H207" s="568"/>
      <c r="I207" s="566">
        <f ca="1">IF(OR($A$2=1,$B207=""),"",ROUND(ROUND(VLOOKUP(OP!$C$55,HL_2,$B207+1,0)*OP!$C$28,0)*IF(OR($L207=0,$L207=""),1,PYO),0))</f>
        <v>100000</v>
      </c>
      <c r="J207" s="567"/>
      <c r="K207" s="567"/>
      <c r="L207" s="566">
        <f ca="1">IF(OR($A$2=1,$B207=""),"",ROUND(ROUND(VLOOKUP(OP!$C$55,HL_2,$B207+1,0)*OP!$C$28,0)*IF(OR(ROUND(VLOOKUP(OP!$C$55,HL_2,$B207+1,0)*OP!$C$28,0)*PY!$C$4&lt;PY!$D$5,ROUND(VLOOKUP(OP!$C$55,HL_2,$B207+1,0)*OP!$C$28,0)*PY!$C$4*PYR&lt;PY!$C$5),0,PYY)*PYR,0))</f>
        <v>0</v>
      </c>
      <c r="M207" s="568"/>
      <c r="N207" s="566">
        <f ca="1">IF(OR($A$2=1,$B207=""),"",ROUND((ROUND(VLOOKUP(OP!$C$55,HL_2,$B207+1,0)*OP!$C$28,0)+ROUND(OP!$C$28*10000*0.2,0))*IF(OR($Q207=0,$Q207=""),1,PYO),0))</f>
        <v>120000</v>
      </c>
      <c r="O207" s="567"/>
      <c r="P207" s="567"/>
      <c r="Q207" s="566">
        <f ca="1">IF(OR($A$2=1,$B207=""),"",ROUND((ROUND(VLOOKUP(OP!$C$55,HL_2,$B207+1,0)*OP!$C$28,0)+ROUND(OP!$C$28*10000*0.2,0))*IF(OR((ROUND(VLOOKUP(OP!$C$55,HL_2,$B207+1,0)*OP!$C$28,0)+ROUND(OP!$C$28*10000*0.2,0))*PY!$C$4&lt;PY!$D$5,(ROUND(VLOOKUP(OP!$C$55,HL_2,$B207+1,0)*OP!$C$28,0)+ROUND(OP!$C$28*10000*0.2,0))*PY!$C$4*PYR&lt;PY!$C$5),0,PYY)*PYR,0))</f>
        <v>0</v>
      </c>
      <c r="R207" s="568"/>
      <c r="S207" s="566">
        <f ca="1">IF(OR($A$2=1,$B207=""),"",ROUND(ROUND(VLOOKUP(OP!$C$55,HL_3,$B207+1,0)*OP!$C$28,0)*IF(OR($V207=0,$V207=""),1,PYO),0))</f>
        <v>100000</v>
      </c>
      <c r="T207" s="567"/>
      <c r="U207" s="567"/>
      <c r="V207" s="566">
        <f ca="1">IF(OR($A$2=1,$B207=""),"",ROUND(ROUND(VLOOKUP(OP!$C$55,HL_3,$B207+1,0)*OP!$C$28,0)*IF(OR(ROUND(VLOOKUP(OP!$C$55,HL_3,$B207+1,0)*OP!$C$28,0)*PY!$C$4&lt;PY!$D$5,ROUND(VLOOKUP(OP!$C$55,HL_3,$B207+1,0)*OP!$C$28,0)*PY!$C$4*PYR&lt;PY!$C$5),0,PYY)*PYR,0))</f>
        <v>0</v>
      </c>
      <c r="W207" s="568"/>
      <c r="X207" s="22"/>
    </row>
    <row r="208" spans="2:24" s="21" customFormat="1" ht="14.1" customHeight="1">
      <c r="B208" s="481">
        <f ca="1">IF(OR(C207&gt;=OP!F$57,C207=""),"",IF(C207+1&gt;OP!$F$57,OP!$F$57+1-$B$23,B207+1))</f>
        <v>64</v>
      </c>
      <c r="C208" s="481">
        <f ca="1">IF(OR($A$2=1,MAX($C$134:$C$178,$C$190:C207)&gt;=OP!$F$57),"",C207+(B208-B207))</f>
        <v>63</v>
      </c>
      <c r="D208" s="566">
        <f ca="1">IF(OR($A$2=1,$B208=""),"",ROUND(ROUND(VLOOKUP(OP!$C$55,HL_1,$B208+1,0)*OP!$C$28,0)*IF(OR($G208=0,$G208=""),1,PYO),0))</f>
        <v>50668</v>
      </c>
      <c r="E208" s="567"/>
      <c r="F208" s="567"/>
      <c r="G208" s="566">
        <f ca="1">IF(OR($A$2=1,$B208=""),"",ROUND(ROUND(VLOOKUP(OP!$C$55,HL_1,$B208+1,0)*OP!$C$28,0)*IF(OR(ROUND(VLOOKUP(OP!$C$55,HL_1,$B208+1,0)*OP!$C$28,0)*PY!$C$4&lt;PY!$D$5,ROUND(VLOOKUP(OP!$C$55,HL_1,$B208+1,0)*OP!$C$28,0)*PY!$C$4*PYR&lt;PY!$C$5),0,PYY)*PYR,0))</f>
        <v>0</v>
      </c>
      <c r="H208" s="568"/>
      <c r="I208" s="566">
        <f ca="1">IF(OR($A$2=1,$B208=""),"",ROUND(ROUND(VLOOKUP(OP!$C$55,HL_2,$B208+1,0)*OP!$C$28,0)*IF(OR($L208=0,$L208=""),1,PYO),0))</f>
        <v>100000</v>
      </c>
      <c r="J208" s="567"/>
      <c r="K208" s="567"/>
      <c r="L208" s="566">
        <f ca="1">IF(OR($A$2=1,$B208=""),"",ROUND(ROUND(VLOOKUP(OP!$C$55,HL_2,$B208+1,0)*OP!$C$28,0)*IF(OR(ROUND(VLOOKUP(OP!$C$55,HL_2,$B208+1,0)*OP!$C$28,0)*PY!$C$4&lt;PY!$D$5,ROUND(VLOOKUP(OP!$C$55,HL_2,$B208+1,0)*OP!$C$28,0)*PY!$C$4*PYR&lt;PY!$C$5),0,PYY)*PYR,0))</f>
        <v>0</v>
      </c>
      <c r="M208" s="568"/>
      <c r="N208" s="566">
        <f ca="1">IF(OR($A$2=1,$B208=""),"",ROUND((ROUND(VLOOKUP(OP!$C$55,HL_2,$B208+1,0)*OP!$C$28,0)+ROUND(OP!$C$28*10000*0.2,0))*IF(OR($Q208=0,$Q208=""),1,PYO),0))</f>
        <v>120000</v>
      </c>
      <c r="O208" s="567"/>
      <c r="P208" s="567"/>
      <c r="Q208" s="566">
        <f ca="1">IF(OR($A$2=1,$B208=""),"",ROUND((ROUND(VLOOKUP(OP!$C$55,HL_2,$B208+1,0)*OP!$C$28,0)+ROUND(OP!$C$28*10000*0.2,0))*IF(OR((ROUND(VLOOKUP(OP!$C$55,HL_2,$B208+1,0)*OP!$C$28,0)+ROUND(OP!$C$28*10000*0.2,0))*PY!$C$4&lt;PY!$D$5,(ROUND(VLOOKUP(OP!$C$55,HL_2,$B208+1,0)*OP!$C$28,0)+ROUND(OP!$C$28*10000*0.2,0))*PY!$C$4*PYR&lt;PY!$C$5),0,PYY)*PYR,0))</f>
        <v>0</v>
      </c>
      <c r="R208" s="568"/>
      <c r="S208" s="566">
        <f ca="1">IF(OR($A$2=1,$B208=""),"",ROUND(ROUND(VLOOKUP(OP!$C$55,HL_3,$B208+1,0)*OP!$C$28,0)*IF(OR($V208=0,$V208=""),1,PYO),0))</f>
        <v>100000</v>
      </c>
      <c r="T208" s="567"/>
      <c r="U208" s="567"/>
      <c r="V208" s="566">
        <f ca="1">IF(OR($A$2=1,$B208=""),"",ROUND(ROUND(VLOOKUP(OP!$C$55,HL_3,$B208+1,0)*OP!$C$28,0)*IF(OR(ROUND(VLOOKUP(OP!$C$55,HL_3,$B208+1,0)*OP!$C$28,0)*PY!$C$4&lt;PY!$D$5,ROUND(VLOOKUP(OP!$C$55,HL_3,$B208+1,0)*OP!$C$28,0)*PY!$C$4*PYR&lt;PY!$C$5),0,PYY)*PYR,0))</f>
        <v>0</v>
      </c>
      <c r="W208" s="568"/>
      <c r="X208" s="22"/>
    </row>
    <row r="209" spans="2:24" s="21" customFormat="1" ht="14.1" customHeight="1">
      <c r="B209" s="481">
        <f ca="1">IF(OR(C208&gt;=OP!F$57,C208=""),"",IF(C208+1&gt;OP!$F$57,OP!$F$57+1-$B$23,B208+1))</f>
        <v>65</v>
      </c>
      <c r="C209" s="481">
        <f ca="1">IF(OR($A$2=1,MAX($C$134:$C$178,$C$190:C208)&gt;=OP!$F$57),"",C208+(B209-B208))</f>
        <v>64</v>
      </c>
      <c r="D209" s="566">
        <f ca="1">IF(OR($A$2=1,$B209=""),"",ROUND(ROUND(VLOOKUP(OP!$C$55,HL_1,$B209+1,0)*OP!$C$28,0)*IF(OR($G209=0,$G209=""),1,PYO),0))</f>
        <v>50668</v>
      </c>
      <c r="E209" s="567"/>
      <c r="F209" s="567"/>
      <c r="G209" s="566">
        <f ca="1">IF(OR($A$2=1,$B209=""),"",ROUND(ROUND(VLOOKUP(OP!$C$55,HL_1,$B209+1,0)*OP!$C$28,0)*IF(OR(ROUND(VLOOKUP(OP!$C$55,HL_1,$B209+1,0)*OP!$C$28,0)*PY!$C$4&lt;PY!$D$5,ROUND(VLOOKUP(OP!$C$55,HL_1,$B209+1,0)*OP!$C$28,0)*PY!$C$4*PYR&lt;PY!$C$5),0,PYY)*PYR,0))</f>
        <v>0</v>
      </c>
      <c r="H209" s="568"/>
      <c r="I209" s="566">
        <f ca="1">IF(OR($A$2=1,$B209=""),"",ROUND(ROUND(VLOOKUP(OP!$C$55,HL_2,$B209+1,0)*OP!$C$28,0)*IF(OR($L209=0,$L209=""),1,PYO),0))</f>
        <v>100000</v>
      </c>
      <c r="J209" s="567"/>
      <c r="K209" s="567"/>
      <c r="L209" s="566">
        <f ca="1">IF(OR($A$2=1,$B209=""),"",ROUND(ROUND(VLOOKUP(OP!$C$55,HL_2,$B209+1,0)*OP!$C$28,0)*IF(OR(ROUND(VLOOKUP(OP!$C$55,HL_2,$B209+1,0)*OP!$C$28,0)*PY!$C$4&lt;PY!$D$5,ROUND(VLOOKUP(OP!$C$55,HL_2,$B209+1,0)*OP!$C$28,0)*PY!$C$4*PYR&lt;PY!$C$5),0,PYY)*PYR,0))</f>
        <v>0</v>
      </c>
      <c r="M209" s="568"/>
      <c r="N209" s="566">
        <f ca="1">IF(OR($A$2=1,$B209=""),"",ROUND((ROUND(VLOOKUP(OP!$C$55,HL_2,$B209+1,0)*OP!$C$28,0)+ROUND(OP!$C$28*10000*0.2,0))*IF(OR($Q209=0,$Q209=""),1,PYO),0))</f>
        <v>120000</v>
      </c>
      <c r="O209" s="567"/>
      <c r="P209" s="567"/>
      <c r="Q209" s="566">
        <f ca="1">IF(OR($A$2=1,$B209=""),"",ROUND((ROUND(VLOOKUP(OP!$C$55,HL_2,$B209+1,0)*OP!$C$28,0)+ROUND(OP!$C$28*10000*0.2,0))*IF(OR((ROUND(VLOOKUP(OP!$C$55,HL_2,$B209+1,0)*OP!$C$28,0)+ROUND(OP!$C$28*10000*0.2,0))*PY!$C$4&lt;PY!$D$5,(ROUND(VLOOKUP(OP!$C$55,HL_2,$B209+1,0)*OP!$C$28,0)+ROUND(OP!$C$28*10000*0.2,0))*PY!$C$4*PYR&lt;PY!$C$5),0,PYY)*PYR,0))</f>
        <v>0</v>
      </c>
      <c r="R209" s="568"/>
      <c r="S209" s="566">
        <f ca="1">IF(OR($A$2=1,$B209=""),"",ROUND(ROUND(VLOOKUP(OP!$C$55,HL_3,$B209+1,0)*OP!$C$28,0)*IF(OR($V209=0,$V209=""),1,PYO),0))</f>
        <v>100000</v>
      </c>
      <c r="T209" s="567"/>
      <c r="U209" s="567"/>
      <c r="V209" s="566">
        <f ca="1">IF(OR($A$2=1,$B209=""),"",ROUND(ROUND(VLOOKUP(OP!$C$55,HL_3,$B209+1,0)*OP!$C$28,0)*IF(OR(ROUND(VLOOKUP(OP!$C$55,HL_3,$B209+1,0)*OP!$C$28,0)*PY!$C$4&lt;PY!$D$5,ROUND(VLOOKUP(OP!$C$55,HL_3,$B209+1,0)*OP!$C$28,0)*PY!$C$4*PYR&lt;PY!$C$5),0,PYY)*PYR,0))</f>
        <v>0</v>
      </c>
      <c r="W209" s="568"/>
      <c r="X209" s="22"/>
    </row>
    <row r="210" spans="2:24" s="21" customFormat="1" ht="14.1" customHeight="1">
      <c r="B210" s="481">
        <f ca="1">IF(OR(C209&gt;=OP!F$57,C209=""),"",IF(C209+1&gt;OP!$F$57,OP!$F$57+1-$B$23,B209+1))</f>
        <v>66</v>
      </c>
      <c r="C210" s="481">
        <f ca="1">IF(OR($A$2=1,MAX($C$134:$C$178,$C$190:C209)&gt;=OP!$F$57),"",C209+(B210-B209))</f>
        <v>65</v>
      </c>
      <c r="D210" s="566">
        <f ca="1">IF(OR($A$2=1,$B210=""),"",ROUND(ROUND(VLOOKUP(OP!$C$55,HL_1,$B210+1,0)*OP!$C$28,0)*IF(OR($G210=0,$G210=""),1,PYO),0))</f>
        <v>50668</v>
      </c>
      <c r="E210" s="567"/>
      <c r="F210" s="567"/>
      <c r="G210" s="566">
        <f ca="1">IF(OR($A$2=1,$B210=""),"",ROUND(ROUND(VLOOKUP(OP!$C$55,HL_1,$B210+1,0)*OP!$C$28,0)*IF(OR(ROUND(VLOOKUP(OP!$C$55,HL_1,$B210+1,0)*OP!$C$28,0)*PY!$C$4&lt;PY!$D$5,ROUND(VLOOKUP(OP!$C$55,HL_1,$B210+1,0)*OP!$C$28,0)*PY!$C$4*PYR&lt;PY!$C$5),0,PYY)*PYR,0))</f>
        <v>0</v>
      </c>
      <c r="H210" s="568"/>
      <c r="I210" s="566">
        <f ca="1">IF(OR($A$2=1,$B210=""),"",ROUND(ROUND(VLOOKUP(OP!$C$55,HL_2,$B210+1,0)*OP!$C$28,0)*IF(OR($L210=0,$L210=""),1,PYO),0))</f>
        <v>100000</v>
      </c>
      <c r="J210" s="567"/>
      <c r="K210" s="567"/>
      <c r="L210" s="566">
        <f ca="1">IF(OR($A$2=1,$B210=""),"",ROUND(ROUND(VLOOKUP(OP!$C$55,HL_2,$B210+1,0)*OP!$C$28,0)*IF(OR(ROUND(VLOOKUP(OP!$C$55,HL_2,$B210+1,0)*OP!$C$28,0)*PY!$C$4&lt;PY!$D$5,ROUND(VLOOKUP(OP!$C$55,HL_2,$B210+1,0)*OP!$C$28,0)*PY!$C$4*PYR&lt;PY!$C$5),0,PYY)*PYR,0))</f>
        <v>0</v>
      </c>
      <c r="M210" s="568"/>
      <c r="N210" s="566">
        <f ca="1">IF(OR($A$2=1,$B210=""),"",ROUND((ROUND(VLOOKUP(OP!$C$55,HL_2,$B210+1,0)*OP!$C$28,0)+ROUND(OP!$C$28*10000*0.2,0))*IF(OR($Q210=0,$Q210=""),1,PYO),0))</f>
        <v>120000</v>
      </c>
      <c r="O210" s="567"/>
      <c r="P210" s="567"/>
      <c r="Q210" s="566">
        <f ca="1">IF(OR($A$2=1,$B210=""),"",ROUND((ROUND(VLOOKUP(OP!$C$55,HL_2,$B210+1,0)*OP!$C$28,0)+ROUND(OP!$C$28*10000*0.2,0))*IF(OR((ROUND(VLOOKUP(OP!$C$55,HL_2,$B210+1,0)*OP!$C$28,0)+ROUND(OP!$C$28*10000*0.2,0))*PY!$C$4&lt;PY!$D$5,(ROUND(VLOOKUP(OP!$C$55,HL_2,$B210+1,0)*OP!$C$28,0)+ROUND(OP!$C$28*10000*0.2,0))*PY!$C$4*PYR&lt;PY!$C$5),0,PYY)*PYR,0))</f>
        <v>0</v>
      </c>
      <c r="R210" s="568"/>
      <c r="S210" s="566">
        <f ca="1">IF(OR($A$2=1,$B210=""),"",ROUND(ROUND(VLOOKUP(OP!$C$55,HL_3,$B210+1,0)*OP!$C$28,0)*IF(OR($V210=0,$V210=""),1,PYO),0))</f>
        <v>100000</v>
      </c>
      <c r="T210" s="567"/>
      <c r="U210" s="567"/>
      <c r="V210" s="566">
        <f ca="1">IF(OR($A$2=1,$B210=""),"",ROUND(ROUND(VLOOKUP(OP!$C$55,HL_3,$B210+1,0)*OP!$C$28,0)*IF(OR(ROUND(VLOOKUP(OP!$C$55,HL_3,$B210+1,0)*OP!$C$28,0)*PY!$C$4&lt;PY!$D$5,ROUND(VLOOKUP(OP!$C$55,HL_3,$B210+1,0)*OP!$C$28,0)*PY!$C$4*PYR&lt;PY!$C$5),0,PYY)*PYR,0))</f>
        <v>0</v>
      </c>
      <c r="W210" s="568"/>
      <c r="X210" s="22"/>
    </row>
    <row r="211" spans="2:24" s="21" customFormat="1" ht="14.1" customHeight="1">
      <c r="B211" s="481">
        <f ca="1">IF(OR(C210&gt;=OP!F$57,C210=""),"",IF(C210+1&gt;OP!$F$57,OP!$F$57+1-$B$23,B210+1))</f>
        <v>67</v>
      </c>
      <c r="C211" s="481">
        <f ca="1">IF(OR($A$2=1,MAX($C$134:$C$178,$C$190:C210)&gt;=OP!$F$57),"",C210+(B211-B210))</f>
        <v>66</v>
      </c>
      <c r="D211" s="566">
        <f ca="1">IF(OR($A$2=1,$B211=""),"",ROUND(ROUND(VLOOKUP(OP!$C$55,HL_1,$B211+1,0)*OP!$C$28,0)*IF(OR($G211=0,$G211=""),1,PYO),0))</f>
        <v>50668</v>
      </c>
      <c r="E211" s="567"/>
      <c r="F211" s="567"/>
      <c r="G211" s="566">
        <f ca="1">IF(OR($A$2=1,$B211=""),"",ROUND(ROUND(VLOOKUP(OP!$C$55,HL_1,$B211+1,0)*OP!$C$28,0)*IF(OR(ROUND(VLOOKUP(OP!$C$55,HL_1,$B211+1,0)*OP!$C$28,0)*PY!$C$4&lt;PY!$D$5,ROUND(VLOOKUP(OP!$C$55,HL_1,$B211+1,0)*OP!$C$28,0)*PY!$C$4*PYR&lt;PY!$C$5),0,PYY)*PYR,0))</f>
        <v>0</v>
      </c>
      <c r="H211" s="568"/>
      <c r="I211" s="566">
        <f ca="1">IF(OR($A$2=1,$B211=""),"",ROUND(ROUND(VLOOKUP(OP!$C$55,HL_2,$B211+1,0)*OP!$C$28,0)*IF(OR($L211=0,$L211=""),1,PYO),0))</f>
        <v>100000</v>
      </c>
      <c r="J211" s="567"/>
      <c r="K211" s="567"/>
      <c r="L211" s="566">
        <f ca="1">IF(OR($A$2=1,$B211=""),"",ROUND(ROUND(VLOOKUP(OP!$C$55,HL_2,$B211+1,0)*OP!$C$28,0)*IF(OR(ROUND(VLOOKUP(OP!$C$55,HL_2,$B211+1,0)*OP!$C$28,0)*PY!$C$4&lt;PY!$D$5,ROUND(VLOOKUP(OP!$C$55,HL_2,$B211+1,0)*OP!$C$28,0)*PY!$C$4*PYR&lt;PY!$C$5),0,PYY)*PYR,0))</f>
        <v>0</v>
      </c>
      <c r="M211" s="568"/>
      <c r="N211" s="566">
        <f ca="1">IF(OR($A$2=1,$B211=""),"",ROUND((ROUND(VLOOKUP(OP!$C$55,HL_2,$B211+1,0)*OP!$C$28,0)+ROUND(OP!$C$28*10000*0.2,0))*IF(OR($Q211=0,$Q211=""),1,PYO),0))</f>
        <v>120000</v>
      </c>
      <c r="O211" s="567"/>
      <c r="P211" s="567"/>
      <c r="Q211" s="566">
        <f ca="1">IF(OR($A$2=1,$B211=""),"",ROUND((ROUND(VLOOKUP(OP!$C$55,HL_2,$B211+1,0)*OP!$C$28,0)+ROUND(OP!$C$28*10000*0.2,0))*IF(OR((ROUND(VLOOKUP(OP!$C$55,HL_2,$B211+1,0)*OP!$C$28,0)+ROUND(OP!$C$28*10000*0.2,0))*PY!$C$4&lt;PY!$D$5,(ROUND(VLOOKUP(OP!$C$55,HL_2,$B211+1,0)*OP!$C$28,0)+ROUND(OP!$C$28*10000*0.2,0))*PY!$C$4*PYR&lt;PY!$C$5),0,PYY)*PYR,0))</f>
        <v>0</v>
      </c>
      <c r="R211" s="568"/>
      <c r="S211" s="566">
        <f ca="1">IF(OR($A$2=1,$B211=""),"",ROUND(ROUND(VLOOKUP(OP!$C$55,HL_3,$B211+1,0)*OP!$C$28,0)*IF(OR($V211=0,$V211=""),1,PYO),0))</f>
        <v>100000</v>
      </c>
      <c r="T211" s="567"/>
      <c r="U211" s="567"/>
      <c r="V211" s="566">
        <f ca="1">IF(OR($A$2=1,$B211=""),"",ROUND(ROUND(VLOOKUP(OP!$C$55,HL_3,$B211+1,0)*OP!$C$28,0)*IF(OR(ROUND(VLOOKUP(OP!$C$55,HL_3,$B211+1,0)*OP!$C$28,0)*PY!$C$4&lt;PY!$D$5,ROUND(VLOOKUP(OP!$C$55,HL_3,$B211+1,0)*OP!$C$28,0)*PY!$C$4*PYR&lt;PY!$C$5),0,PYY)*PYR,0))</f>
        <v>0</v>
      </c>
      <c r="W211" s="568"/>
      <c r="X211" s="22"/>
    </row>
    <row r="212" spans="2:24" s="21" customFormat="1" ht="14.1" customHeight="1">
      <c r="B212" s="481">
        <f ca="1">IF(OR(C211&gt;=OP!F$57,C211=""),"",IF(C211+1&gt;OP!$F$57,OP!$F$57+1-$B$23,B211+1))</f>
        <v>68</v>
      </c>
      <c r="C212" s="481">
        <f ca="1">IF(OR($A$2=1,MAX($C$134:$C$178,$C$190:C211)&gt;=OP!$F$57),"",C211+(B212-B211))</f>
        <v>67</v>
      </c>
      <c r="D212" s="566">
        <f ca="1">IF(OR($A$2=1,$B212=""),"",ROUND(ROUND(VLOOKUP(OP!$C$55,HL_1,$B212+1,0)*OP!$C$28,0)*IF(OR($G212=0,$G212=""),1,PYO),0))</f>
        <v>50668</v>
      </c>
      <c r="E212" s="567"/>
      <c r="F212" s="567"/>
      <c r="G212" s="566">
        <f ca="1">IF(OR($A$2=1,$B212=""),"",ROUND(ROUND(VLOOKUP(OP!$C$55,HL_1,$B212+1,0)*OP!$C$28,0)*IF(OR(ROUND(VLOOKUP(OP!$C$55,HL_1,$B212+1,0)*OP!$C$28,0)*PY!$C$4&lt;PY!$D$5,ROUND(VLOOKUP(OP!$C$55,HL_1,$B212+1,0)*OP!$C$28,0)*PY!$C$4*PYR&lt;PY!$C$5),0,PYY)*PYR,0))</f>
        <v>0</v>
      </c>
      <c r="H212" s="568"/>
      <c r="I212" s="566">
        <f ca="1">IF(OR($A$2=1,$B212=""),"",ROUND(ROUND(VLOOKUP(OP!$C$55,HL_2,$B212+1,0)*OP!$C$28,0)*IF(OR($L212=0,$L212=""),1,PYO),0))</f>
        <v>100000</v>
      </c>
      <c r="J212" s="567"/>
      <c r="K212" s="567"/>
      <c r="L212" s="566">
        <f ca="1">IF(OR($A$2=1,$B212=""),"",ROUND(ROUND(VLOOKUP(OP!$C$55,HL_2,$B212+1,0)*OP!$C$28,0)*IF(OR(ROUND(VLOOKUP(OP!$C$55,HL_2,$B212+1,0)*OP!$C$28,0)*PY!$C$4&lt;PY!$D$5,ROUND(VLOOKUP(OP!$C$55,HL_2,$B212+1,0)*OP!$C$28,0)*PY!$C$4*PYR&lt;PY!$C$5),0,PYY)*PYR,0))</f>
        <v>0</v>
      </c>
      <c r="M212" s="568"/>
      <c r="N212" s="566">
        <f ca="1">IF(OR($A$2=1,$B212=""),"",ROUND((ROUND(VLOOKUP(OP!$C$55,HL_2,$B212+1,0)*OP!$C$28,0)+ROUND(OP!$C$28*10000*0.2,0))*IF(OR($Q212=0,$Q212=""),1,PYO),0))</f>
        <v>120000</v>
      </c>
      <c r="O212" s="567"/>
      <c r="P212" s="567"/>
      <c r="Q212" s="566">
        <f ca="1">IF(OR($A$2=1,$B212=""),"",ROUND((ROUND(VLOOKUP(OP!$C$55,HL_2,$B212+1,0)*OP!$C$28,0)+ROUND(OP!$C$28*10000*0.2,0))*IF(OR((ROUND(VLOOKUP(OP!$C$55,HL_2,$B212+1,0)*OP!$C$28,0)+ROUND(OP!$C$28*10000*0.2,0))*PY!$C$4&lt;PY!$D$5,(ROUND(VLOOKUP(OP!$C$55,HL_2,$B212+1,0)*OP!$C$28,0)+ROUND(OP!$C$28*10000*0.2,0))*PY!$C$4*PYR&lt;PY!$C$5),0,PYY)*PYR,0))</f>
        <v>0</v>
      </c>
      <c r="R212" s="568"/>
      <c r="S212" s="566">
        <f ca="1">IF(OR($A$2=1,$B212=""),"",ROUND(ROUND(VLOOKUP(OP!$C$55,HL_3,$B212+1,0)*OP!$C$28,0)*IF(OR($V212=0,$V212=""),1,PYO),0))</f>
        <v>100000</v>
      </c>
      <c r="T212" s="567"/>
      <c r="U212" s="567"/>
      <c r="V212" s="566">
        <f ca="1">IF(OR($A$2=1,$B212=""),"",ROUND(ROUND(VLOOKUP(OP!$C$55,HL_3,$B212+1,0)*OP!$C$28,0)*IF(OR(ROUND(VLOOKUP(OP!$C$55,HL_3,$B212+1,0)*OP!$C$28,0)*PY!$C$4&lt;PY!$D$5,ROUND(VLOOKUP(OP!$C$55,HL_3,$B212+1,0)*OP!$C$28,0)*PY!$C$4*PYR&lt;PY!$C$5),0,PYY)*PYR,0))</f>
        <v>0</v>
      </c>
      <c r="W212" s="568"/>
      <c r="X212" s="22"/>
    </row>
    <row r="213" spans="2:24" s="21" customFormat="1" ht="14.1" customHeight="1">
      <c r="B213" s="481">
        <f ca="1">IF(OR(C212&gt;=OP!F$57,C212=""),"",IF(C212+1&gt;OP!$F$57,OP!$F$57+1-$B$23,B212+1))</f>
        <v>69</v>
      </c>
      <c r="C213" s="481">
        <f ca="1">IF(OR($A$2=1,MAX($C$134:$C$178,$C$190:C212)&gt;=OP!$F$57),"",C212+(B213-B212))</f>
        <v>68</v>
      </c>
      <c r="D213" s="566">
        <f ca="1">IF(OR($A$2=1,$B213=""),"",ROUND(ROUND(VLOOKUP(OP!$C$55,HL_1,$B213+1,0)*OP!$C$28,0)*IF(OR($G213=0,$G213=""),1,PYO),0))</f>
        <v>50668</v>
      </c>
      <c r="E213" s="567"/>
      <c r="F213" s="567"/>
      <c r="G213" s="566">
        <f ca="1">IF(OR($A$2=1,$B213=""),"",ROUND(ROUND(VLOOKUP(OP!$C$55,HL_1,$B213+1,0)*OP!$C$28,0)*IF(OR(ROUND(VLOOKUP(OP!$C$55,HL_1,$B213+1,0)*OP!$C$28,0)*PY!$C$4&lt;PY!$D$5,ROUND(VLOOKUP(OP!$C$55,HL_1,$B213+1,0)*OP!$C$28,0)*PY!$C$4*PYR&lt;PY!$C$5),0,PYY)*PYR,0))</f>
        <v>0</v>
      </c>
      <c r="H213" s="568"/>
      <c r="I213" s="566">
        <f ca="1">IF(OR($A$2=1,$B213=""),"",ROUND(ROUND(VLOOKUP(OP!$C$55,HL_2,$B213+1,0)*OP!$C$28,0)*IF(OR($L213=0,$L213=""),1,PYO),0))</f>
        <v>100000</v>
      </c>
      <c r="J213" s="567"/>
      <c r="K213" s="567"/>
      <c r="L213" s="566">
        <f ca="1">IF(OR($A$2=1,$B213=""),"",ROUND(ROUND(VLOOKUP(OP!$C$55,HL_2,$B213+1,0)*OP!$C$28,0)*IF(OR(ROUND(VLOOKUP(OP!$C$55,HL_2,$B213+1,0)*OP!$C$28,0)*PY!$C$4&lt;PY!$D$5,ROUND(VLOOKUP(OP!$C$55,HL_2,$B213+1,0)*OP!$C$28,0)*PY!$C$4*PYR&lt;PY!$C$5),0,PYY)*PYR,0))</f>
        <v>0</v>
      </c>
      <c r="M213" s="568"/>
      <c r="N213" s="566">
        <f ca="1">IF(OR($A$2=1,$B213=""),"",ROUND((ROUND(VLOOKUP(OP!$C$55,HL_2,$B213+1,0)*OP!$C$28,0)+ROUND(OP!$C$28*10000*0.2,0))*IF(OR($Q213=0,$Q213=""),1,PYO),0))</f>
        <v>120000</v>
      </c>
      <c r="O213" s="567"/>
      <c r="P213" s="567"/>
      <c r="Q213" s="566">
        <f ca="1">IF(OR($A$2=1,$B213=""),"",ROUND((ROUND(VLOOKUP(OP!$C$55,HL_2,$B213+1,0)*OP!$C$28,0)+ROUND(OP!$C$28*10000*0.2,0))*IF(OR((ROUND(VLOOKUP(OP!$C$55,HL_2,$B213+1,0)*OP!$C$28,0)+ROUND(OP!$C$28*10000*0.2,0))*PY!$C$4&lt;PY!$D$5,(ROUND(VLOOKUP(OP!$C$55,HL_2,$B213+1,0)*OP!$C$28,0)+ROUND(OP!$C$28*10000*0.2,0))*PY!$C$4*PYR&lt;PY!$C$5),0,PYY)*PYR,0))</f>
        <v>0</v>
      </c>
      <c r="R213" s="568"/>
      <c r="S213" s="566">
        <f ca="1">IF(OR($A$2=1,$B213=""),"",ROUND(ROUND(VLOOKUP(OP!$C$55,HL_3,$B213+1,0)*OP!$C$28,0)*IF(OR($V213=0,$V213=""),1,PYO),0))</f>
        <v>100000</v>
      </c>
      <c r="T213" s="567"/>
      <c r="U213" s="567"/>
      <c r="V213" s="566">
        <f ca="1">IF(OR($A$2=1,$B213=""),"",ROUND(ROUND(VLOOKUP(OP!$C$55,HL_3,$B213+1,0)*OP!$C$28,0)*IF(OR(ROUND(VLOOKUP(OP!$C$55,HL_3,$B213+1,0)*OP!$C$28,0)*PY!$C$4&lt;PY!$D$5,ROUND(VLOOKUP(OP!$C$55,HL_3,$B213+1,0)*OP!$C$28,0)*PY!$C$4*PYR&lt;PY!$C$5),0,PYY)*PYR,0))</f>
        <v>0</v>
      </c>
      <c r="W213" s="568"/>
      <c r="X213" s="22"/>
    </row>
    <row r="214" spans="2:24" s="21" customFormat="1" ht="14.1" customHeight="1">
      <c r="B214" s="481">
        <f ca="1">IF(OR(C213&gt;=OP!F$57,C213=""),"",IF(C213+1&gt;OP!$F$57,OP!$F$57+1-$B$23,B213+1))</f>
        <v>70</v>
      </c>
      <c r="C214" s="481">
        <f ca="1">IF(OR($A$2=1,MAX($C$134:$C$178,$C$190:C213)&gt;=OP!$F$57),"",C213+(B214-B213))</f>
        <v>69</v>
      </c>
      <c r="D214" s="566">
        <f ca="1">IF(OR($A$2=1,$B214=""),"",ROUND(ROUND(VLOOKUP(OP!$C$55,HL_1,$B214+1,0)*OP!$C$28,0)*IF(OR($G214=0,$G214=""),1,PYO),0))</f>
        <v>50668</v>
      </c>
      <c r="E214" s="567"/>
      <c r="F214" s="567"/>
      <c r="G214" s="566">
        <f ca="1">IF(OR($A$2=1,$B214=""),"",ROUND(ROUND(VLOOKUP(OP!$C$55,HL_1,$B214+1,0)*OP!$C$28,0)*IF(OR(ROUND(VLOOKUP(OP!$C$55,HL_1,$B214+1,0)*OP!$C$28,0)*PY!$C$4&lt;PY!$D$5,ROUND(VLOOKUP(OP!$C$55,HL_1,$B214+1,0)*OP!$C$28,0)*PY!$C$4*PYR&lt;PY!$C$5),0,PYY)*PYR,0))</f>
        <v>0</v>
      </c>
      <c r="H214" s="568"/>
      <c r="I214" s="566">
        <f ca="1">IF(OR($A$2=1,$B214=""),"",ROUND(ROUND(VLOOKUP(OP!$C$55,HL_2,$B214+1,0)*OP!$C$28,0)*IF(OR($L214=0,$L214=""),1,PYO),0))</f>
        <v>100000</v>
      </c>
      <c r="J214" s="567"/>
      <c r="K214" s="567"/>
      <c r="L214" s="566">
        <f ca="1">IF(OR($A$2=1,$B214=""),"",ROUND(ROUND(VLOOKUP(OP!$C$55,HL_2,$B214+1,0)*OP!$C$28,0)*IF(OR(ROUND(VLOOKUP(OP!$C$55,HL_2,$B214+1,0)*OP!$C$28,0)*PY!$C$4&lt;PY!$D$5,ROUND(VLOOKUP(OP!$C$55,HL_2,$B214+1,0)*OP!$C$28,0)*PY!$C$4*PYR&lt;PY!$C$5),0,PYY)*PYR,0))</f>
        <v>0</v>
      </c>
      <c r="M214" s="568"/>
      <c r="N214" s="566">
        <f ca="1">IF(OR($A$2=1,$B214=""),"",ROUND((ROUND(VLOOKUP(OP!$C$55,HL_2,$B214+1,0)*OP!$C$28,0)+ROUND(OP!$C$28*10000*0.2,0))*IF(OR($Q214=0,$Q214=""),1,PYO),0))</f>
        <v>120000</v>
      </c>
      <c r="O214" s="567"/>
      <c r="P214" s="567"/>
      <c r="Q214" s="566">
        <f ca="1">IF(OR($A$2=1,$B214=""),"",ROUND((ROUND(VLOOKUP(OP!$C$55,HL_2,$B214+1,0)*OP!$C$28,0)+ROUND(OP!$C$28*10000*0.2,0))*IF(OR((ROUND(VLOOKUP(OP!$C$55,HL_2,$B214+1,0)*OP!$C$28,0)+ROUND(OP!$C$28*10000*0.2,0))*PY!$C$4&lt;PY!$D$5,(ROUND(VLOOKUP(OP!$C$55,HL_2,$B214+1,0)*OP!$C$28,0)+ROUND(OP!$C$28*10000*0.2,0))*PY!$C$4*PYR&lt;PY!$C$5),0,PYY)*PYR,0))</f>
        <v>0</v>
      </c>
      <c r="R214" s="568"/>
      <c r="S214" s="566">
        <f ca="1">IF(OR($A$2=1,$B214=""),"",ROUND(ROUND(VLOOKUP(OP!$C$55,HL_3,$B214+1,0)*OP!$C$28,0)*IF(OR($V214=0,$V214=""),1,PYO),0))</f>
        <v>100000</v>
      </c>
      <c r="T214" s="567"/>
      <c r="U214" s="567"/>
      <c r="V214" s="566">
        <f ca="1">IF(OR($A$2=1,$B214=""),"",ROUND(ROUND(VLOOKUP(OP!$C$55,HL_3,$B214+1,0)*OP!$C$28,0)*IF(OR(ROUND(VLOOKUP(OP!$C$55,HL_3,$B214+1,0)*OP!$C$28,0)*PY!$C$4&lt;PY!$D$5,ROUND(VLOOKUP(OP!$C$55,HL_3,$B214+1,0)*OP!$C$28,0)*PY!$C$4*PYR&lt;PY!$C$5),0,PYY)*PYR,0))</f>
        <v>0</v>
      </c>
      <c r="W214" s="568"/>
      <c r="X214" s="22"/>
    </row>
    <row r="215" spans="2:24" s="21" customFormat="1" ht="14.1" customHeight="1">
      <c r="B215" s="481">
        <f ca="1">IF(OR(C214&gt;=OP!F$57,C214=""),"",IF(C214+1&gt;OP!$F$57,OP!$F$57+1-$B$23,B214+1))</f>
        <v>71</v>
      </c>
      <c r="C215" s="481">
        <f ca="1">IF(OR($A$2=1,MAX($C$134:$C$178,$C$190:C214)&gt;=OP!$F$57),"",C214+(B215-B214))</f>
        <v>70</v>
      </c>
      <c r="D215" s="566">
        <f ca="1">IF(OR($A$2=1,$B215=""),"",ROUND(ROUND(VLOOKUP(OP!$C$55,HL_1,$B215+1,0)*OP!$C$28,0)*IF(OR($G215=0,$G215=""),1,PYO),0))</f>
        <v>50668</v>
      </c>
      <c r="E215" s="567"/>
      <c r="F215" s="567"/>
      <c r="G215" s="566">
        <f ca="1">IF(OR($A$2=1,$B215=""),"",ROUND(ROUND(VLOOKUP(OP!$C$55,HL_1,$B215+1,0)*OP!$C$28,0)*IF(OR(ROUND(VLOOKUP(OP!$C$55,HL_1,$B215+1,0)*OP!$C$28,0)*PY!$C$4&lt;PY!$D$5,ROUND(VLOOKUP(OP!$C$55,HL_1,$B215+1,0)*OP!$C$28,0)*PY!$C$4*PYR&lt;PY!$C$5),0,PYY)*PYR,0))</f>
        <v>0</v>
      </c>
      <c r="H215" s="568"/>
      <c r="I215" s="566">
        <f ca="1">IF(OR($A$2=1,$B215=""),"",ROUND(ROUND(VLOOKUP(OP!$C$55,HL_2,$B215+1,0)*OP!$C$28,0)*IF(OR($L215=0,$L215=""),1,PYO),0))</f>
        <v>100000</v>
      </c>
      <c r="J215" s="567"/>
      <c r="K215" s="567"/>
      <c r="L215" s="566">
        <f ca="1">IF(OR($A$2=1,$B215=""),"",ROUND(ROUND(VLOOKUP(OP!$C$55,HL_2,$B215+1,0)*OP!$C$28,0)*IF(OR(ROUND(VLOOKUP(OP!$C$55,HL_2,$B215+1,0)*OP!$C$28,0)*PY!$C$4&lt;PY!$D$5,ROUND(VLOOKUP(OP!$C$55,HL_2,$B215+1,0)*OP!$C$28,0)*PY!$C$4*PYR&lt;PY!$C$5),0,PYY)*PYR,0))</f>
        <v>0</v>
      </c>
      <c r="M215" s="568"/>
      <c r="N215" s="566">
        <f ca="1">IF(OR($A$2=1,$B215=""),"",ROUND((ROUND(VLOOKUP(OP!$C$55,HL_2,$B215+1,0)*OP!$C$28,0)+ROUND(OP!$C$28*10000*0.2,0))*IF(OR($Q215=0,$Q215=""),1,PYO),0))</f>
        <v>120000</v>
      </c>
      <c r="O215" s="567"/>
      <c r="P215" s="567"/>
      <c r="Q215" s="566">
        <f ca="1">IF(OR($A$2=1,$B215=""),"",ROUND((ROUND(VLOOKUP(OP!$C$55,HL_2,$B215+1,0)*OP!$C$28,0)+ROUND(OP!$C$28*10000*0.2,0))*IF(OR((ROUND(VLOOKUP(OP!$C$55,HL_2,$B215+1,0)*OP!$C$28,0)+ROUND(OP!$C$28*10000*0.2,0))*PY!$C$4&lt;PY!$D$5,(ROUND(VLOOKUP(OP!$C$55,HL_2,$B215+1,0)*OP!$C$28,0)+ROUND(OP!$C$28*10000*0.2,0))*PY!$C$4*PYR&lt;PY!$C$5),0,PYY)*PYR,0))</f>
        <v>0</v>
      </c>
      <c r="R215" s="568"/>
      <c r="S215" s="566">
        <f ca="1">IF(OR($A$2=1,$B215=""),"",ROUND(ROUND(VLOOKUP(OP!$C$55,HL_3,$B215+1,0)*OP!$C$28,0)*IF(OR($V215=0,$V215=""),1,PYO),0))</f>
        <v>100000</v>
      </c>
      <c r="T215" s="567"/>
      <c r="U215" s="567"/>
      <c r="V215" s="566">
        <f ca="1">IF(OR($A$2=1,$B215=""),"",ROUND(ROUND(VLOOKUP(OP!$C$55,HL_3,$B215+1,0)*OP!$C$28,0)*IF(OR(ROUND(VLOOKUP(OP!$C$55,HL_3,$B215+1,0)*OP!$C$28,0)*PY!$C$4&lt;PY!$D$5,ROUND(VLOOKUP(OP!$C$55,HL_3,$B215+1,0)*OP!$C$28,0)*PY!$C$4*PYR&lt;PY!$C$5),0,PYY)*PYR,0))</f>
        <v>0</v>
      </c>
      <c r="W215" s="568"/>
      <c r="X215" s="22"/>
    </row>
    <row r="216" spans="2:24" s="21" customFormat="1" ht="14.1" customHeight="1">
      <c r="B216" s="481">
        <f ca="1">IF(OR(C215&gt;=OP!F$57,C215=""),"",IF(C215+1&gt;OP!$F$57,OP!$F$57+1-$B$23,B215+1))</f>
        <v>72</v>
      </c>
      <c r="C216" s="481">
        <f ca="1">IF(OR($A$2=1,MAX($C$134:$C$178,$C$190:C215)&gt;=OP!$F$57),"",C215+(B216-B215))</f>
        <v>71</v>
      </c>
      <c r="D216" s="566">
        <f ca="1">IF(OR($A$2=1,$B216=""),"",ROUND(ROUND(VLOOKUP(OP!$C$55,HL_1,$B216+1,0)*OP!$C$28,0)*IF(OR($G216=0,$G216=""),1,PYO),0))</f>
        <v>50668</v>
      </c>
      <c r="E216" s="567"/>
      <c r="F216" s="567"/>
      <c r="G216" s="566">
        <f ca="1">IF(OR($A$2=1,$B216=""),"",ROUND(ROUND(VLOOKUP(OP!$C$55,HL_1,$B216+1,0)*OP!$C$28,0)*IF(OR(ROUND(VLOOKUP(OP!$C$55,HL_1,$B216+1,0)*OP!$C$28,0)*PY!$C$4&lt;PY!$D$5,ROUND(VLOOKUP(OP!$C$55,HL_1,$B216+1,0)*OP!$C$28,0)*PY!$C$4*PYR&lt;PY!$C$5),0,PYY)*PYR,0))</f>
        <v>0</v>
      </c>
      <c r="H216" s="568"/>
      <c r="I216" s="566">
        <f ca="1">IF(OR($A$2=1,$B216=""),"",ROUND(ROUND(VLOOKUP(OP!$C$55,HL_2,$B216+1,0)*OP!$C$28,0)*IF(OR($L216=0,$L216=""),1,PYO),0))</f>
        <v>100000</v>
      </c>
      <c r="J216" s="567"/>
      <c r="K216" s="567"/>
      <c r="L216" s="566">
        <f ca="1">IF(OR($A$2=1,$B216=""),"",ROUND(ROUND(VLOOKUP(OP!$C$55,HL_2,$B216+1,0)*OP!$C$28,0)*IF(OR(ROUND(VLOOKUP(OP!$C$55,HL_2,$B216+1,0)*OP!$C$28,0)*PY!$C$4&lt;PY!$D$5,ROUND(VLOOKUP(OP!$C$55,HL_2,$B216+1,0)*OP!$C$28,0)*PY!$C$4*PYR&lt;PY!$C$5),0,PYY)*PYR,0))</f>
        <v>0</v>
      </c>
      <c r="M216" s="568"/>
      <c r="N216" s="566">
        <f ca="1">IF(OR($A$2=1,$B216=""),"",ROUND((ROUND(VLOOKUP(OP!$C$55,HL_2,$B216+1,0)*OP!$C$28,0)+ROUND(OP!$C$28*10000*0.2,0))*IF(OR($Q216=0,$Q216=""),1,PYO),0))</f>
        <v>120000</v>
      </c>
      <c r="O216" s="567"/>
      <c r="P216" s="567"/>
      <c r="Q216" s="566">
        <f ca="1">IF(OR($A$2=1,$B216=""),"",ROUND((ROUND(VLOOKUP(OP!$C$55,HL_2,$B216+1,0)*OP!$C$28,0)+ROUND(OP!$C$28*10000*0.2,0))*IF(OR((ROUND(VLOOKUP(OP!$C$55,HL_2,$B216+1,0)*OP!$C$28,0)+ROUND(OP!$C$28*10000*0.2,0))*PY!$C$4&lt;PY!$D$5,(ROUND(VLOOKUP(OP!$C$55,HL_2,$B216+1,0)*OP!$C$28,0)+ROUND(OP!$C$28*10000*0.2,0))*PY!$C$4*PYR&lt;PY!$C$5),0,PYY)*PYR,0))</f>
        <v>0</v>
      </c>
      <c r="R216" s="568"/>
      <c r="S216" s="566">
        <f ca="1">IF(OR($A$2=1,$B216=""),"",ROUND(ROUND(VLOOKUP(OP!$C$55,HL_3,$B216+1,0)*OP!$C$28,0)*IF(OR($V216=0,$V216=""),1,PYO),0))</f>
        <v>100000</v>
      </c>
      <c r="T216" s="567"/>
      <c r="U216" s="567"/>
      <c r="V216" s="566">
        <f ca="1">IF(OR($A$2=1,$B216=""),"",ROUND(ROUND(VLOOKUP(OP!$C$55,HL_3,$B216+1,0)*OP!$C$28,0)*IF(OR(ROUND(VLOOKUP(OP!$C$55,HL_3,$B216+1,0)*OP!$C$28,0)*PY!$C$4&lt;PY!$D$5,ROUND(VLOOKUP(OP!$C$55,HL_3,$B216+1,0)*OP!$C$28,0)*PY!$C$4*PYR&lt;PY!$C$5),0,PYY)*PYR,0))</f>
        <v>0</v>
      </c>
      <c r="W216" s="568"/>
      <c r="X216" s="22"/>
    </row>
    <row r="217" spans="2:24" s="21" customFormat="1" ht="14.1" customHeight="1">
      <c r="B217" s="481">
        <f ca="1">IF(OR(C216&gt;=OP!F$57,C216=""),"",IF(C216+1&gt;OP!$F$57,OP!$F$57+1-$B$23,B216+1))</f>
        <v>73</v>
      </c>
      <c r="C217" s="481">
        <f ca="1">IF(OR($A$2=1,MAX($C$134:$C$178,$C$190:C216)&gt;=OP!$F$57),"",C216+(B217-B216))</f>
        <v>72</v>
      </c>
      <c r="D217" s="566">
        <f ca="1">IF(OR($A$2=1,$B217=""),"",ROUND(ROUND(VLOOKUP(OP!$C$55,HL_1,$B217+1,0)*OP!$C$28,0)*IF(OR($G217=0,$G217=""),1,PYO),0))</f>
        <v>50668</v>
      </c>
      <c r="E217" s="567"/>
      <c r="F217" s="567"/>
      <c r="G217" s="566">
        <f ca="1">IF(OR($A$2=1,$B217=""),"",ROUND(ROUND(VLOOKUP(OP!$C$55,HL_1,$B217+1,0)*OP!$C$28,0)*IF(OR(ROUND(VLOOKUP(OP!$C$55,HL_1,$B217+1,0)*OP!$C$28,0)*PY!$C$4&lt;PY!$D$5,ROUND(VLOOKUP(OP!$C$55,HL_1,$B217+1,0)*OP!$C$28,0)*PY!$C$4*PYR&lt;PY!$C$5),0,PYY)*PYR,0))</f>
        <v>0</v>
      </c>
      <c r="H217" s="568"/>
      <c r="I217" s="566">
        <f ca="1">IF(OR($A$2=1,$B217=""),"",ROUND(ROUND(VLOOKUP(OP!$C$55,HL_2,$B217+1,0)*OP!$C$28,0)*IF(OR($L217=0,$L217=""),1,PYO),0))</f>
        <v>100000</v>
      </c>
      <c r="J217" s="567"/>
      <c r="K217" s="567"/>
      <c r="L217" s="566">
        <f ca="1">IF(OR($A$2=1,$B217=""),"",ROUND(ROUND(VLOOKUP(OP!$C$55,HL_2,$B217+1,0)*OP!$C$28,0)*IF(OR(ROUND(VLOOKUP(OP!$C$55,HL_2,$B217+1,0)*OP!$C$28,0)*PY!$C$4&lt;PY!$D$5,ROUND(VLOOKUP(OP!$C$55,HL_2,$B217+1,0)*OP!$C$28,0)*PY!$C$4*PYR&lt;PY!$C$5),0,PYY)*PYR,0))</f>
        <v>0</v>
      </c>
      <c r="M217" s="568"/>
      <c r="N217" s="566">
        <f ca="1">IF(OR($A$2=1,$B217=""),"",ROUND((ROUND(VLOOKUP(OP!$C$55,HL_2,$B217+1,0)*OP!$C$28,0)+ROUND(OP!$C$28*10000*0.2,0))*IF(OR($Q217=0,$Q217=""),1,PYO),0))</f>
        <v>120000</v>
      </c>
      <c r="O217" s="567"/>
      <c r="P217" s="567"/>
      <c r="Q217" s="566">
        <f ca="1">IF(OR($A$2=1,$B217=""),"",ROUND((ROUND(VLOOKUP(OP!$C$55,HL_2,$B217+1,0)*OP!$C$28,0)+ROUND(OP!$C$28*10000*0.2,0))*IF(OR((ROUND(VLOOKUP(OP!$C$55,HL_2,$B217+1,0)*OP!$C$28,0)+ROUND(OP!$C$28*10000*0.2,0))*PY!$C$4&lt;PY!$D$5,(ROUND(VLOOKUP(OP!$C$55,HL_2,$B217+1,0)*OP!$C$28,0)+ROUND(OP!$C$28*10000*0.2,0))*PY!$C$4*PYR&lt;PY!$C$5),0,PYY)*PYR,0))</f>
        <v>0</v>
      </c>
      <c r="R217" s="568"/>
      <c r="S217" s="566">
        <f ca="1">IF(OR($A$2=1,$B217=""),"",ROUND(ROUND(VLOOKUP(OP!$C$55,HL_3,$B217+1,0)*OP!$C$28,0)*IF(OR($V217=0,$V217=""),1,PYO),0))</f>
        <v>100000</v>
      </c>
      <c r="T217" s="567"/>
      <c r="U217" s="567"/>
      <c r="V217" s="566">
        <f ca="1">IF(OR($A$2=1,$B217=""),"",ROUND(ROUND(VLOOKUP(OP!$C$55,HL_3,$B217+1,0)*OP!$C$28,0)*IF(OR(ROUND(VLOOKUP(OP!$C$55,HL_3,$B217+1,0)*OP!$C$28,0)*PY!$C$4&lt;PY!$D$5,ROUND(VLOOKUP(OP!$C$55,HL_3,$B217+1,0)*OP!$C$28,0)*PY!$C$4*PYR&lt;PY!$C$5),0,PYY)*PYR,0))</f>
        <v>0</v>
      </c>
      <c r="W217" s="568"/>
      <c r="X217" s="22"/>
    </row>
    <row r="218" spans="2:24" s="21" customFormat="1" ht="14.1" customHeight="1">
      <c r="B218" s="481">
        <f ca="1">IF(OR(C217&gt;=OP!F$57,C217=""),"",IF(C217+1&gt;OP!$F$57,OP!$F$57+1-$B$23,B217+1))</f>
        <v>74</v>
      </c>
      <c r="C218" s="481">
        <f ca="1">IF(OR($A$2=1,MAX($C$134:$C$178,$C$190:C217)&gt;=OP!$F$57),"",C217+(B218-B217))</f>
        <v>73</v>
      </c>
      <c r="D218" s="566">
        <f ca="1">IF(OR($A$2=1,$B218=""),"",ROUND(ROUND(VLOOKUP(OP!$C$55,HL_1,$B218+1,0)*OP!$C$28,0)*IF(OR($G218=0,$G218=""),1,PYO),0))</f>
        <v>50668</v>
      </c>
      <c r="E218" s="567"/>
      <c r="F218" s="567"/>
      <c r="G218" s="566">
        <f ca="1">IF(OR($A$2=1,$B218=""),"",ROUND(ROUND(VLOOKUP(OP!$C$55,HL_1,$B218+1,0)*OP!$C$28,0)*IF(OR(ROUND(VLOOKUP(OP!$C$55,HL_1,$B218+1,0)*OP!$C$28,0)*PY!$C$4&lt;PY!$D$5,ROUND(VLOOKUP(OP!$C$55,HL_1,$B218+1,0)*OP!$C$28,0)*PY!$C$4*PYR&lt;PY!$C$5),0,PYY)*PYR,0))</f>
        <v>0</v>
      </c>
      <c r="H218" s="568"/>
      <c r="I218" s="566">
        <f ca="1">IF(OR($A$2=1,$B218=""),"",ROUND(ROUND(VLOOKUP(OP!$C$55,HL_2,$B218+1,0)*OP!$C$28,0)*IF(OR($L218=0,$L218=""),1,PYO),0))</f>
        <v>100000</v>
      </c>
      <c r="J218" s="567"/>
      <c r="K218" s="567"/>
      <c r="L218" s="566">
        <f ca="1">IF(OR($A$2=1,$B218=""),"",ROUND(ROUND(VLOOKUP(OP!$C$55,HL_2,$B218+1,0)*OP!$C$28,0)*IF(OR(ROUND(VLOOKUP(OP!$C$55,HL_2,$B218+1,0)*OP!$C$28,0)*PY!$C$4&lt;PY!$D$5,ROUND(VLOOKUP(OP!$C$55,HL_2,$B218+1,0)*OP!$C$28,0)*PY!$C$4*PYR&lt;PY!$C$5),0,PYY)*PYR,0))</f>
        <v>0</v>
      </c>
      <c r="M218" s="568"/>
      <c r="N218" s="566">
        <f ca="1">IF(OR($A$2=1,$B218=""),"",ROUND((ROUND(VLOOKUP(OP!$C$55,HL_2,$B218+1,0)*OP!$C$28,0)+ROUND(OP!$C$28*10000*0.2,0))*IF(OR($Q218=0,$Q218=""),1,PYO),0))</f>
        <v>120000</v>
      </c>
      <c r="O218" s="567"/>
      <c r="P218" s="567"/>
      <c r="Q218" s="566">
        <f ca="1">IF(OR($A$2=1,$B218=""),"",ROUND((ROUND(VLOOKUP(OP!$C$55,HL_2,$B218+1,0)*OP!$C$28,0)+ROUND(OP!$C$28*10000*0.2,0))*IF(OR((ROUND(VLOOKUP(OP!$C$55,HL_2,$B218+1,0)*OP!$C$28,0)+ROUND(OP!$C$28*10000*0.2,0))*PY!$C$4&lt;PY!$D$5,(ROUND(VLOOKUP(OP!$C$55,HL_2,$B218+1,0)*OP!$C$28,0)+ROUND(OP!$C$28*10000*0.2,0))*PY!$C$4*PYR&lt;PY!$C$5),0,PYY)*PYR,0))</f>
        <v>0</v>
      </c>
      <c r="R218" s="568"/>
      <c r="S218" s="566">
        <f ca="1">IF(OR($A$2=1,$B218=""),"",ROUND(ROUND(VLOOKUP(OP!$C$55,HL_3,$B218+1,0)*OP!$C$28,0)*IF(OR($V218=0,$V218=""),1,PYO),0))</f>
        <v>100000</v>
      </c>
      <c r="T218" s="567"/>
      <c r="U218" s="567"/>
      <c r="V218" s="566">
        <f ca="1">IF(OR($A$2=1,$B218=""),"",ROUND(ROUND(VLOOKUP(OP!$C$55,HL_3,$B218+1,0)*OP!$C$28,0)*IF(OR(ROUND(VLOOKUP(OP!$C$55,HL_3,$B218+1,0)*OP!$C$28,0)*PY!$C$4&lt;PY!$D$5,ROUND(VLOOKUP(OP!$C$55,HL_3,$B218+1,0)*OP!$C$28,0)*PY!$C$4*PYR&lt;PY!$C$5),0,PYY)*PYR,0))</f>
        <v>0</v>
      </c>
      <c r="W218" s="568"/>
      <c r="X218" s="22"/>
    </row>
    <row r="219" spans="2:24" s="21" customFormat="1" ht="14.1" customHeight="1">
      <c r="B219" s="481">
        <f ca="1">IF(OR(C218&gt;=OP!F$57,C218=""),"",IF(C218+1&gt;OP!$F$57,OP!$F$57+1-$B$23,B218+1))</f>
        <v>75</v>
      </c>
      <c r="C219" s="481">
        <f ca="1">IF(OR($A$2=1,MAX($C$134:$C$178,$C$190:C218)&gt;=OP!$F$57),"",C218+(B219-B218))</f>
        <v>74</v>
      </c>
      <c r="D219" s="566">
        <f ca="1">IF(OR($A$2=1,$B219=""),"",ROUND(ROUND(VLOOKUP(OP!$C$55,HL_1,$B219+1,0)*OP!$C$28,0)*IF(OR($G219=0,$G219=""),1,PYO),0))</f>
        <v>50668</v>
      </c>
      <c r="E219" s="567"/>
      <c r="F219" s="567"/>
      <c r="G219" s="566">
        <f ca="1">IF(OR($A$2=1,$B219=""),"",ROUND(ROUND(VLOOKUP(OP!$C$55,HL_1,$B219+1,0)*OP!$C$28,0)*IF(OR(ROUND(VLOOKUP(OP!$C$55,HL_1,$B219+1,0)*OP!$C$28,0)*PY!$C$4&lt;PY!$D$5,ROUND(VLOOKUP(OP!$C$55,HL_1,$B219+1,0)*OP!$C$28,0)*PY!$C$4*PYR&lt;PY!$C$5),0,PYY)*PYR,0))</f>
        <v>0</v>
      </c>
      <c r="H219" s="568"/>
      <c r="I219" s="566">
        <f ca="1">IF(OR($A$2=1,$B219=""),"",ROUND(ROUND(VLOOKUP(OP!$C$55,HL_2,$B219+1,0)*OP!$C$28,0)*IF(OR($L219=0,$L219=""),1,PYO),0))</f>
        <v>100000</v>
      </c>
      <c r="J219" s="567"/>
      <c r="K219" s="567"/>
      <c r="L219" s="566">
        <f ca="1">IF(OR($A$2=1,$B219=""),"",ROUND(ROUND(VLOOKUP(OP!$C$55,HL_2,$B219+1,0)*OP!$C$28,0)*IF(OR(ROUND(VLOOKUP(OP!$C$55,HL_2,$B219+1,0)*OP!$C$28,0)*PY!$C$4&lt;PY!$D$5,ROUND(VLOOKUP(OP!$C$55,HL_2,$B219+1,0)*OP!$C$28,0)*PY!$C$4*PYR&lt;PY!$C$5),0,PYY)*PYR,0))</f>
        <v>0</v>
      </c>
      <c r="M219" s="568"/>
      <c r="N219" s="566">
        <f ca="1">IF(OR($A$2=1,$B219=""),"",ROUND((ROUND(VLOOKUP(OP!$C$55,HL_2,$B219+1,0)*OP!$C$28,0)+ROUND(OP!$C$28*10000*0.2,0))*IF(OR($Q219=0,$Q219=""),1,PYO),0))</f>
        <v>120000</v>
      </c>
      <c r="O219" s="567"/>
      <c r="P219" s="567"/>
      <c r="Q219" s="566">
        <f ca="1">IF(OR($A$2=1,$B219=""),"",ROUND((ROUND(VLOOKUP(OP!$C$55,HL_2,$B219+1,0)*OP!$C$28,0)+ROUND(OP!$C$28*10000*0.2,0))*IF(OR((ROUND(VLOOKUP(OP!$C$55,HL_2,$B219+1,0)*OP!$C$28,0)+ROUND(OP!$C$28*10000*0.2,0))*PY!$C$4&lt;PY!$D$5,(ROUND(VLOOKUP(OP!$C$55,HL_2,$B219+1,0)*OP!$C$28,0)+ROUND(OP!$C$28*10000*0.2,0))*PY!$C$4*PYR&lt;PY!$C$5),0,PYY)*PYR,0))</f>
        <v>0</v>
      </c>
      <c r="R219" s="568"/>
      <c r="S219" s="566">
        <f ca="1">IF(OR($A$2=1,$B219=""),"",ROUND(ROUND(VLOOKUP(OP!$C$55,HL_3,$B219+1,0)*OP!$C$28,0)*IF(OR($V219=0,$V219=""),1,PYO),0))</f>
        <v>100000</v>
      </c>
      <c r="T219" s="567"/>
      <c r="U219" s="567"/>
      <c r="V219" s="566">
        <f ca="1">IF(OR($A$2=1,$B219=""),"",ROUND(ROUND(VLOOKUP(OP!$C$55,HL_3,$B219+1,0)*OP!$C$28,0)*IF(OR(ROUND(VLOOKUP(OP!$C$55,HL_3,$B219+1,0)*OP!$C$28,0)*PY!$C$4&lt;PY!$D$5,ROUND(VLOOKUP(OP!$C$55,HL_3,$B219+1,0)*OP!$C$28,0)*PY!$C$4*PYR&lt;PY!$C$5),0,PYY)*PYR,0))</f>
        <v>0</v>
      </c>
      <c r="W219" s="568"/>
      <c r="X219" s="22"/>
    </row>
    <row r="220" spans="2:24" s="21" customFormat="1" ht="14.1" customHeight="1">
      <c r="B220" s="481">
        <f ca="1">IF(OR(C219&gt;=OP!F$57,C219=""),"",IF(C219+1&gt;OP!$F$57,OP!$F$57+1-$B$23,B219+1))</f>
        <v>76</v>
      </c>
      <c r="C220" s="481">
        <f ca="1">IF(OR($A$2=1,MAX($C$134:$C$178,$C$190:C219)&gt;=OP!$F$57),"",C219+(B220-B219))</f>
        <v>75</v>
      </c>
      <c r="D220" s="566">
        <f ca="1">IF(OR($A$2=1,$B220=""),"",ROUND(ROUND(VLOOKUP(OP!$C$55,HL_1,$B220+1,0)*OP!$C$28,0)*IF(OR($G220=0,$G220=""),1,PYO),0))</f>
        <v>50668</v>
      </c>
      <c r="E220" s="567"/>
      <c r="F220" s="567"/>
      <c r="G220" s="566">
        <f ca="1">IF(OR($A$2=1,$B220=""),"",ROUND(ROUND(VLOOKUP(OP!$C$55,HL_1,$B220+1,0)*OP!$C$28,0)*IF(OR(ROUND(VLOOKUP(OP!$C$55,HL_1,$B220+1,0)*OP!$C$28,0)*PY!$C$4&lt;PY!$D$5,ROUND(VLOOKUP(OP!$C$55,HL_1,$B220+1,0)*OP!$C$28,0)*PY!$C$4*PYR&lt;PY!$C$5),0,PYY)*PYR,0))</f>
        <v>0</v>
      </c>
      <c r="H220" s="568"/>
      <c r="I220" s="566">
        <f ca="1">IF(OR($A$2=1,$B220=""),"",ROUND(ROUND(VLOOKUP(OP!$C$55,HL_2,$B220+1,0)*OP!$C$28,0)*IF(OR($L220=0,$L220=""),1,PYO),0))</f>
        <v>100000</v>
      </c>
      <c r="J220" s="567"/>
      <c r="K220" s="567"/>
      <c r="L220" s="566">
        <f ca="1">IF(OR($A$2=1,$B220=""),"",ROUND(ROUND(VLOOKUP(OP!$C$55,HL_2,$B220+1,0)*OP!$C$28,0)*IF(OR(ROUND(VLOOKUP(OP!$C$55,HL_2,$B220+1,0)*OP!$C$28,0)*PY!$C$4&lt;PY!$D$5,ROUND(VLOOKUP(OP!$C$55,HL_2,$B220+1,0)*OP!$C$28,0)*PY!$C$4*PYR&lt;PY!$C$5),0,PYY)*PYR,0))</f>
        <v>0</v>
      </c>
      <c r="M220" s="568"/>
      <c r="N220" s="566">
        <f ca="1">IF(OR($A$2=1,$B220=""),"",ROUND((ROUND(VLOOKUP(OP!$C$55,HL_2,$B220+1,0)*OP!$C$28,0)+ROUND(OP!$C$28*10000*0.2,0))*IF(OR($Q220=0,$Q220=""),1,PYO),0))</f>
        <v>120000</v>
      </c>
      <c r="O220" s="567"/>
      <c r="P220" s="567"/>
      <c r="Q220" s="566">
        <f ca="1">IF(OR($A$2=1,$B220=""),"",ROUND((ROUND(VLOOKUP(OP!$C$55,HL_2,$B220+1,0)*OP!$C$28,0)+ROUND(OP!$C$28*10000*0.2,0))*IF(OR((ROUND(VLOOKUP(OP!$C$55,HL_2,$B220+1,0)*OP!$C$28,0)+ROUND(OP!$C$28*10000*0.2,0))*PY!$C$4&lt;PY!$D$5,(ROUND(VLOOKUP(OP!$C$55,HL_2,$B220+1,0)*OP!$C$28,0)+ROUND(OP!$C$28*10000*0.2,0))*PY!$C$4*PYR&lt;PY!$C$5),0,PYY)*PYR,0))</f>
        <v>0</v>
      </c>
      <c r="R220" s="568"/>
      <c r="S220" s="566">
        <f ca="1">IF(OR($A$2=1,$B220=""),"",ROUND(ROUND(VLOOKUP(OP!$C$55,HL_3,$B220+1,0)*OP!$C$28,0)*IF(OR($V220=0,$V220=""),1,PYO),0))</f>
        <v>100000</v>
      </c>
      <c r="T220" s="567"/>
      <c r="U220" s="567"/>
      <c r="V220" s="566">
        <f ca="1">IF(OR($A$2=1,$B220=""),"",ROUND(ROUND(VLOOKUP(OP!$C$55,HL_3,$B220+1,0)*OP!$C$28,0)*IF(OR(ROUND(VLOOKUP(OP!$C$55,HL_3,$B220+1,0)*OP!$C$28,0)*PY!$C$4&lt;PY!$D$5,ROUND(VLOOKUP(OP!$C$55,HL_3,$B220+1,0)*OP!$C$28,0)*PY!$C$4*PYR&lt;PY!$C$5),0,PYY)*PYR,0))</f>
        <v>0</v>
      </c>
      <c r="W220" s="568"/>
      <c r="X220" s="22"/>
    </row>
    <row r="221" spans="2:24" s="21" customFormat="1" ht="14.1" customHeight="1">
      <c r="B221" s="481">
        <f ca="1">IF(OR(C220&gt;=OP!F$57,C220=""),"",IF(C220+1&gt;OP!$F$57,OP!$F$57+1-$B$23,B220+1))</f>
        <v>77</v>
      </c>
      <c r="C221" s="481">
        <f ca="1">IF(OR($A$2=1,MAX($C$134:$C$178,$C$190:C220)&gt;=OP!$F$57),"",C220+(B221-B220))</f>
        <v>76</v>
      </c>
      <c r="D221" s="566">
        <f ca="1">IF(OR($A$2=1,$B221=""),"",ROUND(ROUND(VLOOKUP(OP!$C$55,HL_1,$B221+1,0)*OP!$C$28,0)*IF(OR($G221=0,$G221=""),1,PYO),0))</f>
        <v>50668</v>
      </c>
      <c r="E221" s="567"/>
      <c r="F221" s="567"/>
      <c r="G221" s="566">
        <f ca="1">IF(OR($A$2=1,$B221=""),"",ROUND(ROUND(VLOOKUP(OP!$C$55,HL_1,$B221+1,0)*OP!$C$28,0)*IF(OR(ROUND(VLOOKUP(OP!$C$55,HL_1,$B221+1,0)*OP!$C$28,0)*PY!$C$4&lt;PY!$D$5,ROUND(VLOOKUP(OP!$C$55,HL_1,$B221+1,0)*OP!$C$28,0)*PY!$C$4*PYR&lt;PY!$C$5),0,PYY)*PYR,0))</f>
        <v>0</v>
      </c>
      <c r="H221" s="568"/>
      <c r="I221" s="566">
        <f ca="1">IF(OR($A$2=1,$B221=""),"",ROUND(ROUND(VLOOKUP(OP!$C$55,HL_2,$B221+1,0)*OP!$C$28,0)*IF(OR($L221=0,$L221=""),1,PYO),0))</f>
        <v>100000</v>
      </c>
      <c r="J221" s="567"/>
      <c r="K221" s="567"/>
      <c r="L221" s="566">
        <f ca="1">IF(OR($A$2=1,$B221=""),"",ROUND(ROUND(VLOOKUP(OP!$C$55,HL_2,$B221+1,0)*OP!$C$28,0)*IF(OR(ROUND(VLOOKUP(OP!$C$55,HL_2,$B221+1,0)*OP!$C$28,0)*PY!$C$4&lt;PY!$D$5,ROUND(VLOOKUP(OP!$C$55,HL_2,$B221+1,0)*OP!$C$28,0)*PY!$C$4*PYR&lt;PY!$C$5),0,PYY)*PYR,0))</f>
        <v>0</v>
      </c>
      <c r="M221" s="568"/>
      <c r="N221" s="566">
        <f ca="1">IF(OR($A$2=1,$B221=""),"",ROUND((ROUND(VLOOKUP(OP!$C$55,HL_2,$B221+1,0)*OP!$C$28,0)+ROUND(OP!$C$28*10000*0.2,0))*IF(OR($Q221=0,$Q221=""),1,PYO),0))</f>
        <v>120000</v>
      </c>
      <c r="O221" s="567"/>
      <c r="P221" s="567"/>
      <c r="Q221" s="566">
        <f ca="1">IF(OR($A$2=1,$B221=""),"",ROUND((ROUND(VLOOKUP(OP!$C$55,HL_2,$B221+1,0)*OP!$C$28,0)+ROUND(OP!$C$28*10000*0.2,0))*IF(OR((ROUND(VLOOKUP(OP!$C$55,HL_2,$B221+1,0)*OP!$C$28,0)+ROUND(OP!$C$28*10000*0.2,0))*PY!$C$4&lt;PY!$D$5,(ROUND(VLOOKUP(OP!$C$55,HL_2,$B221+1,0)*OP!$C$28,0)+ROUND(OP!$C$28*10000*0.2,0))*PY!$C$4*PYR&lt;PY!$C$5),0,PYY)*PYR,0))</f>
        <v>0</v>
      </c>
      <c r="R221" s="568"/>
      <c r="S221" s="566">
        <f ca="1">IF(OR($A$2=1,$B221=""),"",ROUND(ROUND(VLOOKUP(OP!$C$55,HL_3,$B221+1,0)*OP!$C$28,0)*IF(OR($V221=0,$V221=""),1,PYO),0))</f>
        <v>100000</v>
      </c>
      <c r="T221" s="567"/>
      <c r="U221" s="567"/>
      <c r="V221" s="566">
        <f ca="1">IF(OR($A$2=1,$B221=""),"",ROUND(ROUND(VLOOKUP(OP!$C$55,HL_3,$B221+1,0)*OP!$C$28,0)*IF(OR(ROUND(VLOOKUP(OP!$C$55,HL_3,$B221+1,0)*OP!$C$28,0)*PY!$C$4&lt;PY!$D$5,ROUND(VLOOKUP(OP!$C$55,HL_3,$B221+1,0)*OP!$C$28,0)*PY!$C$4*PYR&lt;PY!$C$5),0,PYY)*PYR,0))</f>
        <v>0</v>
      </c>
      <c r="W221" s="568"/>
      <c r="X221" s="22"/>
    </row>
    <row r="222" spans="2:24" s="21" customFormat="1" ht="14.1" customHeight="1">
      <c r="B222" s="481">
        <f ca="1">IF(OR(C221&gt;=OP!F$57,C221=""),"",IF(C221+1&gt;OP!$F$57,OP!$F$57+1-$B$23,B221+1))</f>
        <v>78</v>
      </c>
      <c r="C222" s="481">
        <f ca="1">IF(OR($A$2=1,MAX($C$134:$C$178,$C$190:C221)&gt;=OP!$F$57),"",C221+(B222-B221))</f>
        <v>77</v>
      </c>
      <c r="D222" s="566">
        <f ca="1">IF(OR($A$2=1,$B222=""),"",ROUND(ROUND(VLOOKUP(OP!$C$55,HL_1,$B222+1,0)*OP!$C$28,0)*IF(OR($G222=0,$G222=""),1,PYO),0))</f>
        <v>50668</v>
      </c>
      <c r="E222" s="567"/>
      <c r="F222" s="567"/>
      <c r="G222" s="566">
        <f ca="1">IF(OR($A$2=1,$B222=""),"",ROUND(ROUND(VLOOKUP(OP!$C$55,HL_1,$B222+1,0)*OP!$C$28,0)*IF(OR(ROUND(VLOOKUP(OP!$C$55,HL_1,$B222+1,0)*OP!$C$28,0)*PY!$C$4&lt;PY!$D$5,ROUND(VLOOKUP(OP!$C$55,HL_1,$B222+1,0)*OP!$C$28,0)*PY!$C$4*PYR&lt;PY!$C$5),0,PYY)*PYR,0))</f>
        <v>0</v>
      </c>
      <c r="H222" s="568"/>
      <c r="I222" s="566">
        <f ca="1">IF(OR($A$2=1,$B222=""),"",ROUND(ROUND(VLOOKUP(OP!$C$55,HL_2,$B222+1,0)*OP!$C$28,0)*IF(OR($L222=0,$L222=""),1,PYO),0))</f>
        <v>100000</v>
      </c>
      <c r="J222" s="567"/>
      <c r="K222" s="567"/>
      <c r="L222" s="566">
        <f ca="1">IF(OR($A$2=1,$B222=""),"",ROUND(ROUND(VLOOKUP(OP!$C$55,HL_2,$B222+1,0)*OP!$C$28,0)*IF(OR(ROUND(VLOOKUP(OP!$C$55,HL_2,$B222+1,0)*OP!$C$28,0)*PY!$C$4&lt;PY!$D$5,ROUND(VLOOKUP(OP!$C$55,HL_2,$B222+1,0)*OP!$C$28,0)*PY!$C$4*PYR&lt;PY!$C$5),0,PYY)*PYR,0))</f>
        <v>0</v>
      </c>
      <c r="M222" s="568"/>
      <c r="N222" s="566">
        <f ca="1">IF(OR($A$2=1,$B222=""),"",ROUND((ROUND(VLOOKUP(OP!$C$55,HL_2,$B222+1,0)*OP!$C$28,0)+ROUND(OP!$C$28*10000*0.2,0))*IF(OR($Q222=0,$Q222=""),1,PYO),0))</f>
        <v>120000</v>
      </c>
      <c r="O222" s="567"/>
      <c r="P222" s="567"/>
      <c r="Q222" s="566">
        <f ca="1">IF(OR($A$2=1,$B222=""),"",ROUND((ROUND(VLOOKUP(OP!$C$55,HL_2,$B222+1,0)*OP!$C$28,0)+ROUND(OP!$C$28*10000*0.2,0))*IF(OR((ROUND(VLOOKUP(OP!$C$55,HL_2,$B222+1,0)*OP!$C$28,0)+ROUND(OP!$C$28*10000*0.2,0))*PY!$C$4&lt;PY!$D$5,(ROUND(VLOOKUP(OP!$C$55,HL_2,$B222+1,0)*OP!$C$28,0)+ROUND(OP!$C$28*10000*0.2,0))*PY!$C$4*PYR&lt;PY!$C$5),0,PYY)*PYR,0))</f>
        <v>0</v>
      </c>
      <c r="R222" s="568"/>
      <c r="S222" s="566">
        <f ca="1">IF(OR($A$2=1,$B222=""),"",ROUND(ROUND(VLOOKUP(OP!$C$55,HL_3,$B222+1,0)*OP!$C$28,0)*IF(OR($V222=0,$V222=""),1,PYO),0))</f>
        <v>100000</v>
      </c>
      <c r="T222" s="567"/>
      <c r="U222" s="567"/>
      <c r="V222" s="566">
        <f ca="1">IF(OR($A$2=1,$B222=""),"",ROUND(ROUND(VLOOKUP(OP!$C$55,HL_3,$B222+1,0)*OP!$C$28,0)*IF(OR(ROUND(VLOOKUP(OP!$C$55,HL_3,$B222+1,0)*OP!$C$28,0)*PY!$C$4&lt;PY!$D$5,ROUND(VLOOKUP(OP!$C$55,HL_3,$B222+1,0)*OP!$C$28,0)*PY!$C$4*PYR&lt;PY!$C$5),0,PYY)*PYR,0))</f>
        <v>0</v>
      </c>
      <c r="W222" s="568"/>
      <c r="X222" s="22"/>
    </row>
    <row r="223" spans="2:24" s="21" customFormat="1" ht="14.1" customHeight="1">
      <c r="B223" s="481">
        <f ca="1">IF(OR(C222&gt;=OP!F$57,C222=""),"",IF(C222+1&gt;OP!$F$57,OP!$F$57+1-$B$23,B222+1))</f>
        <v>79</v>
      </c>
      <c r="C223" s="481">
        <f ca="1">IF(OR($A$2=1,MAX($C$134:$C$178,$C$190:C222)&gt;=OP!$F$57),"",C222+(B223-B222))</f>
        <v>78</v>
      </c>
      <c r="D223" s="566">
        <f ca="1">IF(OR($A$2=1,$B223=""),"",ROUND(ROUND(VLOOKUP(OP!$C$55,HL_1,$B223+1,0)*OP!$C$28,0)*IF(OR($G223=0,$G223=""),1,PYO),0))</f>
        <v>50668</v>
      </c>
      <c r="E223" s="567"/>
      <c r="F223" s="567"/>
      <c r="G223" s="566">
        <f ca="1">IF(OR($A$2=1,$B223=""),"",ROUND(ROUND(VLOOKUP(OP!$C$55,HL_1,$B223+1,0)*OP!$C$28,0)*IF(OR(ROUND(VLOOKUP(OP!$C$55,HL_1,$B223+1,0)*OP!$C$28,0)*PY!$C$4&lt;PY!$D$5,ROUND(VLOOKUP(OP!$C$55,HL_1,$B223+1,0)*OP!$C$28,0)*PY!$C$4*PYR&lt;PY!$C$5),0,PYY)*PYR,0))</f>
        <v>0</v>
      </c>
      <c r="H223" s="568"/>
      <c r="I223" s="566">
        <f ca="1">IF(OR($A$2=1,$B223=""),"",ROUND(ROUND(VLOOKUP(OP!$C$55,HL_2,$B223+1,0)*OP!$C$28,0)*IF(OR($L223=0,$L223=""),1,PYO),0))</f>
        <v>100000</v>
      </c>
      <c r="J223" s="567"/>
      <c r="K223" s="567"/>
      <c r="L223" s="566">
        <f ca="1">IF(OR($A$2=1,$B223=""),"",ROUND(ROUND(VLOOKUP(OP!$C$55,HL_2,$B223+1,0)*OP!$C$28,0)*IF(OR(ROUND(VLOOKUP(OP!$C$55,HL_2,$B223+1,0)*OP!$C$28,0)*PY!$C$4&lt;PY!$D$5,ROUND(VLOOKUP(OP!$C$55,HL_2,$B223+1,0)*OP!$C$28,0)*PY!$C$4*PYR&lt;PY!$C$5),0,PYY)*PYR,0))</f>
        <v>0</v>
      </c>
      <c r="M223" s="568"/>
      <c r="N223" s="566">
        <f ca="1">IF(OR($A$2=1,$B223=""),"",ROUND((ROUND(VLOOKUP(OP!$C$55,HL_2,$B223+1,0)*OP!$C$28,0)+ROUND(OP!$C$28*10000*0.2,0))*IF(OR($Q223=0,$Q223=""),1,PYO),0))</f>
        <v>120000</v>
      </c>
      <c r="O223" s="567"/>
      <c r="P223" s="567"/>
      <c r="Q223" s="566">
        <f ca="1">IF(OR($A$2=1,$B223=""),"",ROUND((ROUND(VLOOKUP(OP!$C$55,HL_2,$B223+1,0)*OP!$C$28,0)+ROUND(OP!$C$28*10000*0.2,0))*IF(OR((ROUND(VLOOKUP(OP!$C$55,HL_2,$B223+1,0)*OP!$C$28,0)+ROUND(OP!$C$28*10000*0.2,0))*PY!$C$4&lt;PY!$D$5,(ROUND(VLOOKUP(OP!$C$55,HL_2,$B223+1,0)*OP!$C$28,0)+ROUND(OP!$C$28*10000*0.2,0))*PY!$C$4*PYR&lt;PY!$C$5),0,PYY)*PYR,0))</f>
        <v>0</v>
      </c>
      <c r="R223" s="568"/>
      <c r="S223" s="566">
        <f ca="1">IF(OR($A$2=1,$B223=""),"",ROUND(ROUND(VLOOKUP(OP!$C$55,HL_3,$B223+1,0)*OP!$C$28,0)*IF(OR($V223=0,$V223=""),1,PYO),0))</f>
        <v>100000</v>
      </c>
      <c r="T223" s="567"/>
      <c r="U223" s="567"/>
      <c r="V223" s="566">
        <f ca="1">IF(OR($A$2=1,$B223=""),"",ROUND(ROUND(VLOOKUP(OP!$C$55,HL_3,$B223+1,0)*OP!$C$28,0)*IF(OR(ROUND(VLOOKUP(OP!$C$55,HL_3,$B223+1,0)*OP!$C$28,0)*PY!$C$4&lt;PY!$D$5,ROUND(VLOOKUP(OP!$C$55,HL_3,$B223+1,0)*OP!$C$28,0)*PY!$C$4*PYR&lt;PY!$C$5),0,PYY)*PYR,0))</f>
        <v>0</v>
      </c>
      <c r="W223" s="568"/>
      <c r="X223" s="22"/>
    </row>
    <row r="224" spans="2:24" s="21" customFormat="1" ht="14.1" customHeight="1">
      <c r="B224" s="481">
        <f ca="1">IF(OR(C223&gt;=OP!F$57,C223=""),"",IF(C223+1&gt;OP!$F$57,OP!$F$57+1-$B$23,B223+1))</f>
        <v>80</v>
      </c>
      <c r="C224" s="481">
        <f ca="1">IF(OR($A$2=1,MAX($C$134:$C$178,$C$190:C223)&gt;=OP!$F$57),"",C223+(B224-B223))</f>
        <v>79</v>
      </c>
      <c r="D224" s="566">
        <f ca="1">IF(OR($A$2=1,$B224=""),"",ROUND(ROUND(VLOOKUP(OP!$C$55,HL_1,$B224+1,0)*OP!$C$28,0)*IF(OR($G224=0,$G224=""),1,PYO),0))</f>
        <v>50668</v>
      </c>
      <c r="E224" s="567"/>
      <c r="F224" s="567"/>
      <c r="G224" s="566">
        <f ca="1">IF(OR($A$2=1,$B224=""),"",ROUND(ROUND(VLOOKUP(OP!$C$55,HL_1,$B224+1,0)*OP!$C$28,0)*IF(OR(ROUND(VLOOKUP(OP!$C$55,HL_1,$B224+1,0)*OP!$C$28,0)*PY!$C$4&lt;PY!$D$5,ROUND(VLOOKUP(OP!$C$55,HL_1,$B224+1,0)*OP!$C$28,0)*PY!$C$4*PYR&lt;PY!$C$5),0,PYY)*PYR,0))</f>
        <v>0</v>
      </c>
      <c r="H224" s="568"/>
      <c r="I224" s="566">
        <f ca="1">IF(OR($A$2=1,$B224=""),"",ROUND(ROUND(VLOOKUP(OP!$C$55,HL_2,$B224+1,0)*OP!$C$28,0)*IF(OR($L224=0,$L224=""),1,PYO),0))</f>
        <v>100000</v>
      </c>
      <c r="J224" s="567"/>
      <c r="K224" s="567"/>
      <c r="L224" s="566">
        <f ca="1">IF(OR($A$2=1,$B224=""),"",ROUND(ROUND(VLOOKUP(OP!$C$55,HL_2,$B224+1,0)*OP!$C$28,0)*IF(OR(ROUND(VLOOKUP(OP!$C$55,HL_2,$B224+1,0)*OP!$C$28,0)*PY!$C$4&lt;PY!$D$5,ROUND(VLOOKUP(OP!$C$55,HL_2,$B224+1,0)*OP!$C$28,0)*PY!$C$4*PYR&lt;PY!$C$5),0,PYY)*PYR,0))</f>
        <v>0</v>
      </c>
      <c r="M224" s="568"/>
      <c r="N224" s="566">
        <f ca="1">IF(OR($A$2=1,$B224=""),"",ROUND((ROUND(VLOOKUP(OP!$C$55,HL_2,$B224+1,0)*OP!$C$28,0)+ROUND(OP!$C$28*10000*0.2,0))*IF(OR($Q224=0,$Q224=""),1,PYO),0))</f>
        <v>120000</v>
      </c>
      <c r="O224" s="567"/>
      <c r="P224" s="567"/>
      <c r="Q224" s="566">
        <f ca="1">IF(OR($A$2=1,$B224=""),"",ROUND((ROUND(VLOOKUP(OP!$C$55,HL_2,$B224+1,0)*OP!$C$28,0)+ROUND(OP!$C$28*10000*0.2,0))*IF(OR((ROUND(VLOOKUP(OP!$C$55,HL_2,$B224+1,0)*OP!$C$28,0)+ROUND(OP!$C$28*10000*0.2,0))*PY!$C$4&lt;PY!$D$5,(ROUND(VLOOKUP(OP!$C$55,HL_2,$B224+1,0)*OP!$C$28,0)+ROUND(OP!$C$28*10000*0.2,0))*PY!$C$4*PYR&lt;PY!$C$5),0,PYY)*PYR,0))</f>
        <v>0</v>
      </c>
      <c r="R224" s="568"/>
      <c r="S224" s="566">
        <f ca="1">IF(OR($A$2=1,$B224=""),"",ROUND(ROUND(VLOOKUP(OP!$C$55,HL_3,$B224+1,0)*OP!$C$28,0)*IF(OR($V224=0,$V224=""),1,PYO),0))</f>
        <v>100000</v>
      </c>
      <c r="T224" s="567"/>
      <c r="U224" s="567"/>
      <c r="V224" s="566">
        <f ca="1">IF(OR($A$2=1,$B224=""),"",ROUND(ROUND(VLOOKUP(OP!$C$55,HL_3,$B224+1,0)*OP!$C$28,0)*IF(OR(ROUND(VLOOKUP(OP!$C$55,HL_3,$B224+1,0)*OP!$C$28,0)*PY!$C$4&lt;PY!$D$5,ROUND(VLOOKUP(OP!$C$55,HL_3,$B224+1,0)*OP!$C$28,0)*PY!$C$4*PYR&lt;PY!$C$5),0,PYY)*PYR,0))</f>
        <v>0</v>
      </c>
      <c r="W224" s="568"/>
      <c r="X224" s="22"/>
    </row>
    <row r="225" spans="1:24" s="21" customFormat="1" ht="14.1" customHeight="1">
      <c r="B225" s="481">
        <f ca="1">IF(OR(C224&gt;=OP!F$57,C224=""),"",IF(C224+1&gt;OP!$F$57,OP!$F$57+1-$B$23,B224+1))</f>
        <v>81</v>
      </c>
      <c r="C225" s="481">
        <f ca="1">IF(OR($A$2=1,MAX($C$134:$C$178,$C$190:C224)&gt;=OP!$F$57),"",C224+(B225-B224))</f>
        <v>80</v>
      </c>
      <c r="D225" s="566">
        <f ca="1">IF(OR($A$2=1,$B225=""),"",ROUND(ROUND(VLOOKUP(OP!$C$55,HL_1,$B225+1,0)*OP!$C$28,0)*IF(OR($G225=0,$G225=""),1,PYO),0))</f>
        <v>50668</v>
      </c>
      <c r="E225" s="567"/>
      <c r="F225" s="567"/>
      <c r="G225" s="566">
        <f ca="1">IF(OR($A$2=1,$B225=""),"",ROUND(ROUND(VLOOKUP(OP!$C$55,HL_1,$B225+1,0)*OP!$C$28,0)*IF(OR(ROUND(VLOOKUP(OP!$C$55,HL_1,$B225+1,0)*OP!$C$28,0)*PY!$C$4&lt;PY!$D$5,ROUND(VLOOKUP(OP!$C$55,HL_1,$B225+1,0)*OP!$C$28,0)*PY!$C$4*PYR&lt;PY!$C$5),0,PYY)*PYR,0))</f>
        <v>0</v>
      </c>
      <c r="H225" s="568"/>
      <c r="I225" s="566">
        <f ca="1">IF(OR($A$2=1,$B225=""),"",ROUND(ROUND(VLOOKUP(OP!$C$55,HL_2,$B225+1,0)*OP!$C$28,0)*IF(OR($L225=0,$L225=""),1,PYO),0))</f>
        <v>100000</v>
      </c>
      <c r="J225" s="567"/>
      <c r="K225" s="567"/>
      <c r="L225" s="566">
        <f ca="1">IF(OR($A$2=1,$B225=""),"",ROUND(ROUND(VLOOKUP(OP!$C$55,HL_2,$B225+1,0)*OP!$C$28,0)*IF(OR(ROUND(VLOOKUP(OP!$C$55,HL_2,$B225+1,0)*OP!$C$28,0)*PY!$C$4&lt;PY!$D$5,ROUND(VLOOKUP(OP!$C$55,HL_2,$B225+1,0)*OP!$C$28,0)*PY!$C$4*PYR&lt;PY!$C$5),0,PYY)*PYR,0))</f>
        <v>0</v>
      </c>
      <c r="M225" s="568"/>
      <c r="N225" s="566">
        <f ca="1">IF(OR($A$2=1,$B225=""),"",ROUND((ROUND(VLOOKUP(OP!$C$55,HL_2,$B225+1,0)*OP!$C$28,0)+ROUND(OP!$C$28*10000*0.2,0))*IF(OR($Q225=0,$Q225=""),1,PYO),0))</f>
        <v>120000</v>
      </c>
      <c r="O225" s="567"/>
      <c r="P225" s="567"/>
      <c r="Q225" s="566">
        <f ca="1">IF(OR($A$2=1,$B225=""),"",ROUND((ROUND(VLOOKUP(OP!$C$55,HL_2,$B225+1,0)*OP!$C$28,0)+ROUND(OP!$C$28*10000*0.2,0))*IF(OR((ROUND(VLOOKUP(OP!$C$55,HL_2,$B225+1,0)*OP!$C$28,0)+ROUND(OP!$C$28*10000*0.2,0))*PY!$C$4&lt;PY!$D$5,(ROUND(VLOOKUP(OP!$C$55,HL_2,$B225+1,0)*OP!$C$28,0)+ROUND(OP!$C$28*10000*0.2,0))*PY!$C$4*PYR&lt;PY!$C$5),0,PYY)*PYR,0))</f>
        <v>0</v>
      </c>
      <c r="R225" s="568"/>
      <c r="S225" s="566">
        <f ca="1">IF(OR($A$2=1,$B225=""),"",ROUND(ROUND(VLOOKUP(OP!$C$55,HL_3,$B225+1,0)*OP!$C$28,0)*IF(OR($V225=0,$V225=""),1,PYO),0))</f>
        <v>100000</v>
      </c>
      <c r="T225" s="567"/>
      <c r="U225" s="567"/>
      <c r="V225" s="566">
        <f ca="1">IF(OR($A$2=1,$B225=""),"",ROUND(ROUND(VLOOKUP(OP!$C$55,HL_3,$B225+1,0)*OP!$C$28,0)*IF(OR(ROUND(VLOOKUP(OP!$C$55,HL_3,$B225+1,0)*OP!$C$28,0)*PY!$C$4&lt;PY!$D$5,ROUND(VLOOKUP(OP!$C$55,HL_3,$B225+1,0)*OP!$C$28,0)*PY!$C$4*PYR&lt;PY!$C$5),0,PYY)*PYR,0))</f>
        <v>0</v>
      </c>
      <c r="W225" s="568"/>
      <c r="X225" s="22"/>
    </row>
    <row r="226" spans="1:24" s="21" customFormat="1" ht="14.1" customHeight="1">
      <c r="B226" s="481">
        <f ca="1">IF(OR(C225&gt;=OP!F$57,C225=""),"",IF(C225+1&gt;OP!$F$57,OP!$F$57+1-$B$23,B225+1))</f>
        <v>82</v>
      </c>
      <c r="C226" s="481">
        <f ca="1">IF(OR($A$2=1,MAX($C$134:$C$178,$C$190:C225)&gt;=OP!$F$57),"",C225+(B226-B225))</f>
        <v>81</v>
      </c>
      <c r="D226" s="566">
        <f ca="1">IF(OR($A$2=1,$B226=""),"",ROUND(ROUND(VLOOKUP(OP!$C$55,HL_1,$B226+1,0)*OP!$C$28,0)*IF(OR($G226=0,$G226=""),1,PYO),0))</f>
        <v>50668</v>
      </c>
      <c r="E226" s="567"/>
      <c r="F226" s="567"/>
      <c r="G226" s="566">
        <f ca="1">IF(OR($A$2=1,$B226=""),"",ROUND(ROUND(VLOOKUP(OP!$C$55,HL_1,$B226+1,0)*OP!$C$28,0)*IF(OR(ROUND(VLOOKUP(OP!$C$55,HL_1,$B226+1,0)*OP!$C$28,0)*PY!$C$4&lt;PY!$D$5,ROUND(VLOOKUP(OP!$C$55,HL_1,$B226+1,0)*OP!$C$28,0)*PY!$C$4*PYR&lt;PY!$C$5),0,PYY)*PYR,0))</f>
        <v>0</v>
      </c>
      <c r="H226" s="568"/>
      <c r="I226" s="566">
        <f ca="1">IF(OR($A$2=1,$B226=""),"",ROUND(ROUND(VLOOKUP(OP!$C$55,HL_2,$B226+1,0)*OP!$C$28,0)*IF(OR($L226=0,$L226=""),1,PYO),0))</f>
        <v>100000</v>
      </c>
      <c r="J226" s="567"/>
      <c r="K226" s="567"/>
      <c r="L226" s="566">
        <f ca="1">IF(OR($A$2=1,$B226=""),"",ROUND(ROUND(VLOOKUP(OP!$C$55,HL_2,$B226+1,0)*OP!$C$28,0)*IF(OR(ROUND(VLOOKUP(OP!$C$55,HL_2,$B226+1,0)*OP!$C$28,0)*PY!$C$4&lt;PY!$D$5,ROUND(VLOOKUP(OP!$C$55,HL_2,$B226+1,0)*OP!$C$28,0)*PY!$C$4*PYR&lt;PY!$C$5),0,PYY)*PYR,0))</f>
        <v>0</v>
      </c>
      <c r="M226" s="568"/>
      <c r="N226" s="566">
        <f ca="1">IF(OR($A$2=1,$B226=""),"",ROUND((ROUND(VLOOKUP(OP!$C$55,HL_2,$B226+1,0)*OP!$C$28,0)+ROUND(OP!$C$28*10000*0.2,0))*IF(OR($Q226=0,$Q226=""),1,PYO),0))</f>
        <v>120000</v>
      </c>
      <c r="O226" s="567"/>
      <c r="P226" s="567"/>
      <c r="Q226" s="566">
        <f ca="1">IF(OR($A$2=1,$B226=""),"",ROUND((ROUND(VLOOKUP(OP!$C$55,HL_2,$B226+1,0)*OP!$C$28,0)+ROUND(OP!$C$28*10000*0.2,0))*IF(OR((ROUND(VLOOKUP(OP!$C$55,HL_2,$B226+1,0)*OP!$C$28,0)+ROUND(OP!$C$28*10000*0.2,0))*PY!$C$4&lt;PY!$D$5,(ROUND(VLOOKUP(OP!$C$55,HL_2,$B226+1,0)*OP!$C$28,0)+ROUND(OP!$C$28*10000*0.2,0))*PY!$C$4*PYR&lt;PY!$C$5),0,PYY)*PYR,0))</f>
        <v>0</v>
      </c>
      <c r="R226" s="568"/>
      <c r="S226" s="566">
        <f ca="1">IF(OR($A$2=1,$B226=""),"",ROUND(ROUND(VLOOKUP(OP!$C$55,HL_3,$B226+1,0)*OP!$C$28,0)*IF(OR($V226=0,$V226=""),1,PYO),0))</f>
        <v>100000</v>
      </c>
      <c r="T226" s="567"/>
      <c r="U226" s="567"/>
      <c r="V226" s="566">
        <f ca="1">IF(OR($A$2=1,$B226=""),"",ROUND(ROUND(VLOOKUP(OP!$C$55,HL_3,$B226+1,0)*OP!$C$28,0)*IF(OR(ROUND(VLOOKUP(OP!$C$55,HL_3,$B226+1,0)*OP!$C$28,0)*PY!$C$4&lt;PY!$D$5,ROUND(VLOOKUP(OP!$C$55,HL_3,$B226+1,0)*OP!$C$28,0)*PY!$C$4*PYR&lt;PY!$C$5),0,PYY)*PYR,0))</f>
        <v>0</v>
      </c>
      <c r="W226" s="568"/>
      <c r="X226" s="22"/>
    </row>
    <row r="227" spans="1:24" s="21" customFormat="1" ht="14.1" customHeight="1">
      <c r="B227" s="481">
        <f ca="1">IF(OR(C226&gt;=OP!F$57,C226=""),"",IF(C226+1&gt;OP!$F$57,OP!$F$57+1-$B$23,B226+1))</f>
        <v>83</v>
      </c>
      <c r="C227" s="481">
        <f ca="1">IF(OR($A$2=1,MAX($C$134:$C$178,$C$190:C226)&gt;=OP!$F$57),"",C226+(B227-B226))</f>
        <v>82</v>
      </c>
      <c r="D227" s="566">
        <f ca="1">IF(OR($A$2=1,$B227=""),"",ROUND(ROUND(VLOOKUP(OP!$C$55,HL_1,$B227+1,0)*OP!$C$28,0)*IF(OR($G227=0,$G227=""),1,PYO),0))</f>
        <v>50668</v>
      </c>
      <c r="E227" s="567"/>
      <c r="F227" s="567"/>
      <c r="G227" s="566">
        <f ca="1">IF(OR($A$2=1,$B227=""),"",ROUND(ROUND(VLOOKUP(OP!$C$55,HL_1,$B227+1,0)*OP!$C$28,0)*IF(OR(ROUND(VLOOKUP(OP!$C$55,HL_1,$B227+1,0)*OP!$C$28,0)*PY!$C$4&lt;PY!$D$5,ROUND(VLOOKUP(OP!$C$55,HL_1,$B227+1,0)*OP!$C$28,0)*PY!$C$4*PYR&lt;PY!$C$5),0,PYY)*PYR,0))</f>
        <v>0</v>
      </c>
      <c r="H227" s="568"/>
      <c r="I227" s="566">
        <f ca="1">IF(OR($A$2=1,$B227=""),"",ROUND(ROUND(VLOOKUP(OP!$C$55,HL_2,$B227+1,0)*OP!$C$28,0)*IF(OR($L227=0,$L227=""),1,PYO),0))</f>
        <v>100000</v>
      </c>
      <c r="J227" s="567"/>
      <c r="K227" s="567"/>
      <c r="L227" s="566">
        <f ca="1">IF(OR($A$2=1,$B227=""),"",ROUND(ROUND(VLOOKUP(OP!$C$55,HL_2,$B227+1,0)*OP!$C$28,0)*IF(OR(ROUND(VLOOKUP(OP!$C$55,HL_2,$B227+1,0)*OP!$C$28,0)*PY!$C$4&lt;PY!$D$5,ROUND(VLOOKUP(OP!$C$55,HL_2,$B227+1,0)*OP!$C$28,0)*PY!$C$4*PYR&lt;PY!$C$5),0,PYY)*PYR,0))</f>
        <v>0</v>
      </c>
      <c r="M227" s="568"/>
      <c r="N227" s="566">
        <f ca="1">IF(OR($A$2=1,$B227=""),"",ROUND((ROUND(VLOOKUP(OP!$C$55,HL_2,$B227+1,0)*OP!$C$28,0)+ROUND(OP!$C$28*10000*0.2,0))*IF(OR($Q227=0,$Q227=""),1,PYO),0))</f>
        <v>120000</v>
      </c>
      <c r="O227" s="567"/>
      <c r="P227" s="567"/>
      <c r="Q227" s="566">
        <f ca="1">IF(OR($A$2=1,$B227=""),"",ROUND((ROUND(VLOOKUP(OP!$C$55,HL_2,$B227+1,0)*OP!$C$28,0)+ROUND(OP!$C$28*10000*0.2,0))*IF(OR((ROUND(VLOOKUP(OP!$C$55,HL_2,$B227+1,0)*OP!$C$28,0)+ROUND(OP!$C$28*10000*0.2,0))*PY!$C$4&lt;PY!$D$5,(ROUND(VLOOKUP(OP!$C$55,HL_2,$B227+1,0)*OP!$C$28,0)+ROUND(OP!$C$28*10000*0.2,0))*PY!$C$4*PYR&lt;PY!$C$5),0,PYY)*PYR,0))</f>
        <v>0</v>
      </c>
      <c r="R227" s="568"/>
      <c r="S227" s="566">
        <f ca="1">IF(OR($A$2=1,$B227=""),"",ROUND(ROUND(VLOOKUP(OP!$C$55,HL_3,$B227+1,0)*OP!$C$28,0)*IF(OR($V227=0,$V227=""),1,PYO),0))</f>
        <v>100000</v>
      </c>
      <c r="T227" s="567"/>
      <c r="U227" s="567"/>
      <c r="V227" s="566">
        <f ca="1">IF(OR($A$2=1,$B227=""),"",ROUND(ROUND(VLOOKUP(OP!$C$55,HL_3,$B227+1,0)*OP!$C$28,0)*IF(OR(ROUND(VLOOKUP(OP!$C$55,HL_3,$B227+1,0)*OP!$C$28,0)*PY!$C$4&lt;PY!$D$5,ROUND(VLOOKUP(OP!$C$55,HL_3,$B227+1,0)*OP!$C$28,0)*PY!$C$4*PYR&lt;PY!$C$5),0,PYY)*PYR,0))</f>
        <v>0</v>
      </c>
      <c r="W227" s="568"/>
      <c r="X227" s="22"/>
    </row>
    <row r="228" spans="1:24" s="21" customFormat="1" ht="14.1" customHeight="1">
      <c r="B228" s="481">
        <f ca="1">IF(OR(C227&gt;=OP!F$57,C227=""),"",IF(C227+1&gt;OP!$F$57,OP!$F$57+1-$B$23,B227+1))</f>
        <v>84</v>
      </c>
      <c r="C228" s="481">
        <f ca="1">IF(OR($A$2=1,MAX($C$134:$C$178,$C$190:C227)&gt;=OP!$F$57),"",C227+(B228-B227))</f>
        <v>83</v>
      </c>
      <c r="D228" s="566">
        <f ca="1">IF(OR($A$2=1,$B228=""),"",ROUND(ROUND(VLOOKUP(OP!$C$55,HL_1,$B228+1,0)*OP!$C$28,0)*IF(OR($G228=0,$G228=""),1,PYO),0))</f>
        <v>50668</v>
      </c>
      <c r="E228" s="567"/>
      <c r="F228" s="567"/>
      <c r="G228" s="566">
        <f ca="1">IF(OR($A$2=1,$B228=""),"",ROUND(ROUND(VLOOKUP(OP!$C$55,HL_1,$B228+1,0)*OP!$C$28,0)*IF(OR(ROUND(VLOOKUP(OP!$C$55,HL_1,$B228+1,0)*OP!$C$28,0)*PY!$C$4&lt;PY!$D$5,ROUND(VLOOKUP(OP!$C$55,HL_1,$B228+1,0)*OP!$C$28,0)*PY!$C$4*PYR&lt;PY!$C$5),0,PYY)*PYR,0))</f>
        <v>0</v>
      </c>
      <c r="H228" s="568"/>
      <c r="I228" s="566">
        <f ca="1">IF(OR($A$2=1,$B228=""),"",ROUND(ROUND(VLOOKUP(OP!$C$55,HL_2,$B228+1,0)*OP!$C$28,0)*IF(OR($L228=0,$L228=""),1,PYO),0))</f>
        <v>100000</v>
      </c>
      <c r="J228" s="567"/>
      <c r="K228" s="567"/>
      <c r="L228" s="566">
        <f ca="1">IF(OR($A$2=1,$B228=""),"",ROUND(ROUND(VLOOKUP(OP!$C$55,HL_2,$B228+1,0)*OP!$C$28,0)*IF(OR(ROUND(VLOOKUP(OP!$C$55,HL_2,$B228+1,0)*OP!$C$28,0)*PY!$C$4&lt;PY!$D$5,ROUND(VLOOKUP(OP!$C$55,HL_2,$B228+1,0)*OP!$C$28,0)*PY!$C$4*PYR&lt;PY!$C$5),0,PYY)*PYR,0))</f>
        <v>0</v>
      </c>
      <c r="M228" s="568"/>
      <c r="N228" s="566">
        <f ca="1">IF(OR($A$2=1,$B228=""),"",ROUND((ROUND(VLOOKUP(OP!$C$55,HL_2,$B228+1,0)*OP!$C$28,0)+ROUND(OP!$C$28*10000*0.2,0))*IF(OR($Q228=0,$Q228=""),1,PYO),0))</f>
        <v>120000</v>
      </c>
      <c r="O228" s="567"/>
      <c r="P228" s="567"/>
      <c r="Q228" s="566">
        <f ca="1">IF(OR($A$2=1,$B228=""),"",ROUND((ROUND(VLOOKUP(OP!$C$55,HL_2,$B228+1,0)*OP!$C$28,0)+ROUND(OP!$C$28*10000*0.2,0))*IF(OR((ROUND(VLOOKUP(OP!$C$55,HL_2,$B228+1,0)*OP!$C$28,0)+ROUND(OP!$C$28*10000*0.2,0))*PY!$C$4&lt;PY!$D$5,(ROUND(VLOOKUP(OP!$C$55,HL_2,$B228+1,0)*OP!$C$28,0)+ROUND(OP!$C$28*10000*0.2,0))*PY!$C$4*PYR&lt;PY!$C$5),0,PYY)*PYR,0))</f>
        <v>0</v>
      </c>
      <c r="R228" s="568"/>
      <c r="S228" s="566">
        <f ca="1">IF(OR($A$2=1,$B228=""),"",ROUND(ROUND(VLOOKUP(OP!$C$55,HL_3,$B228+1,0)*OP!$C$28,0)*IF(OR($V228=0,$V228=""),1,PYO),0))</f>
        <v>100000</v>
      </c>
      <c r="T228" s="567"/>
      <c r="U228" s="567"/>
      <c r="V228" s="566">
        <f ca="1">IF(OR($A$2=1,$B228=""),"",ROUND(ROUND(VLOOKUP(OP!$C$55,HL_3,$B228+1,0)*OP!$C$28,0)*IF(OR(ROUND(VLOOKUP(OP!$C$55,HL_3,$B228+1,0)*OP!$C$28,0)*PY!$C$4&lt;PY!$D$5,ROUND(VLOOKUP(OP!$C$55,HL_3,$B228+1,0)*OP!$C$28,0)*PY!$C$4*PYR&lt;PY!$C$5),0,PYY)*PYR,0))</f>
        <v>0</v>
      </c>
      <c r="W228" s="568"/>
      <c r="X228" s="22"/>
    </row>
    <row r="229" spans="1:24" s="21" customFormat="1" ht="14.1" customHeight="1">
      <c r="B229" s="481">
        <f ca="1">IF(OR(C228&gt;=OP!F$57,C228=""),"",IF(C228+1&gt;OP!$F$57,OP!$F$57+1-$B$23,B228+1))</f>
        <v>85</v>
      </c>
      <c r="C229" s="481">
        <f ca="1">IF(OR($A$2=1,MAX($C$134:$C$178,$C$190:C228)&gt;=OP!$F$57),"",C228+(B229-B228))</f>
        <v>84</v>
      </c>
      <c r="D229" s="566">
        <f ca="1">IF(OR($A$2=1,$B229=""),"",ROUND(ROUND(VLOOKUP(OP!$C$55,HL_1,$B229+1,0)*OP!$C$28,0)*IF(OR($G229=0,$G229=""),1,PYO),0))</f>
        <v>50668</v>
      </c>
      <c r="E229" s="567"/>
      <c r="F229" s="567"/>
      <c r="G229" s="566">
        <f ca="1">IF(OR($A$2=1,$B229=""),"",ROUND(ROUND(VLOOKUP(OP!$C$55,HL_1,$B229+1,0)*OP!$C$28,0)*IF(OR(ROUND(VLOOKUP(OP!$C$55,HL_1,$B229+1,0)*OP!$C$28,0)*PY!$C$4&lt;PY!$D$5,ROUND(VLOOKUP(OP!$C$55,HL_1,$B229+1,0)*OP!$C$28,0)*PY!$C$4*PYR&lt;PY!$C$5),0,PYY)*PYR,0))</f>
        <v>0</v>
      </c>
      <c r="H229" s="568"/>
      <c r="I229" s="566">
        <f ca="1">IF(OR($A$2=1,$B229=""),"",ROUND(ROUND(VLOOKUP(OP!$C$55,HL_2,$B229+1,0)*OP!$C$28,0)*IF(OR($L229=0,$L229=""),1,PYO),0))</f>
        <v>100000</v>
      </c>
      <c r="J229" s="567"/>
      <c r="K229" s="567"/>
      <c r="L229" s="566">
        <f ca="1">IF(OR($A$2=1,$B229=""),"",ROUND(ROUND(VLOOKUP(OP!$C$55,HL_2,$B229+1,0)*OP!$C$28,0)*IF(OR(ROUND(VLOOKUP(OP!$C$55,HL_2,$B229+1,0)*OP!$C$28,0)*PY!$C$4&lt;PY!$D$5,ROUND(VLOOKUP(OP!$C$55,HL_2,$B229+1,0)*OP!$C$28,0)*PY!$C$4*PYR&lt;PY!$C$5),0,PYY)*PYR,0))</f>
        <v>0</v>
      </c>
      <c r="M229" s="568"/>
      <c r="N229" s="566">
        <f ca="1">IF(OR($A$2=1,$B229=""),"",ROUND((ROUND(VLOOKUP(OP!$C$55,HL_2,$B229+1,0)*OP!$C$28,0)+ROUND(OP!$C$28*10000*0.2,0))*IF(OR($Q229=0,$Q229=""),1,PYO),0))</f>
        <v>120000</v>
      </c>
      <c r="O229" s="567"/>
      <c r="P229" s="567"/>
      <c r="Q229" s="566">
        <f ca="1">IF(OR($A$2=1,$B229=""),"",ROUND((ROUND(VLOOKUP(OP!$C$55,HL_2,$B229+1,0)*OP!$C$28,0)+ROUND(OP!$C$28*10000*0.2,0))*IF(OR((ROUND(VLOOKUP(OP!$C$55,HL_2,$B229+1,0)*OP!$C$28,0)+ROUND(OP!$C$28*10000*0.2,0))*PY!$C$4&lt;PY!$D$5,(ROUND(VLOOKUP(OP!$C$55,HL_2,$B229+1,0)*OP!$C$28,0)+ROUND(OP!$C$28*10000*0.2,0))*PY!$C$4*PYR&lt;PY!$C$5),0,PYY)*PYR,0))</f>
        <v>0</v>
      </c>
      <c r="R229" s="568"/>
      <c r="S229" s="566">
        <f ca="1">IF(OR($A$2=1,$B229=""),"",ROUND(ROUND(VLOOKUP(OP!$C$55,HL_3,$B229+1,0)*OP!$C$28,0)*IF(OR($V229=0,$V229=""),1,PYO),0))</f>
        <v>100000</v>
      </c>
      <c r="T229" s="567"/>
      <c r="U229" s="567"/>
      <c r="V229" s="566">
        <f ca="1">IF(OR($A$2=1,$B229=""),"",ROUND(ROUND(VLOOKUP(OP!$C$55,HL_3,$B229+1,0)*OP!$C$28,0)*IF(OR(ROUND(VLOOKUP(OP!$C$55,HL_3,$B229+1,0)*OP!$C$28,0)*PY!$C$4&lt;PY!$D$5,ROUND(VLOOKUP(OP!$C$55,HL_3,$B229+1,0)*OP!$C$28,0)*PY!$C$4*PYR&lt;PY!$C$5),0,PYY)*PYR,0))</f>
        <v>0</v>
      </c>
      <c r="W229" s="568"/>
      <c r="X229" s="22"/>
    </row>
    <row r="230" spans="1:24" s="24" customFormat="1" ht="15" customHeight="1">
      <c r="A230" s="35"/>
      <c r="B230" s="111" t="s">
        <v>760</v>
      </c>
      <c r="C230" s="105"/>
      <c r="D230" s="237"/>
      <c r="E230" s="237"/>
      <c r="F230" s="237"/>
      <c r="G230" s="237"/>
      <c r="H230" s="237"/>
      <c r="I230" s="237"/>
      <c r="J230" s="238"/>
      <c r="K230" s="238"/>
      <c r="L230" s="239"/>
      <c r="M230" s="239"/>
      <c r="N230" s="239"/>
      <c r="O230" s="239"/>
      <c r="P230" s="239"/>
      <c r="Q230" s="239"/>
      <c r="R230" s="239"/>
      <c r="S230" s="239"/>
      <c r="T230" s="239"/>
      <c r="U230" s="239"/>
      <c r="V230" s="239"/>
      <c r="W230" s="239"/>
      <c r="X230" s="23"/>
    </row>
    <row r="231" spans="1:24" s="24" customFormat="1" ht="15" customHeight="1">
      <c r="A231" s="35"/>
      <c r="B231" s="111" t="s">
        <v>625</v>
      </c>
      <c r="C231" s="105"/>
      <c r="D231" s="237"/>
      <c r="E231" s="237"/>
      <c r="F231" s="237"/>
      <c r="G231" s="237"/>
      <c r="H231" s="237"/>
      <c r="I231" s="237"/>
      <c r="J231" s="238"/>
      <c r="K231" s="238"/>
      <c r="L231" s="239"/>
      <c r="M231" s="239"/>
      <c r="N231" s="239"/>
      <c r="O231" s="239"/>
      <c r="P231" s="239"/>
      <c r="Q231" s="239"/>
      <c r="R231" s="239"/>
      <c r="S231" s="239"/>
      <c r="T231" s="239"/>
      <c r="U231" s="239"/>
      <c r="V231" s="239"/>
      <c r="W231" s="239"/>
      <c r="X231" s="23"/>
    </row>
    <row r="232" spans="1:24" s="24" customFormat="1" ht="15" customHeight="1">
      <c r="A232" s="35"/>
      <c r="B232" s="111"/>
      <c r="C232" s="105"/>
      <c r="D232" s="237"/>
      <c r="E232" s="237"/>
      <c r="F232" s="237"/>
      <c r="G232" s="237"/>
      <c r="H232" s="237"/>
      <c r="I232" s="237"/>
      <c r="J232" s="238"/>
      <c r="K232" s="238"/>
      <c r="L232" s="239"/>
      <c r="M232" s="239"/>
      <c r="N232" s="239"/>
      <c r="O232" s="239"/>
      <c r="P232" s="239"/>
      <c r="Q232" s="239"/>
      <c r="R232" s="239"/>
      <c r="S232" s="239"/>
      <c r="T232" s="239"/>
      <c r="U232" s="239"/>
      <c r="V232" s="239"/>
      <c r="W232" s="239"/>
      <c r="X232" s="23"/>
    </row>
    <row r="233" spans="1:24" s="24" customFormat="1" ht="15" customHeight="1">
      <c r="A233" s="35"/>
      <c r="B233" s="111"/>
      <c r="C233" s="105"/>
      <c r="D233" s="237"/>
      <c r="E233" s="237"/>
      <c r="F233" s="237"/>
      <c r="G233" s="237"/>
      <c r="H233" s="237"/>
      <c r="I233" s="237"/>
      <c r="J233" s="238"/>
      <c r="K233" s="238"/>
      <c r="L233" s="239"/>
      <c r="M233" s="239"/>
      <c r="N233" s="239"/>
      <c r="O233" s="239"/>
      <c r="P233" s="239"/>
      <c r="Q233" s="239"/>
      <c r="R233" s="239"/>
      <c r="S233" s="239"/>
      <c r="T233" s="239"/>
      <c r="U233" s="239"/>
      <c r="V233" s="239"/>
      <c r="W233" s="239"/>
      <c r="X233" s="23"/>
    </row>
    <row r="234" spans="1:24" s="24" customFormat="1" ht="15" customHeight="1">
      <c r="A234" s="35"/>
      <c r="B234" s="111"/>
      <c r="C234" s="105"/>
      <c r="D234" s="237"/>
      <c r="E234" s="237"/>
      <c r="F234" s="237"/>
      <c r="G234" s="237"/>
      <c r="H234" s="237"/>
      <c r="I234" s="237"/>
      <c r="J234" s="238"/>
      <c r="K234" s="238"/>
      <c r="L234" s="239"/>
      <c r="M234" s="239"/>
      <c r="N234" s="239"/>
      <c r="O234" s="239"/>
      <c r="P234" s="239"/>
      <c r="Q234" s="239"/>
      <c r="R234" s="239"/>
      <c r="S234" s="239"/>
      <c r="T234" s="239"/>
      <c r="U234" s="239"/>
      <c r="V234" s="239"/>
      <c r="W234" s="239"/>
      <c r="X234" s="23"/>
    </row>
    <row r="235" spans="1:24" s="24" customFormat="1" ht="15" customHeight="1">
      <c r="A235" s="35"/>
      <c r="B235" s="111"/>
      <c r="C235" s="105"/>
      <c r="D235" s="237"/>
      <c r="E235" s="237"/>
      <c r="F235" s="237"/>
      <c r="G235" s="237"/>
      <c r="H235" s="237"/>
      <c r="I235" s="237"/>
      <c r="J235" s="238"/>
      <c r="K235" s="238"/>
      <c r="L235" s="239"/>
      <c r="M235" s="239"/>
      <c r="N235" s="239"/>
      <c r="O235" s="239"/>
      <c r="P235" s="239"/>
      <c r="Q235" s="239"/>
      <c r="R235" s="239"/>
      <c r="S235" s="239"/>
      <c r="T235" s="239"/>
      <c r="U235" s="239"/>
      <c r="V235" s="239"/>
      <c r="W235" s="239"/>
      <c r="X235" s="23"/>
    </row>
    <row r="236" spans="1:24" s="24" customFormat="1" ht="15" customHeight="1">
      <c r="A236" s="35"/>
      <c r="B236" s="111"/>
      <c r="C236" s="105"/>
      <c r="D236" s="237"/>
      <c r="E236" s="237"/>
      <c r="F236" s="237"/>
      <c r="G236" s="237"/>
      <c r="H236" s="237"/>
      <c r="I236" s="237"/>
      <c r="J236" s="238"/>
      <c r="K236" s="238"/>
      <c r="L236" s="239"/>
      <c r="M236" s="239"/>
      <c r="N236" s="239"/>
      <c r="O236" s="239"/>
      <c r="P236" s="239"/>
      <c r="Q236" s="239"/>
      <c r="R236" s="239"/>
      <c r="S236" s="239"/>
      <c r="T236" s="239"/>
      <c r="U236" s="239"/>
      <c r="V236" s="239"/>
      <c r="W236" s="239"/>
      <c r="X236" s="23"/>
    </row>
    <row r="237" spans="1:24" s="24" customFormat="1" ht="15" customHeight="1">
      <c r="A237" s="35"/>
      <c r="B237" s="111"/>
      <c r="C237" s="105"/>
      <c r="D237" s="237"/>
      <c r="E237" s="237"/>
      <c r="F237" s="237"/>
      <c r="G237" s="237"/>
      <c r="H237" s="237"/>
      <c r="I237" s="237"/>
      <c r="J237" s="238"/>
      <c r="K237" s="238"/>
      <c r="L237" s="239"/>
      <c r="M237" s="239"/>
      <c r="N237" s="239"/>
      <c r="O237" s="239"/>
      <c r="P237" s="239"/>
      <c r="Q237" s="239"/>
      <c r="R237" s="239"/>
      <c r="S237" s="239"/>
      <c r="T237" s="239"/>
      <c r="U237" s="239"/>
      <c r="V237" s="239"/>
      <c r="W237" s="239"/>
      <c r="X237" s="23"/>
    </row>
    <row r="238" spans="1:24" s="24" customFormat="1" ht="15" customHeight="1">
      <c r="A238" s="35"/>
      <c r="B238" s="111"/>
      <c r="C238" s="105"/>
      <c r="D238" s="237"/>
      <c r="E238" s="237"/>
      <c r="F238" s="237"/>
      <c r="G238" s="237"/>
      <c r="H238" s="237"/>
      <c r="I238" s="237"/>
      <c r="J238" s="238"/>
      <c r="K238" s="238"/>
      <c r="L238" s="239"/>
      <c r="M238" s="239"/>
      <c r="N238" s="239"/>
      <c r="O238" s="239"/>
      <c r="P238" s="239"/>
      <c r="Q238" s="239"/>
      <c r="R238" s="239"/>
      <c r="S238" s="239"/>
      <c r="T238" s="239"/>
      <c r="U238" s="239"/>
      <c r="V238" s="239"/>
      <c r="W238" s="239"/>
      <c r="X238" s="23"/>
    </row>
    <row r="239" spans="1:24" s="24" customFormat="1" ht="15" customHeight="1">
      <c r="A239" s="35"/>
      <c r="B239" s="111"/>
      <c r="C239" s="105"/>
      <c r="D239" s="237"/>
      <c r="E239" s="237"/>
      <c r="F239" s="237"/>
      <c r="G239" s="237"/>
      <c r="H239" s="237"/>
      <c r="I239" s="237"/>
      <c r="J239" s="238"/>
      <c r="K239" s="238"/>
      <c r="L239" s="239"/>
      <c r="M239" s="239"/>
      <c r="N239" s="239"/>
      <c r="O239" s="239"/>
      <c r="P239" s="239"/>
      <c r="Q239" s="239"/>
      <c r="R239" s="239"/>
      <c r="S239" s="239"/>
      <c r="T239" s="239"/>
      <c r="U239" s="239"/>
      <c r="V239" s="239"/>
      <c r="W239" s="239"/>
      <c r="X239" s="23"/>
    </row>
    <row r="240" spans="1:24" s="24" customFormat="1" ht="15" customHeight="1">
      <c r="A240" s="35"/>
      <c r="B240" s="111"/>
      <c r="C240" s="105"/>
      <c r="D240" s="237"/>
      <c r="E240" s="237"/>
      <c r="F240" s="237"/>
      <c r="G240" s="237"/>
      <c r="H240" s="237"/>
      <c r="I240" s="237"/>
      <c r="J240" s="238"/>
      <c r="K240" s="238"/>
      <c r="L240" s="239"/>
      <c r="M240" s="239"/>
      <c r="N240" s="239"/>
      <c r="O240" s="239"/>
      <c r="P240" s="239"/>
      <c r="Q240" s="239"/>
      <c r="R240" s="239"/>
      <c r="S240" s="239"/>
      <c r="T240" s="239"/>
      <c r="U240" s="239"/>
      <c r="V240" s="239"/>
      <c r="W240" s="239"/>
      <c r="X240" s="23"/>
    </row>
    <row r="241" spans="1:24" s="24" customFormat="1" ht="15" customHeight="1">
      <c r="A241" s="35">
        <v>1</v>
      </c>
      <c r="B241" s="598" t="str">
        <f>OP!$D$107</f>
        <v>本建議書僅供參考，詳細商品內容及其變更，應以投保當時保單條款內容及本公司核保、保全作業規定為準</v>
      </c>
      <c r="C241" s="598"/>
      <c r="D241" s="598"/>
      <c r="E241" s="598"/>
      <c r="F241" s="598"/>
      <c r="G241" s="598"/>
      <c r="H241" s="598"/>
      <c r="I241" s="598"/>
      <c r="J241" s="598"/>
      <c r="K241" s="598"/>
      <c r="L241" s="598"/>
      <c r="M241" s="598"/>
      <c r="N241" s="598"/>
      <c r="O241" s="598"/>
      <c r="P241" s="598"/>
      <c r="Q241" s="598"/>
      <c r="R241" s="598"/>
      <c r="S241" s="598"/>
      <c r="T241" s="598"/>
      <c r="U241" s="598"/>
      <c r="V241" s="598"/>
      <c r="W241" s="598"/>
      <c r="X241" s="23"/>
    </row>
    <row r="242" spans="1:24" s="24" customFormat="1" ht="15" customHeight="1">
      <c r="B242" s="375"/>
      <c r="C242" s="376"/>
      <c r="F242" s="559" t="str">
        <f>OP!$D$106</f>
        <v xml:space="preserve"> ※本契約條款樣張須於訂立契約前提供要保人至少三日審閱期間</v>
      </c>
      <c r="G242" s="560"/>
      <c r="H242" s="560"/>
      <c r="I242" s="560"/>
      <c r="J242" s="560"/>
      <c r="K242" s="560"/>
      <c r="L242" s="560"/>
      <c r="M242" s="560"/>
      <c r="N242" s="560"/>
      <c r="O242" s="560"/>
      <c r="P242" s="560"/>
      <c r="Q242" s="560"/>
      <c r="R242" s="485"/>
      <c r="S242" s="227"/>
      <c r="T242" s="160"/>
      <c r="U242" s="160"/>
      <c r="V242" s="160"/>
      <c r="W242" s="161" t="str">
        <f ca="1">OP!$D$105</f>
        <v>V1.2-1150101 試算日：1150101</v>
      </c>
      <c r="X242" s="23"/>
    </row>
    <row r="243" spans="1:24" ht="15" customHeight="1">
      <c r="A243" s="10"/>
      <c r="B243" s="20"/>
      <c r="C243" s="16"/>
      <c r="D243" s="16"/>
      <c r="E243" s="16"/>
      <c r="F243" s="16"/>
      <c r="G243" s="16"/>
      <c r="H243" s="16"/>
      <c r="I243" s="16"/>
      <c r="J243" s="16"/>
      <c r="K243" s="16"/>
      <c r="L243" s="16"/>
      <c r="M243" s="16"/>
      <c r="N243" s="16"/>
      <c r="O243" s="16"/>
      <c r="P243" s="16"/>
      <c r="Q243" s="16"/>
      <c r="R243" s="16"/>
      <c r="S243" s="16"/>
      <c r="T243" s="14"/>
      <c r="U243" s="14"/>
      <c r="V243" s="29"/>
      <c r="W243" s="373" t="str">
        <f>IF(OP!$C$105="停售","本商品已停售","")</f>
        <v/>
      </c>
    </row>
    <row r="244" spans="1:24" ht="18" customHeight="1">
      <c r="A244" s="10"/>
      <c r="B244" s="600" t="s">
        <v>380</v>
      </c>
      <c r="C244" s="600"/>
      <c r="D244" s="600"/>
      <c r="E244" s="600"/>
      <c r="F244" s="600"/>
      <c r="G244" s="600"/>
      <c r="H244" s="600"/>
      <c r="I244" s="600"/>
      <c r="J244" s="600"/>
      <c r="K244" s="600"/>
      <c r="L244" s="600"/>
      <c r="M244" s="600"/>
      <c r="N244" s="601"/>
      <c r="O244" s="601"/>
      <c r="P244" s="601"/>
      <c r="Q244" s="601"/>
      <c r="R244" s="600"/>
      <c r="S244" s="600"/>
      <c r="T244" s="600"/>
      <c r="U244" s="600"/>
      <c r="V244" s="600"/>
      <c r="W244" s="600"/>
    </row>
    <row r="245" spans="1:24" s="105" customFormat="1" ht="15" customHeight="1">
      <c r="A245" s="104">
        <v>1</v>
      </c>
      <c r="B245" s="125" t="str">
        <f>OP!$C$23&amp;"("&amp;OP!$C$22&amp;")"</f>
        <v>富邦人壽優卡安心重大傷病健康保險(SDJ)</v>
      </c>
      <c r="D245" s="25"/>
      <c r="E245" s="25"/>
      <c r="F245" s="25"/>
      <c r="G245" s="25"/>
      <c r="H245" s="25"/>
      <c r="I245" s="25"/>
      <c r="J245" s="25"/>
      <c r="K245" s="25"/>
      <c r="L245" s="25"/>
      <c r="M245" s="25"/>
      <c r="N245" s="25"/>
      <c r="O245" s="25"/>
      <c r="P245" s="25"/>
      <c r="Q245" s="25"/>
      <c r="R245" s="25"/>
      <c r="S245" s="25"/>
      <c r="T245" s="25"/>
      <c r="U245" s="25"/>
      <c r="V245" s="25"/>
      <c r="W245" s="25"/>
    </row>
    <row r="246" spans="1:24" s="105" customFormat="1" ht="15" customHeight="1">
      <c r="A246" s="104"/>
      <c r="B246" s="125" t="s">
        <v>990</v>
      </c>
      <c r="D246" s="25"/>
      <c r="E246" s="25"/>
      <c r="F246" s="25"/>
      <c r="G246" s="25"/>
      <c r="H246" s="25"/>
      <c r="I246" s="25"/>
      <c r="J246" s="25"/>
      <c r="K246" s="25"/>
      <c r="L246" s="25"/>
      <c r="M246" s="25"/>
      <c r="N246" s="25"/>
      <c r="O246" s="25"/>
      <c r="P246" s="25"/>
      <c r="Q246" s="25"/>
      <c r="R246" s="25"/>
      <c r="S246" s="25"/>
      <c r="T246" s="25"/>
      <c r="U246" s="25"/>
      <c r="V246" s="25"/>
      <c r="W246" s="25"/>
    </row>
    <row r="247" spans="1:24" s="105" customFormat="1" ht="15" customHeight="1">
      <c r="A247" s="104"/>
      <c r="B247" s="125" t="s">
        <v>1017</v>
      </c>
      <c r="D247" s="25"/>
      <c r="E247" s="25"/>
      <c r="F247" s="25"/>
      <c r="G247" s="25"/>
      <c r="H247" s="25"/>
      <c r="I247" s="25"/>
      <c r="J247" s="25"/>
      <c r="K247" s="25"/>
      <c r="L247" s="25"/>
      <c r="M247" s="25"/>
      <c r="N247" s="25"/>
      <c r="O247" s="25"/>
      <c r="P247" s="25"/>
      <c r="Q247" s="25"/>
      <c r="R247" s="25"/>
      <c r="S247" s="25"/>
      <c r="T247" s="25"/>
      <c r="U247" s="25"/>
      <c r="V247" s="25"/>
      <c r="W247" s="25"/>
    </row>
    <row r="248" spans="1:24" s="105" customFormat="1" ht="15" customHeight="1">
      <c r="A248" s="104"/>
      <c r="B248" s="125" t="s">
        <v>281</v>
      </c>
      <c r="D248" s="25"/>
      <c r="E248" s="25"/>
      <c r="F248" s="25"/>
      <c r="G248" s="25"/>
      <c r="H248" s="25"/>
      <c r="I248" s="25"/>
      <c r="J248" s="25"/>
      <c r="K248" s="25"/>
      <c r="L248" s="25"/>
      <c r="M248" s="25"/>
      <c r="N248" s="25"/>
      <c r="O248" s="25"/>
      <c r="P248" s="25"/>
      <c r="Q248" s="25"/>
      <c r="R248" s="25"/>
      <c r="S248" s="25"/>
      <c r="T248" s="25"/>
      <c r="U248" s="25"/>
      <c r="V248" s="25"/>
      <c r="W248" s="25"/>
    </row>
    <row r="249" spans="1:24" s="105" customFormat="1" ht="15" customHeight="1">
      <c r="A249" s="104">
        <v>2</v>
      </c>
      <c r="B249" s="163" t="s">
        <v>379</v>
      </c>
      <c r="D249" s="25"/>
      <c r="E249" s="25"/>
      <c r="F249" s="25"/>
      <c r="G249" s="25"/>
      <c r="H249" s="25"/>
      <c r="I249" s="25"/>
      <c r="J249" s="25"/>
      <c r="K249" s="25"/>
      <c r="L249" s="25"/>
      <c r="M249" s="25"/>
      <c r="N249" s="25"/>
      <c r="O249" s="25"/>
      <c r="P249" s="25"/>
      <c r="Q249" s="25"/>
      <c r="R249" s="25"/>
      <c r="S249" s="25"/>
      <c r="T249" s="25"/>
      <c r="U249" s="25"/>
      <c r="V249" s="25"/>
      <c r="W249" s="25"/>
    </row>
    <row r="250" spans="1:24" s="105" customFormat="1" ht="15" customHeight="1">
      <c r="A250" s="104">
        <v>3</v>
      </c>
      <c r="B250" s="163" t="s">
        <v>763</v>
      </c>
      <c r="D250" s="25"/>
      <c r="E250" s="25"/>
      <c r="F250" s="25"/>
      <c r="G250" s="25"/>
      <c r="H250" s="25"/>
      <c r="I250" s="25"/>
      <c r="J250" s="25"/>
      <c r="K250" s="25"/>
      <c r="L250" s="25"/>
      <c r="M250" s="25"/>
      <c r="N250" s="25"/>
      <c r="O250" s="25"/>
      <c r="P250" s="25"/>
      <c r="Q250" s="25"/>
      <c r="R250" s="25"/>
      <c r="S250" s="25"/>
      <c r="T250" s="25"/>
      <c r="U250" s="25"/>
      <c r="V250" s="25"/>
      <c r="W250" s="25"/>
    </row>
    <row r="251" spans="1:24" s="105" customFormat="1" ht="15" customHeight="1">
      <c r="A251" s="104">
        <v>4</v>
      </c>
      <c r="B251" s="358" t="s">
        <v>771</v>
      </c>
      <c r="D251" s="25"/>
      <c r="E251" s="25"/>
      <c r="F251" s="25"/>
      <c r="G251" s="25"/>
      <c r="H251" s="25"/>
      <c r="I251" s="25"/>
      <c r="J251" s="25"/>
      <c r="K251" s="25"/>
      <c r="L251" s="25"/>
      <c r="M251" s="25"/>
      <c r="N251" s="25"/>
      <c r="O251" s="25"/>
      <c r="P251" s="25"/>
      <c r="Q251" s="25"/>
      <c r="R251" s="25"/>
      <c r="S251" s="25"/>
      <c r="T251" s="25"/>
      <c r="U251" s="25"/>
      <c r="V251" s="25"/>
      <c r="W251" s="25"/>
    </row>
    <row r="252" spans="1:24" s="105" customFormat="1" ht="15" customHeight="1">
      <c r="A252" s="104">
        <v>5</v>
      </c>
      <c r="B252" s="358" t="s">
        <v>790</v>
      </c>
      <c r="D252" s="25"/>
      <c r="E252" s="25"/>
      <c r="F252" s="25"/>
      <c r="G252" s="25"/>
      <c r="H252" s="25"/>
      <c r="I252" s="25"/>
      <c r="J252" s="25"/>
      <c r="K252" s="25"/>
      <c r="L252" s="25"/>
      <c r="M252" s="25"/>
      <c r="N252" s="25"/>
      <c r="O252" s="25"/>
      <c r="P252" s="25"/>
      <c r="Q252" s="25"/>
      <c r="R252" s="25"/>
      <c r="S252" s="25"/>
      <c r="T252" s="25"/>
      <c r="U252" s="25"/>
      <c r="V252" s="25"/>
      <c r="W252" s="25"/>
    </row>
    <row r="253" spans="1:24" s="105" customFormat="1" ht="15" customHeight="1">
      <c r="A253" s="104">
        <v>6</v>
      </c>
      <c r="B253" s="358" t="s">
        <v>791</v>
      </c>
      <c r="C253" s="136"/>
      <c r="D253" s="137"/>
      <c r="E253" s="137"/>
      <c r="F253" s="137"/>
      <c r="G253" s="137"/>
      <c r="H253" s="137"/>
      <c r="I253" s="137"/>
      <c r="J253" s="137"/>
      <c r="K253" s="137"/>
      <c r="L253" s="137"/>
      <c r="M253" s="137"/>
      <c r="N253" s="137"/>
      <c r="O253" s="137"/>
      <c r="P253" s="137"/>
      <c r="Q253" s="137"/>
      <c r="R253" s="137"/>
      <c r="S253" s="25"/>
      <c r="T253" s="25"/>
      <c r="U253" s="25"/>
      <c r="V253" s="25"/>
      <c r="W253" s="25"/>
    </row>
    <row r="254" spans="1:24" s="105" customFormat="1" ht="15" customHeight="1">
      <c r="A254" s="104">
        <v>7</v>
      </c>
      <c r="B254" s="358" t="s">
        <v>747</v>
      </c>
      <c r="D254" s="25"/>
      <c r="E254" s="25"/>
      <c r="F254" s="25"/>
      <c r="G254" s="25"/>
      <c r="H254" s="25"/>
      <c r="I254" s="25"/>
      <c r="J254" s="25"/>
      <c r="K254" s="25"/>
      <c r="L254" s="25"/>
      <c r="M254" s="25"/>
      <c r="N254" s="25"/>
      <c r="O254" s="25"/>
      <c r="P254" s="25"/>
      <c r="Q254" s="25"/>
      <c r="R254" s="25"/>
      <c r="S254" s="25"/>
      <c r="T254" s="25"/>
      <c r="U254" s="25"/>
      <c r="V254" s="25"/>
      <c r="W254" s="25"/>
    </row>
    <row r="255" spans="1:24" s="105" customFormat="1" ht="15" customHeight="1">
      <c r="A255" s="104"/>
      <c r="B255" s="358" t="s">
        <v>748</v>
      </c>
      <c r="D255" s="25"/>
      <c r="E255" s="25"/>
      <c r="F255" s="25"/>
      <c r="G255" s="25"/>
      <c r="H255" s="25"/>
      <c r="I255" s="25"/>
      <c r="J255" s="25"/>
      <c r="K255" s="25"/>
      <c r="L255" s="25"/>
      <c r="M255" s="25"/>
      <c r="N255" s="25"/>
      <c r="O255" s="25"/>
      <c r="P255" s="25"/>
      <c r="Q255" s="25"/>
      <c r="R255" s="25"/>
      <c r="S255" s="25"/>
      <c r="T255" s="25"/>
      <c r="U255" s="25"/>
      <c r="V255" s="25"/>
      <c r="W255" s="25"/>
    </row>
    <row r="256" spans="1:24" s="105" customFormat="1" ht="15" customHeight="1">
      <c r="A256" s="104"/>
      <c r="B256" s="358" t="s">
        <v>749</v>
      </c>
      <c r="D256" s="25"/>
      <c r="E256" s="25"/>
      <c r="F256" s="25"/>
      <c r="G256" s="25"/>
      <c r="H256" s="25"/>
      <c r="I256" s="25"/>
      <c r="J256" s="25"/>
      <c r="K256" s="25"/>
      <c r="L256" s="25"/>
      <c r="M256" s="25"/>
      <c r="N256" s="25"/>
      <c r="O256" s="25"/>
      <c r="P256" s="25"/>
      <c r="Q256" s="25"/>
      <c r="R256" s="25"/>
      <c r="S256" s="25"/>
      <c r="T256" s="25"/>
      <c r="U256" s="25"/>
      <c r="V256" s="25"/>
      <c r="W256" s="25"/>
    </row>
    <row r="257" spans="1:23" s="105" customFormat="1" ht="15" customHeight="1">
      <c r="A257" s="104"/>
      <c r="B257" s="358" t="s">
        <v>751</v>
      </c>
      <c r="D257" s="25"/>
      <c r="E257" s="25"/>
      <c r="F257" s="25"/>
      <c r="G257" s="25"/>
      <c r="H257" s="25"/>
      <c r="I257" s="25"/>
      <c r="J257" s="25"/>
      <c r="K257" s="25"/>
      <c r="L257" s="25"/>
      <c r="M257" s="25"/>
      <c r="N257" s="25"/>
      <c r="O257" s="25"/>
      <c r="P257" s="25"/>
      <c r="Q257" s="25"/>
      <c r="R257" s="25"/>
      <c r="S257" s="25"/>
      <c r="T257" s="25"/>
      <c r="U257" s="25"/>
      <c r="V257" s="25"/>
      <c r="W257" s="25"/>
    </row>
    <row r="258" spans="1:23" s="105" customFormat="1" ht="15" customHeight="1">
      <c r="A258" s="104"/>
      <c r="B258" s="358" t="s">
        <v>938</v>
      </c>
      <c r="D258" s="25"/>
      <c r="E258" s="25"/>
      <c r="F258" s="25"/>
      <c r="G258" s="25"/>
      <c r="H258" s="25"/>
      <c r="I258" s="25"/>
      <c r="J258" s="25"/>
      <c r="K258" s="25"/>
      <c r="L258" s="25"/>
      <c r="M258" s="25"/>
      <c r="N258" s="25"/>
      <c r="O258" s="25"/>
      <c r="P258" s="25"/>
      <c r="Q258" s="25"/>
      <c r="R258" s="25"/>
      <c r="S258" s="25"/>
      <c r="T258" s="25"/>
      <c r="U258" s="25"/>
      <c r="V258" s="25"/>
      <c r="W258" s="25"/>
    </row>
    <row r="259" spans="1:23" s="105" customFormat="1" ht="15" customHeight="1">
      <c r="A259" s="104"/>
      <c r="B259" s="163" t="s">
        <v>781</v>
      </c>
      <c r="D259" s="25"/>
      <c r="E259" s="25"/>
      <c r="F259" s="25"/>
      <c r="G259" s="25"/>
      <c r="H259" s="25"/>
      <c r="I259" s="25"/>
      <c r="J259" s="25"/>
      <c r="K259" s="25"/>
      <c r="L259" s="25"/>
      <c r="M259" s="25"/>
      <c r="N259" s="25"/>
      <c r="O259" s="25"/>
      <c r="P259" s="25"/>
      <c r="Q259" s="25"/>
      <c r="R259" s="25"/>
      <c r="S259" s="25"/>
      <c r="T259" s="25"/>
      <c r="U259" s="25"/>
      <c r="V259" s="25"/>
      <c r="W259" s="25"/>
    </row>
    <row r="260" spans="1:23" s="12" customFormat="1" ht="15" customHeight="1">
      <c r="A260" s="210"/>
      <c r="B260" s="163" t="s">
        <v>782</v>
      </c>
      <c r="C260" s="105"/>
      <c r="D260" s="134"/>
      <c r="E260" s="187"/>
      <c r="F260" s="187"/>
      <c r="G260" s="187"/>
      <c r="H260" s="187"/>
      <c r="I260" s="187"/>
      <c r="J260" s="187"/>
      <c r="K260" s="187"/>
      <c r="L260" s="187"/>
      <c r="M260" s="187"/>
      <c r="N260" s="187"/>
      <c r="O260" s="187"/>
      <c r="P260" s="187"/>
      <c r="Q260" s="187"/>
      <c r="R260" s="187"/>
      <c r="S260" s="187"/>
      <c r="T260" s="187"/>
      <c r="U260" s="187"/>
      <c r="V260" s="188"/>
      <c r="W260" s="189"/>
    </row>
    <row r="261" spans="1:23" s="12" customFormat="1" ht="15" customHeight="1">
      <c r="A261" s="210"/>
      <c r="B261" s="163" t="s">
        <v>783</v>
      </c>
      <c r="C261" s="105"/>
      <c r="D261" s="138"/>
      <c r="E261" s="190"/>
      <c r="F261" s="190"/>
      <c r="G261" s="190"/>
      <c r="H261" s="190"/>
      <c r="I261" s="190"/>
      <c r="J261" s="190"/>
      <c r="K261" s="190"/>
      <c r="L261" s="190"/>
      <c r="M261" s="190"/>
      <c r="N261" s="190"/>
      <c r="O261" s="190"/>
      <c r="P261" s="190"/>
      <c r="Q261" s="190"/>
      <c r="R261" s="190"/>
      <c r="S261" s="190"/>
      <c r="T261" s="190"/>
      <c r="U261" s="190"/>
      <c r="V261" s="134"/>
      <c r="W261" s="189"/>
    </row>
    <row r="262" spans="1:23" s="12" customFormat="1" ht="15" customHeight="1">
      <c r="A262" s="210"/>
      <c r="B262" s="163" t="s">
        <v>993</v>
      </c>
      <c r="C262" s="105"/>
      <c r="D262" s="138"/>
      <c r="E262" s="190"/>
      <c r="F262" s="190"/>
      <c r="G262" s="190"/>
      <c r="H262" s="190"/>
      <c r="I262" s="190"/>
      <c r="J262" s="190"/>
      <c r="K262" s="190"/>
      <c r="L262" s="190"/>
      <c r="M262" s="190"/>
      <c r="N262" s="190"/>
      <c r="O262" s="190"/>
      <c r="P262" s="190"/>
      <c r="Q262" s="190"/>
      <c r="R262" s="190"/>
      <c r="S262" s="190"/>
      <c r="T262" s="190"/>
      <c r="U262" s="190"/>
      <c r="V262" s="191"/>
      <c r="W262" s="189"/>
    </row>
    <row r="263" spans="1:23" s="12" customFormat="1" ht="15" customHeight="1">
      <c r="A263" s="210"/>
      <c r="B263" s="163" t="s">
        <v>994</v>
      </c>
      <c r="D263" s="211"/>
      <c r="E263" s="212"/>
      <c r="F263" s="212"/>
      <c r="G263" s="212"/>
      <c r="H263" s="212"/>
      <c r="I263" s="212"/>
      <c r="J263" s="212"/>
      <c r="K263" s="212"/>
      <c r="L263" s="212"/>
      <c r="M263" s="212"/>
      <c r="N263" s="212"/>
      <c r="O263" s="212"/>
      <c r="P263" s="212"/>
      <c r="Q263" s="212"/>
      <c r="R263" s="212"/>
      <c r="S263" s="212"/>
      <c r="T263" s="212"/>
      <c r="U263" s="211"/>
      <c r="V263" s="213"/>
      <c r="W263" s="213"/>
    </row>
    <row r="264" spans="1:23" s="12" customFormat="1" ht="15" customHeight="1">
      <c r="A264" s="210"/>
      <c r="B264" s="163" t="s">
        <v>784</v>
      </c>
      <c r="D264" s="214"/>
      <c r="E264" s="214"/>
      <c r="F264" s="214"/>
      <c r="G264" s="214"/>
      <c r="H264" s="215"/>
      <c r="I264" s="215"/>
      <c r="J264" s="215"/>
      <c r="K264" s="215"/>
      <c r="L264" s="215"/>
      <c r="M264" s="215"/>
      <c r="N264" s="215"/>
      <c r="O264" s="215"/>
      <c r="P264" s="215"/>
      <c r="Q264" s="215"/>
      <c r="R264" s="215"/>
      <c r="S264" s="215"/>
      <c r="T264" s="215"/>
      <c r="U264" s="215"/>
      <c r="V264" s="28"/>
      <c r="W264" s="28"/>
    </row>
    <row r="265" spans="1:23" s="12" customFormat="1" ht="15" customHeight="1">
      <c r="A265" s="210"/>
      <c r="B265" s="163" t="s">
        <v>770</v>
      </c>
      <c r="D265" s="214"/>
      <c r="E265" s="214"/>
      <c r="F265" s="214"/>
      <c r="G265" s="214"/>
      <c r="H265" s="215"/>
      <c r="I265" s="215"/>
      <c r="J265" s="215"/>
      <c r="K265" s="215"/>
      <c r="L265" s="215"/>
      <c r="M265" s="215"/>
      <c r="N265" s="215"/>
      <c r="O265" s="215"/>
      <c r="P265" s="215"/>
      <c r="Q265" s="215"/>
      <c r="R265" s="215"/>
      <c r="S265" s="215"/>
      <c r="T265" s="215"/>
      <c r="U265" s="215"/>
      <c r="V265" s="28"/>
      <c r="W265" s="28"/>
    </row>
    <row r="266" spans="1:23" s="12" customFormat="1" ht="15" customHeight="1">
      <c r="A266" s="210"/>
      <c r="B266" s="358" t="s">
        <v>750</v>
      </c>
      <c r="D266" s="214"/>
      <c r="E266" s="214"/>
      <c r="F266" s="214"/>
      <c r="G266" s="214"/>
      <c r="H266" s="215"/>
      <c r="I266" s="215"/>
      <c r="J266" s="215"/>
      <c r="K266" s="215"/>
      <c r="L266" s="215"/>
      <c r="M266" s="215"/>
      <c r="N266" s="215"/>
      <c r="O266" s="215"/>
      <c r="P266" s="215"/>
      <c r="Q266" s="215"/>
      <c r="R266" s="215"/>
      <c r="S266" s="215"/>
      <c r="T266" s="215"/>
      <c r="U266" s="215"/>
      <c r="V266" s="28"/>
      <c r="W266" s="28"/>
    </row>
    <row r="267" spans="1:23" s="12" customFormat="1" ht="15" customHeight="1">
      <c r="A267" s="210"/>
      <c r="B267" s="163" t="s">
        <v>991</v>
      </c>
      <c r="D267" s="214"/>
      <c r="E267" s="214"/>
      <c r="F267" s="214"/>
      <c r="G267" s="214"/>
      <c r="H267" s="215"/>
      <c r="I267" s="215"/>
      <c r="J267" s="215"/>
      <c r="K267" s="215"/>
      <c r="L267" s="215"/>
      <c r="M267" s="215"/>
      <c r="N267" s="215"/>
      <c r="O267" s="215"/>
      <c r="P267" s="215"/>
      <c r="Q267" s="215"/>
      <c r="R267" s="215"/>
      <c r="S267" s="215"/>
      <c r="T267" s="215"/>
      <c r="U267" s="215"/>
      <c r="V267" s="28"/>
      <c r="W267" s="28"/>
    </row>
    <row r="268" spans="1:23" s="12" customFormat="1" ht="15" customHeight="1">
      <c r="A268" s="210"/>
      <c r="B268" s="163" t="s">
        <v>992</v>
      </c>
      <c r="D268" s="214"/>
      <c r="E268" s="214"/>
      <c r="F268" s="214"/>
      <c r="G268" s="214"/>
      <c r="H268" s="215"/>
      <c r="I268" s="215"/>
      <c r="J268" s="215"/>
      <c r="K268" s="215"/>
      <c r="L268" s="215"/>
      <c r="M268" s="215"/>
      <c r="N268" s="215"/>
      <c r="O268" s="215"/>
      <c r="P268" s="215"/>
      <c r="Q268" s="215"/>
      <c r="R268" s="215"/>
      <c r="S268" s="215"/>
      <c r="T268" s="215"/>
      <c r="U268" s="215"/>
      <c r="V268" s="28"/>
      <c r="W268" s="28"/>
    </row>
    <row r="269" spans="1:23" s="12" customFormat="1" ht="15" customHeight="1">
      <c r="A269" s="210"/>
      <c r="B269" s="186" t="s">
        <v>995</v>
      </c>
      <c r="D269" s="214"/>
      <c r="E269" s="214"/>
      <c r="F269" s="214"/>
      <c r="G269" s="214"/>
      <c r="H269" s="215"/>
      <c r="I269" s="215"/>
      <c r="J269" s="215"/>
      <c r="K269" s="215"/>
      <c r="L269" s="215"/>
      <c r="M269" s="215"/>
      <c r="N269" s="215"/>
      <c r="O269" s="215"/>
      <c r="P269" s="215"/>
      <c r="Q269" s="215"/>
      <c r="R269" s="215"/>
      <c r="S269" s="215"/>
      <c r="T269" s="215"/>
      <c r="U269" s="215"/>
      <c r="V269" s="28"/>
      <c r="W269" s="28"/>
    </row>
    <row r="270" spans="1:23" s="12" customFormat="1" ht="15" customHeight="1">
      <c r="A270" s="210"/>
      <c r="B270" s="186" t="s">
        <v>996</v>
      </c>
      <c r="D270" s="216"/>
      <c r="E270" s="217"/>
      <c r="F270" s="217"/>
      <c r="G270" s="217"/>
      <c r="H270" s="218"/>
      <c r="I270" s="218"/>
      <c r="J270" s="218"/>
      <c r="K270" s="218"/>
      <c r="L270" s="218"/>
      <c r="M270" s="218"/>
      <c r="N270" s="218"/>
      <c r="O270" s="218"/>
      <c r="P270" s="218"/>
      <c r="Q270" s="218"/>
      <c r="R270" s="218"/>
      <c r="S270" s="218"/>
      <c r="T270" s="218"/>
      <c r="U270" s="218"/>
      <c r="V270" s="28"/>
      <c r="W270" s="28"/>
    </row>
    <row r="271" spans="1:23" s="12" customFormat="1" ht="15" customHeight="1">
      <c r="A271" s="210"/>
      <c r="B271" s="186" t="s">
        <v>997</v>
      </c>
      <c r="D271" s="216"/>
      <c r="E271" s="217"/>
      <c r="F271" s="217"/>
      <c r="G271" s="217"/>
      <c r="H271" s="218"/>
      <c r="I271" s="218"/>
      <c r="J271" s="218"/>
      <c r="K271" s="218"/>
      <c r="L271" s="218"/>
      <c r="M271" s="218"/>
      <c r="N271" s="218"/>
      <c r="O271" s="218"/>
      <c r="P271" s="218"/>
      <c r="Q271" s="218"/>
      <c r="R271" s="218"/>
      <c r="S271" s="218"/>
      <c r="T271" s="218"/>
      <c r="U271" s="218"/>
      <c r="V271" s="28"/>
      <c r="W271" s="28"/>
    </row>
    <row r="272" spans="1:23" s="12" customFormat="1" ht="15" customHeight="1">
      <c r="A272" s="210"/>
      <c r="B272" s="186" t="s">
        <v>998</v>
      </c>
      <c r="D272" s="216"/>
      <c r="E272" s="217"/>
      <c r="F272" s="217"/>
      <c r="G272" s="217"/>
      <c r="H272" s="218"/>
      <c r="I272" s="218"/>
      <c r="J272" s="218"/>
      <c r="K272" s="218"/>
      <c r="L272" s="218"/>
      <c r="M272" s="218"/>
      <c r="N272" s="218"/>
      <c r="O272" s="218"/>
      <c r="P272" s="218"/>
      <c r="Q272" s="218"/>
      <c r="R272" s="218"/>
      <c r="S272" s="218"/>
      <c r="T272" s="218"/>
      <c r="U272" s="218"/>
      <c r="V272" s="28"/>
      <c r="W272" s="28"/>
    </row>
    <row r="273" spans="1:23" s="12" customFormat="1" ht="15" customHeight="1">
      <c r="A273" s="210"/>
      <c r="B273" s="186" t="s">
        <v>999</v>
      </c>
      <c r="D273" s="211"/>
      <c r="E273" s="219"/>
      <c r="F273" s="219"/>
      <c r="G273" s="219"/>
      <c r="H273" s="220"/>
      <c r="I273" s="220"/>
      <c r="J273" s="220"/>
      <c r="K273" s="220"/>
      <c r="L273" s="220"/>
      <c r="M273" s="220"/>
      <c r="N273" s="220"/>
      <c r="O273" s="220"/>
      <c r="P273" s="220"/>
      <c r="Q273" s="220"/>
      <c r="R273" s="220"/>
      <c r="S273" s="220"/>
      <c r="T273" s="220"/>
      <c r="U273" s="220"/>
      <c r="V273" s="28"/>
      <c r="W273" s="28"/>
    </row>
    <row r="274" spans="1:23" s="12" customFormat="1" ht="15" customHeight="1">
      <c r="A274" s="210"/>
      <c r="B274" s="186" t="s">
        <v>1000</v>
      </c>
      <c r="D274" s="211"/>
      <c r="E274" s="219"/>
      <c r="F274" s="219"/>
      <c r="G274" s="219"/>
      <c r="H274" s="220"/>
      <c r="I274" s="220"/>
      <c r="J274" s="220"/>
      <c r="K274" s="220"/>
      <c r="L274" s="220"/>
      <c r="M274" s="220"/>
      <c r="N274" s="220"/>
      <c r="O274" s="220"/>
      <c r="P274" s="220"/>
      <c r="Q274" s="220"/>
      <c r="R274" s="220"/>
      <c r="S274" s="220"/>
      <c r="T274" s="220"/>
      <c r="U274" s="220"/>
      <c r="V274" s="28"/>
      <c r="W274" s="28"/>
    </row>
    <row r="275" spans="1:23" s="12" customFormat="1" ht="15" customHeight="1">
      <c r="A275" s="210"/>
      <c r="B275" s="186" t="s">
        <v>310</v>
      </c>
      <c r="D275" s="211"/>
      <c r="E275" s="219"/>
      <c r="F275" s="219"/>
      <c r="G275" s="219"/>
      <c r="H275" s="220"/>
      <c r="I275" s="220"/>
      <c r="J275" s="220"/>
      <c r="K275" s="220"/>
      <c r="L275" s="220"/>
      <c r="M275" s="220"/>
      <c r="N275" s="220"/>
      <c r="O275" s="220"/>
      <c r="P275" s="220"/>
      <c r="Q275" s="220"/>
      <c r="R275" s="220"/>
      <c r="S275" s="220"/>
      <c r="T275" s="220"/>
      <c r="U275" s="220"/>
      <c r="V275" s="28"/>
      <c r="W275" s="28"/>
    </row>
    <row r="276" spans="1:23" s="12" customFormat="1" ht="15" customHeight="1">
      <c r="A276" s="186"/>
      <c r="B276" s="186" t="s">
        <v>311</v>
      </c>
      <c r="D276" s="211"/>
      <c r="E276" s="219"/>
      <c r="F276" s="219"/>
      <c r="G276" s="219"/>
      <c r="H276" s="220"/>
      <c r="I276" s="220"/>
      <c r="J276" s="220"/>
      <c r="K276" s="220"/>
      <c r="L276" s="220"/>
      <c r="M276" s="220"/>
      <c r="N276" s="220"/>
      <c r="O276" s="220"/>
      <c r="P276" s="220"/>
      <c r="Q276" s="220"/>
      <c r="R276" s="220"/>
      <c r="S276" s="220"/>
      <c r="T276" s="220"/>
      <c r="U276" s="220"/>
      <c r="V276" s="28"/>
      <c r="W276" s="28"/>
    </row>
    <row r="277" spans="1:23" s="12" customFormat="1" ht="15" customHeight="1">
      <c r="A277" s="210"/>
      <c r="B277" s="186" t="s">
        <v>309</v>
      </c>
      <c r="D277" s="211"/>
      <c r="E277" s="219"/>
      <c r="F277" s="219"/>
      <c r="G277" s="219"/>
      <c r="H277" s="220"/>
      <c r="I277" s="220"/>
      <c r="J277" s="220"/>
      <c r="K277" s="220"/>
      <c r="L277" s="220"/>
      <c r="M277" s="220"/>
      <c r="N277" s="220"/>
      <c r="O277" s="220"/>
      <c r="P277" s="220"/>
      <c r="Q277" s="220"/>
      <c r="R277" s="220"/>
      <c r="S277" s="220"/>
      <c r="T277" s="220"/>
      <c r="U277" s="220"/>
      <c r="V277" s="28"/>
      <c r="W277" s="28"/>
    </row>
    <row r="278" spans="1:23" s="12" customFormat="1" ht="15" customHeight="1">
      <c r="A278" s="210"/>
      <c r="B278" s="186" t="s">
        <v>1001</v>
      </c>
      <c r="D278" s="211"/>
      <c r="E278" s="219"/>
      <c r="F278" s="219"/>
      <c r="G278" s="219"/>
      <c r="H278" s="220"/>
      <c r="I278" s="220"/>
      <c r="J278" s="220"/>
      <c r="K278" s="220"/>
      <c r="L278" s="220"/>
      <c r="M278" s="220"/>
      <c r="N278" s="220"/>
      <c r="O278" s="220"/>
      <c r="P278" s="220"/>
      <c r="Q278" s="220"/>
      <c r="R278" s="220"/>
      <c r="S278" s="220"/>
      <c r="T278" s="220"/>
      <c r="U278" s="220"/>
      <c r="V278" s="28"/>
      <c r="W278" s="28"/>
    </row>
    <row r="279" spans="1:23" s="12" customFormat="1" ht="15" customHeight="1">
      <c r="A279" s="210"/>
      <c r="B279" s="186" t="s">
        <v>1002</v>
      </c>
      <c r="D279" s="211"/>
      <c r="E279" s="219"/>
      <c r="F279" s="219"/>
      <c r="G279" s="219"/>
      <c r="H279" s="220"/>
      <c r="I279" s="220"/>
      <c r="J279" s="220"/>
      <c r="K279" s="220"/>
      <c r="L279" s="220"/>
      <c r="M279" s="220"/>
      <c r="N279" s="220"/>
      <c r="O279" s="220"/>
      <c r="P279" s="220"/>
      <c r="Q279" s="220"/>
      <c r="R279" s="220"/>
      <c r="S279" s="220"/>
      <c r="T279" s="220"/>
      <c r="U279" s="220"/>
      <c r="V279" s="28"/>
      <c r="W279" s="28"/>
    </row>
    <row r="280" spans="1:23" s="12" customFormat="1" ht="15" customHeight="1">
      <c r="A280" s="210"/>
      <c r="B280" s="186" t="s">
        <v>1018</v>
      </c>
      <c r="D280" s="211"/>
      <c r="E280" s="219"/>
      <c r="F280" s="219"/>
      <c r="G280" s="219"/>
      <c r="H280" s="220"/>
      <c r="I280" s="220"/>
      <c r="J280" s="220"/>
      <c r="K280" s="220"/>
      <c r="L280" s="220"/>
      <c r="M280" s="220"/>
      <c r="N280" s="220"/>
      <c r="O280" s="220"/>
      <c r="P280" s="220"/>
      <c r="Q280" s="220"/>
      <c r="R280" s="220"/>
      <c r="S280" s="220"/>
      <c r="T280" s="220"/>
      <c r="U280" s="220"/>
      <c r="V280" s="28"/>
      <c r="W280" s="28"/>
    </row>
    <row r="281" spans="1:23" s="12" customFormat="1" ht="15" customHeight="1">
      <c r="A281" s="210"/>
      <c r="B281" s="186" t="s">
        <v>1003</v>
      </c>
      <c r="D281" s="211"/>
      <c r="E281" s="219"/>
      <c r="F281" s="219"/>
      <c r="G281" s="219"/>
      <c r="H281" s="220"/>
      <c r="I281" s="220"/>
      <c r="J281" s="220"/>
      <c r="K281" s="220"/>
      <c r="L281" s="220"/>
      <c r="M281" s="220"/>
      <c r="N281" s="220"/>
      <c r="O281" s="220"/>
      <c r="P281" s="220"/>
      <c r="Q281" s="220"/>
      <c r="R281" s="220"/>
      <c r="S281" s="220"/>
      <c r="T281" s="220"/>
      <c r="U281" s="220"/>
      <c r="V281" s="28"/>
      <c r="W281" s="28"/>
    </row>
    <row r="282" spans="1:23" s="12" customFormat="1" ht="15" customHeight="1">
      <c r="A282" s="210"/>
      <c r="B282" s="186" t="s">
        <v>772</v>
      </c>
      <c r="D282" s="211"/>
      <c r="E282" s="219"/>
      <c r="F282" s="219"/>
      <c r="G282" s="219"/>
      <c r="H282" s="220"/>
      <c r="I282" s="220"/>
      <c r="J282" s="220"/>
      <c r="K282" s="220"/>
      <c r="L282" s="220"/>
      <c r="M282" s="220"/>
      <c r="N282" s="220"/>
      <c r="O282" s="220"/>
      <c r="P282" s="220"/>
      <c r="Q282" s="220"/>
      <c r="R282" s="220"/>
      <c r="S282" s="220"/>
      <c r="T282" s="220"/>
      <c r="U282" s="220"/>
      <c r="V282" s="28"/>
      <c r="W282" s="28"/>
    </row>
    <row r="283" spans="1:23" s="12" customFormat="1" ht="15" customHeight="1">
      <c r="A283" s="210"/>
      <c r="B283" s="186" t="s">
        <v>773</v>
      </c>
      <c r="D283" s="211"/>
      <c r="E283" s="219"/>
      <c r="F283" s="219"/>
      <c r="G283" s="219"/>
      <c r="H283" s="220"/>
      <c r="I283" s="220"/>
      <c r="J283" s="220"/>
      <c r="K283" s="220"/>
      <c r="L283" s="220"/>
      <c r="M283" s="220"/>
      <c r="N283" s="220"/>
      <c r="O283" s="220"/>
      <c r="P283" s="220"/>
      <c r="Q283" s="220"/>
      <c r="R283" s="220"/>
      <c r="S283" s="220"/>
      <c r="T283" s="220"/>
      <c r="U283" s="220"/>
      <c r="V283" s="28"/>
      <c r="W283" s="28"/>
    </row>
    <row r="284" spans="1:23" s="12" customFormat="1" ht="15" customHeight="1">
      <c r="A284" s="210"/>
      <c r="B284" s="186" t="s">
        <v>774</v>
      </c>
      <c r="D284" s="211"/>
      <c r="E284" s="219"/>
      <c r="F284" s="219"/>
      <c r="G284" s="219"/>
      <c r="H284" s="220"/>
      <c r="I284" s="220"/>
      <c r="J284" s="220"/>
      <c r="K284" s="220"/>
      <c r="L284" s="220"/>
      <c r="M284" s="220"/>
      <c r="N284" s="220"/>
      <c r="O284" s="220"/>
      <c r="P284" s="220"/>
      <c r="Q284" s="220"/>
      <c r="R284" s="220"/>
      <c r="S284" s="220"/>
      <c r="T284" s="220"/>
      <c r="U284" s="220"/>
      <c r="V284" s="28"/>
      <c r="W284" s="28"/>
    </row>
    <row r="285" spans="1:23" s="12" customFormat="1" ht="15" customHeight="1">
      <c r="A285" s="210"/>
      <c r="B285" s="186" t="s">
        <v>1042</v>
      </c>
      <c r="D285" s="211"/>
      <c r="E285" s="219"/>
      <c r="F285" s="219"/>
      <c r="G285" s="219"/>
      <c r="H285" s="220"/>
      <c r="I285" s="220"/>
      <c r="J285" s="220"/>
      <c r="K285" s="220"/>
      <c r="L285" s="220"/>
      <c r="M285" s="220"/>
      <c r="N285" s="220"/>
      <c r="O285" s="220"/>
      <c r="P285" s="220"/>
      <c r="Q285" s="220"/>
      <c r="R285" s="220"/>
      <c r="S285" s="220"/>
      <c r="T285" s="220"/>
      <c r="U285" s="220"/>
      <c r="V285" s="28"/>
      <c r="W285" s="28"/>
    </row>
    <row r="286" spans="1:23" s="12" customFormat="1" ht="15" customHeight="1">
      <c r="A286" s="210"/>
      <c r="B286" s="186" t="s">
        <v>775</v>
      </c>
      <c r="D286" s="211"/>
      <c r="E286" s="219"/>
      <c r="F286" s="219"/>
      <c r="G286" s="219"/>
      <c r="H286" s="220"/>
      <c r="I286" s="220"/>
      <c r="J286" s="220"/>
      <c r="K286" s="220"/>
      <c r="L286" s="220"/>
      <c r="M286" s="220"/>
      <c r="N286" s="220"/>
      <c r="O286" s="220"/>
      <c r="P286" s="220"/>
      <c r="Q286" s="220"/>
      <c r="R286" s="220"/>
      <c r="S286" s="220"/>
      <c r="T286" s="220"/>
      <c r="U286" s="220"/>
      <c r="V286" s="28"/>
      <c r="W286" s="28"/>
    </row>
    <row r="287" spans="1:23" s="12" customFormat="1" ht="15" customHeight="1">
      <c r="A287" s="210"/>
      <c r="B287" s="186" t="s">
        <v>776</v>
      </c>
      <c r="D287" s="211"/>
      <c r="E287" s="219"/>
      <c r="F287" s="219"/>
      <c r="G287" s="219"/>
      <c r="H287" s="220"/>
      <c r="I287" s="220"/>
      <c r="J287" s="220"/>
      <c r="K287" s="220"/>
      <c r="L287" s="220"/>
      <c r="M287" s="220"/>
      <c r="N287" s="220"/>
      <c r="O287" s="220"/>
      <c r="P287" s="220"/>
      <c r="Q287" s="220"/>
      <c r="R287" s="220"/>
      <c r="S287" s="220"/>
      <c r="T287" s="220"/>
      <c r="U287" s="220"/>
      <c r="V287" s="28"/>
      <c r="W287" s="28"/>
    </row>
    <row r="288" spans="1:23" s="12" customFormat="1" ht="15" customHeight="1">
      <c r="A288" s="210"/>
      <c r="B288" s="186" t="s">
        <v>777</v>
      </c>
      <c r="D288" s="211"/>
      <c r="E288" s="219"/>
      <c r="F288" s="219"/>
      <c r="G288" s="219"/>
      <c r="H288" s="220"/>
      <c r="I288" s="220"/>
      <c r="J288" s="220"/>
      <c r="K288" s="220"/>
      <c r="L288" s="220"/>
      <c r="M288" s="220"/>
      <c r="N288" s="220"/>
      <c r="O288" s="220"/>
      <c r="P288" s="220"/>
      <c r="Q288" s="220"/>
      <c r="R288" s="220"/>
      <c r="S288" s="220"/>
      <c r="T288" s="220"/>
      <c r="U288" s="220"/>
      <c r="V288" s="28"/>
      <c r="W288" s="28"/>
    </row>
    <row r="289" spans="1:24" s="12" customFormat="1" ht="15" customHeight="1">
      <c r="A289" s="210"/>
      <c r="B289" s="186" t="s">
        <v>778</v>
      </c>
      <c r="D289" s="211"/>
      <c r="E289" s="219"/>
      <c r="F289" s="219"/>
      <c r="G289" s="219"/>
      <c r="H289" s="220"/>
      <c r="I289" s="220"/>
      <c r="J289" s="220"/>
      <c r="K289" s="220"/>
      <c r="L289" s="220"/>
      <c r="M289" s="220"/>
      <c r="N289" s="220"/>
      <c r="O289" s="220"/>
      <c r="P289" s="220"/>
      <c r="Q289" s="220"/>
      <c r="R289" s="220"/>
      <c r="S289" s="220"/>
      <c r="T289" s="220"/>
      <c r="U289" s="220"/>
      <c r="V289" s="28"/>
      <c r="W289" s="28"/>
    </row>
    <row r="290" spans="1:24" s="12" customFormat="1" ht="15" customHeight="1">
      <c r="A290" s="210"/>
      <c r="B290" s="186" t="s">
        <v>1037</v>
      </c>
      <c r="D290" s="211"/>
      <c r="E290" s="219"/>
      <c r="F290" s="219"/>
      <c r="G290" s="219"/>
      <c r="H290" s="220"/>
      <c r="I290" s="220"/>
      <c r="J290" s="220"/>
      <c r="K290" s="220"/>
      <c r="L290" s="220"/>
      <c r="M290" s="220"/>
      <c r="N290" s="220"/>
      <c r="O290" s="220"/>
      <c r="P290" s="220"/>
      <c r="Q290" s="220"/>
      <c r="R290" s="220"/>
      <c r="S290" s="220"/>
      <c r="T290" s="220"/>
      <c r="U290" s="220"/>
      <c r="V290" s="28"/>
      <c r="W290" s="28"/>
    </row>
    <row r="291" spans="1:24" s="12" customFormat="1" ht="15" customHeight="1">
      <c r="A291" s="210"/>
      <c r="B291" s="186" t="s">
        <v>1036</v>
      </c>
      <c r="D291" s="211"/>
      <c r="E291" s="219"/>
      <c r="F291" s="219"/>
      <c r="G291" s="219"/>
      <c r="H291" s="220"/>
      <c r="I291" s="220"/>
      <c r="J291" s="220"/>
      <c r="K291" s="220"/>
      <c r="L291" s="220"/>
      <c r="M291" s="220"/>
      <c r="N291" s="220"/>
      <c r="O291" s="220"/>
      <c r="P291" s="220"/>
      <c r="Q291" s="220"/>
      <c r="R291" s="220"/>
      <c r="S291" s="220"/>
      <c r="T291" s="220"/>
      <c r="U291" s="220"/>
      <c r="V291" s="28"/>
      <c r="W291" s="28"/>
    </row>
    <row r="292" spans="1:24" s="12" customFormat="1" ht="15" customHeight="1">
      <c r="A292" s="210"/>
      <c r="B292" s="186" t="s">
        <v>1035</v>
      </c>
      <c r="D292" s="211"/>
      <c r="E292" s="219"/>
      <c r="F292" s="219"/>
      <c r="G292" s="219"/>
      <c r="H292" s="220"/>
      <c r="I292" s="220"/>
      <c r="J292" s="220"/>
      <c r="K292" s="220"/>
      <c r="L292" s="220"/>
      <c r="M292" s="220"/>
      <c r="N292" s="220"/>
      <c r="O292" s="220"/>
      <c r="P292" s="220"/>
      <c r="Q292" s="220"/>
      <c r="R292" s="220"/>
      <c r="S292" s="220"/>
      <c r="T292" s="220"/>
      <c r="U292" s="220"/>
      <c r="V292" s="28"/>
      <c r="W292" s="28"/>
    </row>
    <row r="293" spans="1:24" s="12" customFormat="1" ht="15" customHeight="1">
      <c r="A293" s="210"/>
      <c r="B293" s="186" t="s">
        <v>779</v>
      </c>
      <c r="D293" s="211"/>
      <c r="E293" s="219"/>
      <c r="F293" s="219"/>
      <c r="G293" s="219"/>
      <c r="H293" s="220"/>
      <c r="I293" s="220"/>
      <c r="J293" s="220"/>
      <c r="K293" s="220"/>
      <c r="L293" s="220"/>
      <c r="M293" s="220"/>
      <c r="N293" s="220"/>
      <c r="O293" s="220"/>
      <c r="P293" s="220"/>
      <c r="Q293" s="220"/>
      <c r="R293" s="220"/>
      <c r="S293" s="220"/>
      <c r="T293" s="220"/>
      <c r="U293" s="220"/>
      <c r="V293" s="28"/>
      <c r="W293" s="28"/>
    </row>
    <row r="294" spans="1:24" s="12" customFormat="1" ht="15" customHeight="1">
      <c r="A294" s="210"/>
      <c r="B294" s="186" t="s">
        <v>780</v>
      </c>
      <c r="D294" s="211"/>
      <c r="E294" s="219"/>
      <c r="F294" s="219"/>
      <c r="G294" s="219"/>
      <c r="H294" s="220"/>
      <c r="I294" s="220"/>
      <c r="J294" s="220"/>
      <c r="K294" s="220"/>
      <c r="L294" s="220"/>
      <c r="M294" s="220"/>
      <c r="N294" s="220"/>
      <c r="O294" s="220"/>
      <c r="P294" s="220"/>
      <c r="Q294" s="220"/>
      <c r="R294" s="220"/>
      <c r="S294" s="220"/>
      <c r="T294" s="220"/>
      <c r="U294" s="220"/>
      <c r="V294" s="28"/>
      <c r="W294" s="28"/>
    </row>
    <row r="295" spans="1:24" s="12" customFormat="1" ht="15" customHeight="1">
      <c r="A295" s="210"/>
      <c r="B295" s="186" t="s">
        <v>787</v>
      </c>
      <c r="D295" s="211"/>
      <c r="E295" s="219"/>
      <c r="F295" s="219"/>
      <c r="G295" s="219"/>
      <c r="H295" s="220"/>
      <c r="I295" s="220"/>
      <c r="J295" s="220"/>
      <c r="K295" s="220"/>
      <c r="L295" s="220"/>
      <c r="M295" s="220"/>
      <c r="N295" s="220"/>
      <c r="O295" s="220"/>
      <c r="P295" s="220"/>
      <c r="Q295" s="220"/>
      <c r="R295" s="220"/>
      <c r="S295" s="220"/>
      <c r="T295" s="220"/>
      <c r="U295" s="220"/>
      <c r="V295" s="28"/>
      <c r="W295" s="28"/>
    </row>
    <row r="296" spans="1:24" s="12" customFormat="1" ht="15" customHeight="1">
      <c r="A296" s="210"/>
      <c r="D296" s="211"/>
      <c r="E296" s="219"/>
      <c r="F296" s="219"/>
      <c r="G296" s="219"/>
      <c r="H296" s="220"/>
      <c r="I296" s="220"/>
      <c r="J296" s="220"/>
      <c r="K296" s="220"/>
      <c r="L296" s="220"/>
      <c r="M296" s="220"/>
      <c r="N296" s="220"/>
      <c r="O296" s="220"/>
      <c r="P296" s="220"/>
      <c r="Q296" s="220"/>
      <c r="R296" s="220"/>
      <c r="S296" s="220"/>
      <c r="T296" s="220"/>
      <c r="U296" s="220"/>
      <c r="V296" s="28"/>
      <c r="W296" s="28"/>
    </row>
    <row r="297" spans="1:24" s="12" customFormat="1" ht="15" customHeight="1">
      <c r="A297" s="210"/>
      <c r="D297" s="211"/>
      <c r="E297" s="219"/>
      <c r="F297" s="219"/>
      <c r="G297" s="219"/>
      <c r="H297" s="220"/>
      <c r="I297" s="220"/>
      <c r="J297" s="220"/>
      <c r="K297" s="220"/>
      <c r="L297" s="220"/>
      <c r="M297" s="220"/>
      <c r="N297" s="220"/>
      <c r="O297" s="220"/>
      <c r="P297" s="220"/>
      <c r="Q297" s="220"/>
      <c r="R297" s="220"/>
      <c r="S297" s="220"/>
      <c r="T297" s="220"/>
      <c r="U297" s="220"/>
      <c r="V297" s="28"/>
      <c r="W297" s="28"/>
    </row>
    <row r="298" spans="1:24" s="12" customFormat="1" ht="15" customHeight="1">
      <c r="A298" s="210"/>
      <c r="D298" s="211"/>
      <c r="E298" s="219"/>
      <c r="F298" s="219"/>
      <c r="G298" s="219"/>
      <c r="H298" s="220"/>
      <c r="I298" s="220"/>
      <c r="J298" s="220"/>
      <c r="K298" s="220"/>
      <c r="L298" s="220"/>
      <c r="M298" s="220"/>
      <c r="N298" s="220"/>
      <c r="O298" s="220"/>
      <c r="P298" s="220"/>
      <c r="Q298" s="220"/>
      <c r="R298" s="220"/>
      <c r="S298" s="220"/>
      <c r="T298" s="220"/>
      <c r="U298" s="220"/>
      <c r="V298" s="28"/>
      <c r="W298" s="28"/>
    </row>
    <row r="299" spans="1:24" s="12" customFormat="1" ht="15" customHeight="1">
      <c r="A299" s="210"/>
      <c r="B299" s="186"/>
      <c r="D299" s="211"/>
      <c r="E299" s="219"/>
      <c r="F299" s="219"/>
      <c r="G299" s="219"/>
      <c r="H299" s="220"/>
      <c r="I299" s="220"/>
      <c r="J299" s="220"/>
      <c r="K299" s="220"/>
      <c r="L299" s="220"/>
      <c r="M299" s="220"/>
      <c r="N299" s="220"/>
      <c r="O299" s="220"/>
      <c r="P299" s="220"/>
      <c r="Q299" s="220"/>
      <c r="R299" s="220"/>
      <c r="S299" s="220"/>
      <c r="T299" s="220"/>
      <c r="U299" s="220"/>
      <c r="V299" s="28"/>
      <c r="W299" s="28"/>
    </row>
    <row r="300" spans="1:24" s="24" customFormat="1" ht="15" customHeight="1">
      <c r="A300" s="35">
        <v>1</v>
      </c>
      <c r="B300" s="598" t="str">
        <f>OP!$D$107</f>
        <v>本建議書僅供參考，詳細商品內容及其變更，應以投保當時保單條款內容及本公司核保、保全作業規定為準</v>
      </c>
      <c r="C300" s="598"/>
      <c r="D300" s="598"/>
      <c r="E300" s="598"/>
      <c r="F300" s="598"/>
      <c r="G300" s="598"/>
      <c r="H300" s="598"/>
      <c r="I300" s="598"/>
      <c r="J300" s="598"/>
      <c r="K300" s="598"/>
      <c r="L300" s="598"/>
      <c r="M300" s="598"/>
      <c r="N300" s="598"/>
      <c r="O300" s="598"/>
      <c r="P300" s="598"/>
      <c r="Q300" s="598"/>
      <c r="R300" s="598"/>
      <c r="S300" s="598"/>
      <c r="T300" s="598"/>
      <c r="U300" s="598"/>
      <c r="V300" s="598"/>
      <c r="W300" s="598"/>
      <c r="X300" s="23"/>
    </row>
    <row r="301" spans="1:24" s="24" customFormat="1" ht="15" customHeight="1">
      <c r="B301" s="375"/>
      <c r="C301" s="376"/>
      <c r="F301" s="559" t="str">
        <f>OP!$D$106</f>
        <v xml:space="preserve"> ※本契約條款樣張須於訂立契約前提供要保人至少三日審閱期間</v>
      </c>
      <c r="G301" s="560"/>
      <c r="H301" s="560"/>
      <c r="I301" s="560"/>
      <c r="J301" s="560"/>
      <c r="K301" s="560"/>
      <c r="L301" s="560"/>
      <c r="M301" s="560"/>
      <c r="N301" s="560"/>
      <c r="O301" s="560"/>
      <c r="P301" s="560"/>
      <c r="Q301" s="560"/>
      <c r="R301" s="485"/>
      <c r="S301" s="227"/>
      <c r="T301" s="160"/>
      <c r="U301" s="160"/>
      <c r="V301" s="160"/>
      <c r="W301" s="161" t="str">
        <f ca="1">OP!$D$105</f>
        <v>V1.2-1150101 試算日：1150101</v>
      </c>
      <c r="X301" s="23"/>
    </row>
    <row r="302" spans="1:24" s="12" customFormat="1" ht="15" customHeight="1">
      <c r="A302" s="210"/>
      <c r="B302" s="186"/>
      <c r="D302" s="211"/>
      <c r="E302" s="219"/>
      <c r="F302" s="219"/>
      <c r="G302" s="219"/>
      <c r="H302" s="220"/>
      <c r="I302" s="220"/>
      <c r="J302" s="220"/>
      <c r="K302" s="220"/>
      <c r="L302" s="220"/>
      <c r="M302" s="220"/>
      <c r="N302" s="220"/>
      <c r="O302" s="220"/>
      <c r="P302" s="220"/>
      <c r="Q302" s="220"/>
      <c r="R302" s="220"/>
      <c r="S302" s="220"/>
      <c r="T302" s="220"/>
      <c r="U302" s="220"/>
      <c r="V302" s="28"/>
      <c r="W302" s="373" t="str">
        <f>IF(OP!$C$105="停售","本商品已停售","")</f>
        <v/>
      </c>
    </row>
    <row r="303" spans="1:24" s="12" customFormat="1" ht="15" customHeight="1">
      <c r="A303" s="210"/>
      <c r="B303" s="186"/>
      <c r="D303" s="211"/>
      <c r="E303" s="219"/>
      <c r="F303" s="219"/>
      <c r="G303" s="219"/>
      <c r="H303" s="220"/>
      <c r="I303" s="220"/>
      <c r="J303" s="220"/>
      <c r="K303" s="220"/>
      <c r="L303" s="220"/>
      <c r="M303" s="220"/>
      <c r="N303" s="220"/>
      <c r="O303" s="220"/>
      <c r="P303" s="220"/>
      <c r="Q303" s="220"/>
      <c r="R303" s="220"/>
      <c r="S303" s="220"/>
      <c r="T303" s="220"/>
      <c r="U303" s="220"/>
      <c r="V303" s="28"/>
      <c r="W303" s="28"/>
    </row>
    <row r="304" spans="1:24" s="12" customFormat="1" ht="15" customHeight="1">
      <c r="A304" s="210"/>
      <c r="B304" s="474" t="s">
        <v>1004</v>
      </c>
      <c r="D304" s="211"/>
      <c r="E304" s="219"/>
      <c r="F304" s="219"/>
      <c r="G304" s="219"/>
      <c r="H304" s="220"/>
      <c r="I304" s="220"/>
      <c r="J304" s="220"/>
      <c r="K304" s="220"/>
      <c r="L304" s="220"/>
      <c r="M304" s="220"/>
      <c r="N304" s="220"/>
      <c r="O304" s="220"/>
      <c r="P304" s="220"/>
      <c r="Q304" s="220"/>
      <c r="R304" s="220"/>
      <c r="S304" s="220"/>
      <c r="T304" s="220"/>
      <c r="U304" s="220"/>
      <c r="V304" s="28"/>
      <c r="W304" s="28"/>
    </row>
    <row r="305" spans="1:23" s="12" customFormat="1" ht="15" customHeight="1">
      <c r="A305" s="210"/>
      <c r="B305" s="474" t="s">
        <v>1005</v>
      </c>
      <c r="D305" s="211"/>
      <c r="E305" s="221"/>
      <c r="F305" s="221"/>
      <c r="G305" s="221"/>
      <c r="H305" s="222"/>
      <c r="I305" s="222"/>
      <c r="J305" s="222"/>
      <c r="K305" s="222"/>
      <c r="L305" s="222"/>
      <c r="M305" s="222"/>
      <c r="N305" s="222"/>
      <c r="O305" s="222"/>
      <c r="P305" s="222"/>
      <c r="Q305" s="222"/>
      <c r="R305" s="222"/>
      <c r="S305" s="222"/>
      <c r="T305" s="222"/>
      <c r="U305" s="222"/>
      <c r="V305" s="148"/>
      <c r="W305" s="148"/>
    </row>
    <row r="306" spans="1:23" s="12" customFormat="1" ht="15" customHeight="1">
      <c r="A306" s="210"/>
      <c r="B306" s="474" t="str">
        <f>"  計算分期定期保險金之指定保險金如低於"&amp;IF(PY!$D$29="新臺幣","新臺幣(下同)","")&amp;PY!$B$43&amp;"本公司將"</f>
        <v xml:space="preserve">  計算分期定期保險金之指定保險金如低於新臺幣(下同)二十萬元或每月給付之分期定期保險金低於二萬元者，本公司將</v>
      </c>
      <c r="D306" s="211"/>
      <c r="E306" s="221"/>
      <c r="F306" s="221"/>
      <c r="G306" s="221"/>
      <c r="H306" s="222"/>
      <c r="I306" s="222"/>
      <c r="J306" s="222"/>
      <c r="K306" s="222"/>
      <c r="L306" s="222"/>
      <c r="M306" s="222"/>
      <c r="N306" s="222"/>
      <c r="O306" s="222"/>
      <c r="P306" s="222"/>
      <c r="Q306" s="222"/>
      <c r="R306" s="222"/>
      <c r="S306" s="222"/>
      <c r="T306" s="222"/>
      <c r="U306" s="222"/>
      <c r="V306" s="148"/>
      <c r="W306" s="148"/>
    </row>
    <row r="307" spans="1:23" s="12" customFormat="1" ht="15" customHeight="1">
      <c r="A307" s="210"/>
      <c r="B307" s="474" t="s">
        <v>1006</v>
      </c>
      <c r="D307" s="211"/>
      <c r="E307" s="221"/>
      <c r="F307" s="221"/>
      <c r="G307" s="221"/>
      <c r="H307" s="222"/>
      <c r="I307" s="222"/>
      <c r="J307" s="222"/>
      <c r="K307" s="222"/>
      <c r="L307" s="222"/>
      <c r="M307" s="222"/>
      <c r="N307" s="222"/>
      <c r="O307" s="222"/>
      <c r="P307" s="222"/>
      <c r="Q307" s="222"/>
      <c r="R307" s="222"/>
      <c r="S307" s="222"/>
      <c r="T307" s="222"/>
      <c r="U307" s="222"/>
      <c r="V307" s="148"/>
      <c r="W307" s="148"/>
    </row>
    <row r="308" spans="1:23" s="12" customFormat="1" ht="15" customHeight="1">
      <c r="A308" s="210"/>
      <c r="B308" s="474" t="s">
        <v>1038</v>
      </c>
      <c r="D308" s="211"/>
      <c r="E308" s="221"/>
      <c r="F308" s="221"/>
      <c r="G308" s="221"/>
      <c r="H308" s="222"/>
      <c r="I308" s="222"/>
      <c r="J308" s="222"/>
      <c r="K308" s="222"/>
      <c r="L308" s="222"/>
      <c r="M308" s="222"/>
      <c r="N308" s="222"/>
      <c r="O308" s="222"/>
      <c r="P308" s="222"/>
      <c r="Q308" s="222"/>
      <c r="R308" s="222"/>
      <c r="S308" s="222"/>
      <c r="T308" s="222"/>
      <c r="U308" s="222"/>
      <c r="V308" s="148"/>
      <c r="W308" s="148"/>
    </row>
    <row r="309" spans="1:23" s="12" customFormat="1" ht="15" customHeight="1">
      <c r="A309" s="210"/>
      <c r="B309" s="474" t="s">
        <v>1007</v>
      </c>
      <c r="D309" s="211"/>
      <c r="E309" s="221"/>
      <c r="F309" s="221"/>
      <c r="G309" s="221"/>
      <c r="H309" s="222"/>
      <c r="I309" s="222"/>
      <c r="J309" s="222"/>
      <c r="K309" s="222"/>
      <c r="L309" s="222"/>
      <c r="M309" s="222"/>
      <c r="N309" s="222"/>
      <c r="O309" s="222"/>
      <c r="P309" s="222"/>
      <c r="Q309" s="222"/>
      <c r="R309" s="222"/>
      <c r="S309" s="222"/>
      <c r="T309" s="222"/>
      <c r="U309" s="222"/>
      <c r="V309" s="148"/>
      <c r="W309" s="148"/>
    </row>
    <row r="310" spans="1:23" s="12" customFormat="1" ht="15" customHeight="1">
      <c r="A310" s="210"/>
      <c r="B310" s="474"/>
      <c r="D310" s="211"/>
      <c r="E310" s="221"/>
      <c r="F310" s="221"/>
      <c r="G310" s="221"/>
      <c r="H310" s="222"/>
      <c r="I310" s="222"/>
      <c r="J310" s="222"/>
      <c r="K310" s="222"/>
      <c r="L310" s="222"/>
      <c r="M310" s="222"/>
      <c r="N310" s="222"/>
      <c r="O310" s="222"/>
      <c r="P310" s="222"/>
      <c r="Q310" s="222"/>
      <c r="R310" s="222"/>
      <c r="S310" s="222"/>
      <c r="T310" s="222"/>
      <c r="U310" s="222"/>
      <c r="V310" s="148"/>
      <c r="W310" s="148"/>
    </row>
    <row r="311" spans="1:23" s="12" customFormat="1" ht="15" customHeight="1">
      <c r="A311" s="210"/>
      <c r="B311" s="186"/>
      <c r="D311" s="211"/>
      <c r="E311" s="221"/>
      <c r="F311" s="221"/>
      <c r="G311" s="221"/>
      <c r="H311" s="222"/>
      <c r="I311" s="222"/>
      <c r="J311" s="222"/>
      <c r="K311" s="222"/>
      <c r="L311" s="222"/>
      <c r="M311" s="222"/>
      <c r="N311" s="222"/>
      <c r="O311" s="222"/>
      <c r="P311" s="222"/>
      <c r="Q311" s="222"/>
      <c r="R311" s="222"/>
      <c r="S311" s="222"/>
      <c r="T311" s="222"/>
      <c r="U311" s="222"/>
      <c r="V311" s="148"/>
      <c r="W311" s="148"/>
    </row>
    <row r="312" spans="1:23" s="12" customFormat="1" ht="15" customHeight="1">
      <c r="A312" s="210"/>
      <c r="B312" s="186"/>
      <c r="D312" s="211"/>
      <c r="E312" s="221"/>
      <c r="F312" s="221"/>
      <c r="G312" s="221"/>
      <c r="H312" s="222"/>
      <c r="I312" s="222"/>
      <c r="J312" s="222"/>
      <c r="K312" s="222"/>
      <c r="L312" s="222"/>
      <c r="M312" s="222"/>
      <c r="N312" s="222"/>
      <c r="O312" s="222"/>
      <c r="P312" s="222"/>
      <c r="Q312" s="222"/>
      <c r="R312" s="222"/>
      <c r="S312" s="222"/>
      <c r="T312" s="222"/>
      <c r="U312" s="222"/>
      <c r="V312" s="148"/>
      <c r="W312" s="148"/>
    </row>
    <row r="313" spans="1:23" s="12" customFormat="1" ht="15" customHeight="1">
      <c r="A313" s="210"/>
      <c r="B313" s="186"/>
      <c r="D313" s="211"/>
      <c r="E313" s="221"/>
      <c r="F313" s="221"/>
      <c r="G313" s="221"/>
      <c r="H313" s="222"/>
      <c r="I313" s="222"/>
      <c r="J313" s="222"/>
      <c r="K313" s="222"/>
      <c r="L313" s="222"/>
      <c r="M313" s="222"/>
      <c r="N313" s="222"/>
      <c r="O313" s="222"/>
      <c r="P313" s="222"/>
      <c r="Q313" s="222"/>
      <c r="R313" s="222"/>
      <c r="S313" s="222"/>
      <c r="T313" s="222"/>
      <c r="U313" s="222"/>
      <c r="V313" s="148"/>
      <c r="W313" s="148"/>
    </row>
    <row r="314" spans="1:23" s="12" customFormat="1" ht="15" customHeight="1">
      <c r="A314" s="210"/>
      <c r="B314" s="134" t="s">
        <v>626</v>
      </c>
      <c r="C314" s="133"/>
      <c r="D314" s="105"/>
      <c r="E314" s="350"/>
      <c r="F314" s="350"/>
      <c r="G314" s="350"/>
      <c r="H314" s="350"/>
      <c r="I314" s="350"/>
      <c r="J314" s="350"/>
      <c r="K314" s="350"/>
      <c r="L314" s="350"/>
      <c r="M314" s="350"/>
      <c r="N314" s="350"/>
      <c r="O314" s="350"/>
      <c r="P314" s="350"/>
      <c r="Q314" s="350"/>
      <c r="R314" s="350"/>
      <c r="S314" s="350"/>
      <c r="T314" s="350"/>
      <c r="U314" s="350"/>
      <c r="V314" s="189"/>
    </row>
    <row r="315" spans="1:23" s="12" customFormat="1" ht="15" customHeight="1">
      <c r="A315" s="210"/>
      <c r="B315" s="104"/>
      <c r="C315" s="138" t="s">
        <v>815</v>
      </c>
      <c r="D315" s="134"/>
      <c r="E315" s="187"/>
      <c r="F315" s="187"/>
      <c r="G315" s="187"/>
      <c r="H315" s="187"/>
      <c r="I315" s="187"/>
      <c r="J315" s="187"/>
      <c r="K315" s="187"/>
      <c r="L315" s="187"/>
      <c r="M315" s="187"/>
      <c r="N315" s="187"/>
      <c r="O315" s="187"/>
      <c r="P315" s="187"/>
      <c r="Q315" s="187"/>
      <c r="R315" s="187"/>
      <c r="S315" s="187"/>
      <c r="T315" s="187"/>
      <c r="U315" s="187"/>
      <c r="V315" s="191"/>
      <c r="W315" s="105"/>
    </row>
    <row r="316" spans="1:23" s="12" customFormat="1" ht="15" customHeight="1">
      <c r="A316" s="210"/>
      <c r="B316" s="104"/>
      <c r="C316" s="211"/>
      <c r="D316" s="211"/>
      <c r="E316" s="351"/>
      <c r="F316" s="351"/>
      <c r="G316" s="351"/>
      <c r="H316" s="351"/>
      <c r="I316" s="351"/>
      <c r="J316" s="351"/>
      <c r="K316" s="351"/>
      <c r="L316" s="351"/>
      <c r="M316" s="351"/>
      <c r="N316" s="351"/>
      <c r="O316" s="351"/>
      <c r="P316" s="351"/>
      <c r="Q316" s="351"/>
      <c r="R316" s="351"/>
      <c r="S316" s="351"/>
      <c r="T316" s="351"/>
      <c r="V316" s="213"/>
      <c r="W316" s="374" t="str">
        <f>"繳費期間： "&amp;OP!$E$24</f>
        <v>繳費期間： 繳費20年</v>
      </c>
    </row>
    <row r="317" spans="1:23" s="12" customFormat="1" ht="15" customHeight="1">
      <c r="A317" s="210"/>
      <c r="B317" s="105"/>
      <c r="C317" s="614" t="str">
        <f>揭露!C6</f>
        <v>保單年度</v>
      </c>
      <c r="D317" s="615"/>
      <c r="E317" s="557" t="str">
        <f>揭露!D6</f>
        <v>5歲男性</v>
      </c>
      <c r="F317" s="558"/>
      <c r="G317" s="558"/>
      <c r="H317" s="557" t="str">
        <f>揭露!E6</f>
        <v>35歲男性</v>
      </c>
      <c r="I317" s="558"/>
      <c r="J317" s="558"/>
      <c r="K317" s="557" t="str">
        <f>揭露!F6</f>
        <v>50歲男性</v>
      </c>
      <c r="L317" s="558"/>
      <c r="M317" s="558"/>
      <c r="N317" s="557" t="str">
        <f>揭露!G6</f>
        <v>5歲女性</v>
      </c>
      <c r="O317" s="558"/>
      <c r="P317" s="558"/>
      <c r="Q317" s="557" t="str">
        <f>揭露!H6</f>
        <v>35歲女性</v>
      </c>
      <c r="R317" s="558"/>
      <c r="S317" s="558"/>
      <c r="T317" s="557" t="str">
        <f>揭露!I6</f>
        <v>50歲女性</v>
      </c>
      <c r="U317" s="558"/>
      <c r="V317" s="558"/>
      <c r="W317" s="28"/>
    </row>
    <row r="318" spans="1:23" s="12" customFormat="1" ht="15" customHeight="1">
      <c r="A318" s="210"/>
      <c r="B318" s="105"/>
      <c r="C318" s="614">
        <f>揭露!C7</f>
        <v>1</v>
      </c>
      <c r="D318" s="615"/>
      <c r="E318" s="557" t="str">
        <f>揭露!D7</f>
        <v>0.00%</v>
      </c>
      <c r="F318" s="558"/>
      <c r="G318" s="558"/>
      <c r="H318" s="557" t="str">
        <f>揭露!E7</f>
        <v>0.00%</v>
      </c>
      <c r="I318" s="558"/>
      <c r="J318" s="558"/>
      <c r="K318" s="557" t="str">
        <f>揭露!F7</f>
        <v>0.00%</v>
      </c>
      <c r="L318" s="558"/>
      <c r="M318" s="558"/>
      <c r="N318" s="557" t="str">
        <f>揭露!G7</f>
        <v>0.00%</v>
      </c>
      <c r="O318" s="558"/>
      <c r="P318" s="558"/>
      <c r="Q318" s="557" t="str">
        <f>揭露!H7</f>
        <v>0.00%</v>
      </c>
      <c r="R318" s="558"/>
      <c r="S318" s="558"/>
      <c r="T318" s="557" t="str">
        <f>揭露!I7</f>
        <v>0.00%</v>
      </c>
      <c r="U318" s="558"/>
      <c r="V318" s="558"/>
      <c r="W318" s="28"/>
    </row>
    <row r="319" spans="1:23" s="12" customFormat="1" ht="15" customHeight="1">
      <c r="A319" s="210"/>
      <c r="B319" s="105"/>
      <c r="C319" s="614">
        <f>揭露!C8</f>
        <v>2</v>
      </c>
      <c r="D319" s="615"/>
      <c r="E319" s="557" t="str">
        <f>揭露!D8</f>
        <v>3.57%</v>
      </c>
      <c r="F319" s="558"/>
      <c r="G319" s="558"/>
      <c r="H319" s="557" t="str">
        <f>揭露!E8</f>
        <v>3.39%</v>
      </c>
      <c r="I319" s="558"/>
      <c r="J319" s="558"/>
      <c r="K319" s="557" t="str">
        <f>揭露!F8</f>
        <v>4.76%</v>
      </c>
      <c r="L319" s="558"/>
      <c r="M319" s="558"/>
      <c r="N319" s="557" t="str">
        <f>揭露!G8</f>
        <v>3.26%</v>
      </c>
      <c r="O319" s="558"/>
      <c r="P319" s="558"/>
      <c r="Q319" s="557" t="str">
        <f>揭露!H8</f>
        <v>3.89%</v>
      </c>
      <c r="R319" s="558"/>
      <c r="S319" s="558"/>
      <c r="T319" s="557" t="str">
        <f>揭露!I8</f>
        <v>6.37%</v>
      </c>
      <c r="U319" s="558"/>
      <c r="V319" s="558"/>
      <c r="W319" s="28"/>
    </row>
    <row r="320" spans="1:23" s="12" customFormat="1" ht="15" customHeight="1">
      <c r="A320" s="210"/>
      <c r="B320" s="105"/>
      <c r="C320" s="614">
        <f>揭露!C9</f>
        <v>3</v>
      </c>
      <c r="D320" s="615"/>
      <c r="E320" s="557" t="str">
        <f>揭露!D9</f>
        <v>4.72%</v>
      </c>
      <c r="F320" s="558"/>
      <c r="G320" s="558"/>
      <c r="H320" s="557" t="str">
        <f>揭露!E9</f>
        <v>4.49%</v>
      </c>
      <c r="I320" s="558"/>
      <c r="J320" s="558"/>
      <c r="K320" s="557" t="str">
        <f>揭露!F9</f>
        <v>6.37%</v>
      </c>
      <c r="L320" s="558"/>
      <c r="M320" s="558"/>
      <c r="N320" s="557" t="str">
        <f>揭露!G9</f>
        <v>4.44%</v>
      </c>
      <c r="O320" s="558"/>
      <c r="P320" s="558"/>
      <c r="Q320" s="557" t="str">
        <f>揭露!H9</f>
        <v>5.22%</v>
      </c>
      <c r="R320" s="558"/>
      <c r="S320" s="558"/>
      <c r="T320" s="557" t="str">
        <f>揭露!I9</f>
        <v>8.52%</v>
      </c>
      <c r="U320" s="558"/>
      <c r="V320" s="558"/>
      <c r="W320" s="28"/>
    </row>
    <row r="321" spans="1:23" s="12" customFormat="1" ht="15" customHeight="1">
      <c r="A321" s="210"/>
      <c r="B321" s="105"/>
      <c r="C321" s="614">
        <f>揭露!C10</f>
        <v>4</v>
      </c>
      <c r="D321" s="615"/>
      <c r="E321" s="557" t="str">
        <f>揭露!D10</f>
        <v>5.27%</v>
      </c>
      <c r="F321" s="558"/>
      <c r="G321" s="558"/>
      <c r="H321" s="557" t="str">
        <f>揭露!E10</f>
        <v>5.06%</v>
      </c>
      <c r="I321" s="558"/>
      <c r="J321" s="558"/>
      <c r="K321" s="557" t="str">
        <f>揭露!F10</f>
        <v>7.21%</v>
      </c>
      <c r="L321" s="558"/>
      <c r="M321" s="558"/>
      <c r="N321" s="557" t="str">
        <f>揭露!G10</f>
        <v>4.99%</v>
      </c>
      <c r="O321" s="558"/>
      <c r="P321" s="558"/>
      <c r="Q321" s="557" t="str">
        <f>揭露!H10</f>
        <v>5.90%</v>
      </c>
      <c r="R321" s="558"/>
      <c r="S321" s="558"/>
      <c r="T321" s="557" t="str">
        <f>揭露!I10</f>
        <v>9.68%</v>
      </c>
      <c r="U321" s="558"/>
      <c r="V321" s="558"/>
      <c r="W321" s="25"/>
    </row>
    <row r="322" spans="1:23" s="12" customFormat="1" ht="15" customHeight="1">
      <c r="A322" s="210"/>
      <c r="B322" s="105"/>
      <c r="C322" s="614">
        <f>揭露!C11</f>
        <v>5</v>
      </c>
      <c r="D322" s="615"/>
      <c r="E322" s="557" t="str">
        <f>揭露!D11</f>
        <v>6.01%</v>
      </c>
      <c r="F322" s="558"/>
      <c r="G322" s="558"/>
      <c r="H322" s="557" t="str">
        <f>揭露!E11</f>
        <v>5.72%</v>
      </c>
      <c r="I322" s="558"/>
      <c r="J322" s="558"/>
      <c r="K322" s="557" t="str">
        <f>揭露!F11</f>
        <v>8.28%</v>
      </c>
      <c r="L322" s="558"/>
      <c r="M322" s="558"/>
      <c r="N322" s="557" t="str">
        <f>揭露!G11</f>
        <v>5.75%</v>
      </c>
      <c r="O322" s="558"/>
      <c r="P322" s="558"/>
      <c r="Q322" s="557" t="str">
        <f>揭露!H11</f>
        <v>6.76%</v>
      </c>
      <c r="R322" s="558"/>
      <c r="S322" s="558"/>
      <c r="T322" s="557" t="str">
        <f>揭露!I11</f>
        <v>11.13%</v>
      </c>
      <c r="U322" s="558"/>
      <c r="V322" s="558"/>
      <c r="W322" s="28"/>
    </row>
    <row r="323" spans="1:23" s="12" customFormat="1" ht="15" customHeight="1">
      <c r="A323" s="210"/>
      <c r="B323" s="105"/>
      <c r="C323" s="614">
        <f>揭露!C12</f>
        <v>10</v>
      </c>
      <c r="D323" s="615"/>
      <c r="E323" s="557" t="str">
        <f>揭露!D12</f>
        <v>8.48%</v>
      </c>
      <c r="F323" s="558"/>
      <c r="G323" s="558"/>
      <c r="H323" s="557" t="str">
        <f>揭露!E12</f>
        <v>8.10%</v>
      </c>
      <c r="I323" s="558"/>
      <c r="J323" s="558"/>
      <c r="K323" s="557" t="str">
        <f>揭露!F12</f>
        <v>12.67%</v>
      </c>
      <c r="L323" s="558"/>
      <c r="M323" s="558"/>
      <c r="N323" s="557" t="str">
        <f>揭露!G12</f>
        <v>8.11%</v>
      </c>
      <c r="O323" s="558"/>
      <c r="P323" s="558"/>
      <c r="Q323" s="557" t="str">
        <f>揭露!H12</f>
        <v>9.85%</v>
      </c>
      <c r="R323" s="558"/>
      <c r="S323" s="558"/>
      <c r="T323" s="557" t="str">
        <f>揭露!I12</f>
        <v>16.71%</v>
      </c>
      <c r="U323" s="558"/>
      <c r="V323" s="558"/>
      <c r="W323" s="28"/>
    </row>
    <row r="324" spans="1:23" s="12" customFormat="1" ht="15" customHeight="1">
      <c r="A324" s="210"/>
      <c r="B324" s="105"/>
      <c r="C324" s="614">
        <f>揭露!C13</f>
        <v>15</v>
      </c>
      <c r="D324" s="615"/>
      <c r="E324" s="557" t="str">
        <f>揭露!D13</f>
        <v>8.76%</v>
      </c>
      <c r="F324" s="558"/>
      <c r="G324" s="558"/>
      <c r="H324" s="557" t="str">
        <f>揭露!E13</f>
        <v>8.70%</v>
      </c>
      <c r="I324" s="558"/>
      <c r="J324" s="558"/>
      <c r="K324" s="557" t="str">
        <f>揭露!F13</f>
        <v>14.94%</v>
      </c>
      <c r="L324" s="558"/>
      <c r="M324" s="558"/>
      <c r="N324" s="557" t="str">
        <f>揭露!G13</f>
        <v>8.50%</v>
      </c>
      <c r="O324" s="558"/>
      <c r="P324" s="558"/>
      <c r="Q324" s="557" t="str">
        <f>揭露!H13</f>
        <v>10.89%</v>
      </c>
      <c r="R324" s="558"/>
      <c r="S324" s="558"/>
      <c r="T324" s="557" t="str">
        <f>揭露!I13</f>
        <v>19.26%</v>
      </c>
      <c r="U324" s="558"/>
      <c r="V324" s="558"/>
      <c r="W324" s="28"/>
    </row>
    <row r="325" spans="1:23" s="12" customFormat="1" ht="15" customHeight="1">
      <c r="A325" s="210"/>
      <c r="B325" s="105"/>
      <c r="C325" s="614">
        <f>揭露!C14</f>
        <v>20</v>
      </c>
      <c r="D325" s="615"/>
      <c r="E325" s="557" t="str">
        <f>揭露!D14</f>
        <v>8.95%</v>
      </c>
      <c r="F325" s="558"/>
      <c r="G325" s="558"/>
      <c r="H325" s="557" t="str">
        <f>揭露!E14</f>
        <v>9.50%</v>
      </c>
      <c r="I325" s="558"/>
      <c r="J325" s="558"/>
      <c r="K325" s="557" t="str">
        <f>揭露!F14</f>
        <v>17.83%</v>
      </c>
      <c r="L325" s="558"/>
      <c r="M325" s="558"/>
      <c r="N325" s="557" t="str">
        <f>揭露!G14</f>
        <v>8.75%</v>
      </c>
      <c r="O325" s="558"/>
      <c r="P325" s="558"/>
      <c r="Q325" s="557" t="str">
        <f>揭露!H14</f>
        <v>12.00%</v>
      </c>
      <c r="R325" s="558"/>
      <c r="S325" s="558"/>
      <c r="T325" s="557" t="str">
        <f>揭露!I14</f>
        <v>22.47%</v>
      </c>
      <c r="U325" s="558"/>
      <c r="V325" s="558"/>
      <c r="W325" s="28"/>
    </row>
    <row r="326" spans="1:23" s="12" customFormat="1" ht="15" customHeight="1">
      <c r="A326" s="210"/>
      <c r="B326" s="105"/>
      <c r="C326" s="216" t="str">
        <f>"「"&amp; OP!$C$23 &amp;"」("&amp;OP!$C$22&amp;")於早期解約對保戶是不利的。"</f>
        <v>「富邦人壽優卡安心重大傷病健康保險」(SDJ)於早期解約對保戶是不利的。</v>
      </c>
      <c r="E326" s="352"/>
      <c r="F326" s="352"/>
      <c r="G326" s="352"/>
      <c r="H326" s="353"/>
      <c r="I326" s="353"/>
      <c r="J326" s="353"/>
      <c r="K326" s="353"/>
      <c r="L326" s="353"/>
      <c r="M326" s="353"/>
      <c r="N326" s="353"/>
      <c r="O326" s="353"/>
      <c r="P326" s="353"/>
      <c r="Q326" s="353"/>
      <c r="R326" s="353"/>
      <c r="S326" s="353"/>
      <c r="T326" s="353"/>
      <c r="U326" s="353"/>
      <c r="V326" s="28"/>
      <c r="W326" s="28"/>
    </row>
    <row r="327" spans="1:23" s="12" customFormat="1" ht="15" customHeight="1">
      <c r="A327" s="210"/>
      <c r="B327" s="105"/>
      <c r="C327" s="216"/>
      <c r="E327" s="352"/>
      <c r="F327" s="352"/>
      <c r="G327" s="352"/>
      <c r="H327" s="353"/>
      <c r="I327" s="353"/>
      <c r="J327" s="353"/>
      <c r="K327" s="353"/>
      <c r="L327" s="353"/>
      <c r="M327" s="353"/>
      <c r="N327" s="353"/>
      <c r="O327" s="353"/>
      <c r="P327" s="353"/>
      <c r="Q327" s="353"/>
      <c r="R327" s="353"/>
      <c r="S327" s="353"/>
      <c r="T327" s="353"/>
      <c r="U327" s="353"/>
      <c r="V327" s="28"/>
      <c r="W327" s="28"/>
    </row>
    <row r="328" spans="1:23" s="12" customFormat="1" ht="15" customHeight="1">
      <c r="A328" s="210"/>
      <c r="B328" s="105"/>
      <c r="C328" s="216"/>
      <c r="E328" s="352"/>
      <c r="F328" s="352"/>
      <c r="G328" s="352"/>
      <c r="H328" s="353"/>
      <c r="I328" s="353"/>
      <c r="J328" s="353"/>
      <c r="K328" s="353"/>
      <c r="L328" s="353"/>
      <c r="M328" s="353"/>
      <c r="N328" s="353"/>
      <c r="O328" s="353"/>
      <c r="P328" s="353"/>
      <c r="Q328" s="353"/>
      <c r="R328" s="353"/>
      <c r="S328" s="353"/>
      <c r="T328" s="353"/>
      <c r="U328" s="353"/>
      <c r="V328" s="28"/>
      <c r="W328" s="28"/>
    </row>
    <row r="329" spans="1:23" s="12" customFormat="1" ht="15" customHeight="1">
      <c r="A329" s="210"/>
      <c r="B329" s="105"/>
      <c r="C329" s="216"/>
      <c r="E329" s="352"/>
      <c r="F329" s="352"/>
      <c r="G329" s="352"/>
      <c r="H329" s="353"/>
      <c r="I329" s="353"/>
      <c r="J329" s="353"/>
      <c r="K329" s="353"/>
      <c r="L329" s="353"/>
      <c r="M329" s="353"/>
      <c r="N329" s="353"/>
      <c r="O329" s="353"/>
      <c r="P329" s="353"/>
      <c r="Q329" s="353"/>
      <c r="R329" s="353"/>
      <c r="S329" s="353"/>
      <c r="T329" s="353"/>
      <c r="U329" s="353"/>
      <c r="V329" s="28"/>
      <c r="W329" s="28"/>
    </row>
    <row r="330" spans="1:23" s="12" customFormat="1" ht="15" customHeight="1">
      <c r="A330" s="210"/>
      <c r="B330" s="105"/>
      <c r="C330" s="216"/>
      <c r="E330" s="352"/>
      <c r="F330" s="352"/>
      <c r="G330" s="352"/>
      <c r="H330" s="353"/>
      <c r="I330" s="353"/>
      <c r="J330" s="353"/>
      <c r="K330" s="353"/>
      <c r="L330" s="353"/>
      <c r="M330" s="353"/>
      <c r="N330" s="353"/>
      <c r="O330" s="353"/>
      <c r="P330" s="353"/>
      <c r="Q330" s="353"/>
      <c r="R330" s="353"/>
      <c r="S330" s="353"/>
      <c r="T330" s="353"/>
      <c r="U330" s="353"/>
      <c r="V330" s="28"/>
      <c r="W330" s="28"/>
    </row>
    <row r="331" spans="1:23" s="12" customFormat="1" ht="15" customHeight="1">
      <c r="A331" s="210"/>
      <c r="B331" s="105"/>
      <c r="C331" s="216"/>
      <c r="E331" s="352"/>
      <c r="F331" s="352"/>
      <c r="G331" s="352"/>
      <c r="H331" s="353"/>
      <c r="I331" s="353"/>
      <c r="J331" s="353"/>
      <c r="K331" s="353"/>
      <c r="L331" s="353"/>
      <c r="M331" s="353"/>
      <c r="N331" s="353"/>
      <c r="O331" s="353"/>
      <c r="P331" s="353"/>
      <c r="Q331" s="353"/>
      <c r="R331" s="353"/>
      <c r="S331" s="353"/>
      <c r="T331" s="353"/>
      <c r="U331" s="353"/>
      <c r="V331" s="28"/>
      <c r="W331" s="28"/>
    </row>
    <row r="332" spans="1:23" s="12" customFormat="1" ht="15" customHeight="1">
      <c r="A332" s="210"/>
      <c r="B332" s="105"/>
      <c r="C332" s="216"/>
      <c r="E332" s="352"/>
      <c r="F332" s="352"/>
      <c r="G332" s="352"/>
      <c r="H332" s="353"/>
      <c r="I332" s="353"/>
      <c r="J332" s="353"/>
      <c r="K332" s="353"/>
      <c r="L332" s="353"/>
      <c r="M332" s="353"/>
      <c r="N332" s="353"/>
      <c r="O332" s="353"/>
      <c r="P332" s="353"/>
      <c r="Q332" s="353"/>
      <c r="R332" s="353"/>
      <c r="S332" s="353"/>
      <c r="T332" s="353"/>
      <c r="U332" s="353"/>
      <c r="V332" s="28"/>
      <c r="W332" s="28"/>
    </row>
    <row r="333" spans="1:23" s="12" customFormat="1" ht="15" customHeight="1">
      <c r="A333" s="210"/>
      <c r="B333" s="105"/>
      <c r="C333" s="216"/>
      <c r="E333" s="352"/>
      <c r="F333" s="352"/>
      <c r="G333" s="352"/>
      <c r="H333" s="353"/>
      <c r="I333" s="353"/>
      <c r="J333" s="353"/>
      <c r="K333" s="353"/>
      <c r="L333" s="353"/>
      <c r="M333" s="353"/>
      <c r="N333" s="353"/>
      <c r="O333" s="353"/>
      <c r="P333" s="353"/>
      <c r="Q333" s="353"/>
      <c r="R333" s="353"/>
      <c r="S333" s="353"/>
      <c r="T333" s="353"/>
      <c r="U333" s="353"/>
      <c r="V333" s="28"/>
      <c r="W333" s="28"/>
    </row>
    <row r="334" spans="1:23" s="12" customFormat="1" ht="15" customHeight="1">
      <c r="A334" s="210"/>
      <c r="B334" s="105"/>
      <c r="C334" s="216"/>
      <c r="E334" s="352"/>
      <c r="F334" s="352"/>
      <c r="G334" s="352"/>
      <c r="H334" s="353"/>
      <c r="I334" s="353"/>
      <c r="J334" s="353"/>
      <c r="K334" s="353"/>
      <c r="L334" s="353"/>
      <c r="M334" s="353"/>
      <c r="N334" s="353"/>
      <c r="O334" s="353"/>
      <c r="P334" s="353"/>
      <c r="Q334" s="353"/>
      <c r="R334" s="353"/>
      <c r="S334" s="353"/>
      <c r="T334" s="353"/>
      <c r="U334" s="353"/>
      <c r="V334" s="28"/>
      <c r="W334" s="28"/>
    </row>
    <row r="335" spans="1:23" s="12" customFormat="1" ht="15" customHeight="1">
      <c r="A335" s="210"/>
      <c r="B335" s="105"/>
      <c r="C335" s="216"/>
      <c r="E335" s="352"/>
      <c r="F335" s="352"/>
      <c r="G335" s="352"/>
      <c r="H335" s="353"/>
      <c r="I335" s="353"/>
      <c r="J335" s="353"/>
      <c r="K335" s="353"/>
      <c r="L335" s="353"/>
      <c r="M335" s="353"/>
      <c r="N335" s="353"/>
      <c r="O335" s="353"/>
      <c r="P335" s="353"/>
      <c r="Q335" s="353"/>
      <c r="R335" s="353"/>
      <c r="S335" s="353"/>
      <c r="T335" s="353"/>
      <c r="U335" s="353"/>
      <c r="V335" s="28"/>
      <c r="W335" s="28"/>
    </row>
    <row r="336" spans="1:23" s="12" customFormat="1" ht="15" customHeight="1">
      <c r="A336" s="210"/>
      <c r="B336" s="105"/>
      <c r="C336" s="216"/>
      <c r="E336" s="352"/>
      <c r="F336" s="352"/>
      <c r="G336" s="352"/>
      <c r="H336" s="353"/>
      <c r="I336" s="353"/>
      <c r="J336" s="353"/>
      <c r="K336" s="353"/>
      <c r="L336" s="353"/>
      <c r="M336" s="353"/>
      <c r="N336" s="353"/>
      <c r="O336" s="353"/>
      <c r="P336" s="353"/>
      <c r="Q336" s="353"/>
      <c r="R336" s="353"/>
      <c r="S336" s="353"/>
      <c r="T336" s="353"/>
      <c r="U336" s="353"/>
      <c r="V336" s="28"/>
      <c r="W336" s="28"/>
    </row>
    <row r="337" spans="1:23" s="12" customFormat="1" ht="15" customHeight="1">
      <c r="A337" s="210"/>
      <c r="B337" s="225" t="s">
        <v>313</v>
      </c>
      <c r="D337" s="211"/>
      <c r="E337" s="221"/>
      <c r="F337" s="221"/>
      <c r="G337" s="221"/>
      <c r="H337" s="222"/>
      <c r="I337" s="222"/>
      <c r="J337" s="222"/>
      <c r="K337" s="222"/>
      <c r="L337" s="222"/>
      <c r="M337" s="222"/>
      <c r="N337" s="222"/>
      <c r="O337" s="222"/>
      <c r="P337" s="222"/>
      <c r="Q337" s="222"/>
      <c r="R337" s="222"/>
      <c r="S337" s="222"/>
      <c r="T337" s="222"/>
      <c r="U337" s="222"/>
      <c r="V337" s="148"/>
      <c r="W337" s="148"/>
    </row>
    <row r="338" spans="1:23" s="12" customFormat="1" ht="15" customHeight="1">
      <c r="A338" s="210"/>
      <c r="B338" s="226" t="s">
        <v>314</v>
      </c>
      <c r="D338" s="211"/>
      <c r="E338" s="221"/>
      <c r="F338" s="221"/>
      <c r="G338" s="221"/>
      <c r="H338" s="222"/>
      <c r="I338" s="222"/>
      <c r="J338" s="222"/>
      <c r="K338" s="222"/>
      <c r="L338" s="222"/>
      <c r="M338" s="222"/>
      <c r="N338" s="222"/>
      <c r="O338" s="222"/>
      <c r="P338" s="222"/>
      <c r="Q338" s="222"/>
      <c r="R338" s="222"/>
      <c r="S338" s="222"/>
      <c r="T338" s="222"/>
      <c r="U338" s="222"/>
      <c r="V338" s="148"/>
      <c r="W338" s="148"/>
    </row>
    <row r="339" spans="1:23" s="105" customFormat="1" ht="15" customHeight="1">
      <c r="A339" s="104"/>
      <c r="B339" s="226" t="s">
        <v>315</v>
      </c>
      <c r="D339" s="133"/>
      <c r="E339" s="150"/>
      <c r="F339" s="150"/>
      <c r="G339" s="150"/>
      <c r="H339" s="151"/>
      <c r="I339" s="151"/>
      <c r="J339" s="151"/>
      <c r="K339" s="151"/>
      <c r="L339" s="151"/>
      <c r="M339" s="151"/>
      <c r="N339" s="151"/>
      <c r="O339" s="151"/>
      <c r="P339" s="151"/>
      <c r="Q339" s="151"/>
      <c r="R339" s="151"/>
      <c r="S339" s="151"/>
      <c r="T339" s="151"/>
      <c r="U339" s="151"/>
      <c r="V339" s="152"/>
      <c r="W339" s="152"/>
    </row>
    <row r="340" spans="1:23" s="105" customFormat="1" ht="15" customHeight="1">
      <c r="A340" s="104"/>
      <c r="B340" s="149" t="s">
        <v>369</v>
      </c>
      <c r="D340" s="133"/>
      <c r="E340" s="150"/>
      <c r="F340" s="150"/>
      <c r="G340" s="150"/>
      <c r="H340" s="151"/>
      <c r="I340" s="151"/>
      <c r="J340" s="151"/>
      <c r="K340" s="151"/>
      <c r="L340" s="151"/>
      <c r="M340" s="151"/>
      <c r="N340" s="151"/>
      <c r="O340" s="151"/>
      <c r="P340" s="151"/>
      <c r="Q340" s="151"/>
      <c r="R340" s="151"/>
      <c r="S340" s="151"/>
      <c r="T340" s="151"/>
      <c r="U340" s="151"/>
      <c r="V340" s="152"/>
      <c r="W340" s="152"/>
    </row>
    <row r="341" spans="1:23" s="105" customFormat="1" ht="15" customHeight="1">
      <c r="A341" s="104"/>
      <c r="B341" s="126" t="s">
        <v>99</v>
      </c>
      <c r="D341" s="133"/>
      <c r="E341" s="150"/>
      <c r="F341" s="150"/>
      <c r="G341" s="150"/>
      <c r="H341" s="151"/>
      <c r="I341" s="151"/>
      <c r="J341" s="151"/>
      <c r="K341" s="151"/>
      <c r="L341" s="151"/>
      <c r="M341" s="151"/>
      <c r="N341" s="151"/>
      <c r="O341" s="151"/>
      <c r="P341" s="151"/>
      <c r="Q341" s="151"/>
      <c r="R341" s="151"/>
      <c r="S341" s="151"/>
      <c r="T341" s="151"/>
      <c r="U341" s="151"/>
      <c r="V341" s="152"/>
      <c r="W341" s="152"/>
    </row>
    <row r="342" spans="1:23" s="105" customFormat="1" ht="15" customHeight="1">
      <c r="A342" s="104"/>
      <c r="B342" s="126" t="s">
        <v>100</v>
      </c>
      <c r="D342" s="133"/>
      <c r="E342" s="150"/>
      <c r="F342" s="150"/>
      <c r="G342" s="150"/>
      <c r="H342" s="151"/>
      <c r="I342" s="151"/>
      <c r="J342" s="151"/>
      <c r="K342" s="151"/>
      <c r="L342" s="151"/>
      <c r="M342" s="151"/>
      <c r="N342" s="151"/>
      <c r="O342" s="151"/>
      <c r="P342" s="151"/>
      <c r="Q342" s="151"/>
      <c r="R342" s="151"/>
      <c r="S342" s="151"/>
      <c r="T342" s="151"/>
      <c r="U342" s="151"/>
      <c r="V342" s="152"/>
      <c r="W342" s="152"/>
    </row>
    <row r="343" spans="1:23" s="105" customFormat="1" ht="15" customHeight="1">
      <c r="A343" s="104"/>
      <c r="B343" s="126" t="s">
        <v>101</v>
      </c>
      <c r="C343" s="134"/>
      <c r="D343" s="153"/>
      <c r="E343" s="150"/>
      <c r="F343" s="150"/>
      <c r="G343" s="150"/>
      <c r="H343" s="151"/>
      <c r="I343" s="151"/>
      <c r="J343" s="151"/>
      <c r="K343" s="151"/>
      <c r="L343" s="151"/>
      <c r="M343" s="151"/>
      <c r="N343" s="151"/>
      <c r="O343" s="151"/>
      <c r="P343" s="151"/>
      <c r="Q343" s="151"/>
      <c r="R343" s="151"/>
      <c r="S343" s="151"/>
      <c r="T343" s="151"/>
      <c r="U343" s="151"/>
      <c r="V343" s="152"/>
      <c r="W343" s="152"/>
    </row>
    <row r="344" spans="1:23" s="105" customFormat="1" ht="15" customHeight="1">
      <c r="A344" s="104"/>
      <c r="B344" s="126" t="s">
        <v>97</v>
      </c>
      <c r="C344" s="134"/>
      <c r="D344" s="153"/>
      <c r="E344" s="150"/>
      <c r="F344" s="150"/>
      <c r="G344" s="150"/>
      <c r="H344" s="151"/>
      <c r="I344" s="151"/>
      <c r="J344" s="151"/>
      <c r="K344" s="151"/>
      <c r="L344" s="151"/>
      <c r="M344" s="151"/>
      <c r="N344" s="151"/>
      <c r="O344" s="151"/>
      <c r="P344" s="151"/>
      <c r="Q344" s="151"/>
      <c r="R344" s="151"/>
      <c r="S344" s="151"/>
      <c r="T344" s="151"/>
      <c r="U344" s="151"/>
      <c r="V344" s="152"/>
      <c r="W344" s="152"/>
    </row>
    <row r="345" spans="1:23" s="105" customFormat="1" ht="15" customHeight="1">
      <c r="A345" s="104"/>
      <c r="B345" s="125" t="s">
        <v>755</v>
      </c>
      <c r="C345" s="134"/>
      <c r="D345" s="153"/>
      <c r="E345" s="150"/>
      <c r="F345" s="150"/>
      <c r="G345" s="150"/>
      <c r="H345" s="151"/>
      <c r="I345" s="151"/>
      <c r="J345" s="151"/>
      <c r="K345" s="151"/>
      <c r="L345" s="151"/>
      <c r="M345" s="151"/>
      <c r="N345" s="151"/>
      <c r="O345" s="151"/>
      <c r="P345" s="151"/>
      <c r="Q345" s="151"/>
      <c r="R345" s="151"/>
      <c r="S345" s="151"/>
      <c r="T345" s="151"/>
      <c r="U345" s="151"/>
      <c r="V345" s="152"/>
      <c r="W345" s="152"/>
    </row>
    <row r="346" spans="1:23" s="105" customFormat="1" ht="15" customHeight="1">
      <c r="A346" s="104"/>
      <c r="B346" s="125" t="s">
        <v>756</v>
      </c>
      <c r="C346" s="134"/>
      <c r="D346" s="153"/>
      <c r="E346" s="150"/>
      <c r="F346" s="150"/>
      <c r="G346" s="150"/>
      <c r="H346" s="151"/>
      <c r="I346" s="151"/>
      <c r="J346" s="151"/>
      <c r="K346" s="151"/>
      <c r="L346" s="151"/>
      <c r="M346" s="151"/>
      <c r="N346" s="151"/>
      <c r="O346" s="151"/>
      <c r="P346" s="151"/>
      <c r="Q346" s="151"/>
      <c r="R346" s="151"/>
      <c r="S346" s="151"/>
      <c r="T346" s="151"/>
      <c r="U346" s="151"/>
      <c r="V346" s="152"/>
      <c r="W346" s="152"/>
    </row>
    <row r="347" spans="1:23" s="135" customFormat="1" ht="15" customHeight="1">
      <c r="B347" s="125" t="s">
        <v>757</v>
      </c>
      <c r="C347" s="134"/>
      <c r="D347" s="154"/>
      <c r="E347" s="152"/>
      <c r="F347" s="152"/>
      <c r="G347" s="152"/>
      <c r="H347" s="152"/>
      <c r="I347" s="152"/>
      <c r="J347" s="152"/>
      <c r="K347" s="152"/>
      <c r="L347" s="152"/>
      <c r="M347" s="152"/>
      <c r="N347" s="152"/>
      <c r="O347" s="152"/>
      <c r="P347" s="152"/>
      <c r="Q347" s="152"/>
      <c r="R347" s="152"/>
      <c r="S347" s="152"/>
      <c r="T347" s="152"/>
      <c r="U347" s="152"/>
      <c r="V347" s="152"/>
      <c r="W347" s="152"/>
    </row>
    <row r="348" spans="1:23" s="135" customFormat="1" ht="15" customHeight="1">
      <c r="B348" s="126" t="s">
        <v>96</v>
      </c>
      <c r="C348" s="134"/>
      <c r="D348" s="154"/>
      <c r="E348" s="152"/>
      <c r="F348" s="152"/>
      <c r="G348" s="152"/>
      <c r="H348" s="152"/>
      <c r="I348" s="152"/>
      <c r="J348" s="152"/>
      <c r="K348" s="152"/>
      <c r="L348" s="152"/>
      <c r="M348" s="152"/>
      <c r="N348" s="152"/>
      <c r="O348" s="152"/>
      <c r="P348" s="152"/>
      <c r="Q348" s="152"/>
      <c r="R348" s="152"/>
      <c r="S348" s="152"/>
      <c r="T348" s="152"/>
      <c r="U348" s="152"/>
      <c r="V348" s="152"/>
      <c r="W348" s="152"/>
    </row>
    <row r="349" spans="1:23" s="135" customFormat="1" ht="15" customHeight="1">
      <c r="B349" s="126" t="s">
        <v>103</v>
      </c>
      <c r="C349" s="154"/>
      <c r="D349" s="154"/>
      <c r="E349" s="152"/>
      <c r="F349" s="152"/>
      <c r="G349" s="152"/>
      <c r="H349" s="152"/>
      <c r="I349" s="152"/>
      <c r="J349" s="152"/>
      <c r="K349" s="152"/>
      <c r="L349" s="152"/>
      <c r="M349" s="152"/>
      <c r="N349" s="152"/>
      <c r="O349" s="152"/>
      <c r="P349" s="152"/>
      <c r="Q349" s="152"/>
      <c r="R349" s="152"/>
      <c r="S349" s="152"/>
      <c r="T349" s="152"/>
      <c r="U349" s="152"/>
      <c r="V349" s="152"/>
      <c r="W349" s="152"/>
    </row>
    <row r="350" spans="1:23" s="135" customFormat="1" ht="15" customHeight="1">
      <c r="B350" s="126" t="s">
        <v>104</v>
      </c>
      <c r="C350" s="154"/>
      <c r="D350" s="154"/>
      <c r="E350" s="152"/>
      <c r="F350" s="152"/>
      <c r="G350" s="152"/>
      <c r="H350" s="152"/>
      <c r="I350" s="152"/>
      <c r="J350" s="152"/>
      <c r="K350" s="152"/>
      <c r="L350" s="152"/>
      <c r="M350" s="152"/>
      <c r="N350" s="152"/>
      <c r="O350" s="152"/>
      <c r="P350" s="152"/>
      <c r="Q350" s="152"/>
      <c r="R350" s="152"/>
      <c r="S350" s="152"/>
      <c r="T350" s="152"/>
      <c r="U350" s="152"/>
      <c r="V350" s="152"/>
      <c r="W350" s="152"/>
    </row>
    <row r="351" spans="1:23" s="135" customFormat="1" ht="15" customHeight="1">
      <c r="B351" s="138" t="s">
        <v>627</v>
      </c>
      <c r="C351" s="134"/>
      <c r="D351" s="154"/>
      <c r="E351" s="152"/>
      <c r="F351" s="152"/>
      <c r="G351" s="152"/>
      <c r="H351" s="152"/>
      <c r="I351" s="152"/>
      <c r="J351" s="152"/>
      <c r="K351" s="152"/>
      <c r="L351" s="152"/>
      <c r="M351" s="152"/>
      <c r="N351" s="152"/>
      <c r="O351" s="152"/>
      <c r="P351" s="152"/>
      <c r="Q351" s="152"/>
      <c r="R351" s="152"/>
      <c r="S351" s="152"/>
      <c r="T351" s="152"/>
      <c r="U351" s="152"/>
      <c r="V351" s="152"/>
      <c r="W351" s="152"/>
    </row>
    <row r="352" spans="1:23" s="135" customFormat="1" ht="15" customHeight="1">
      <c r="B352" s="138" t="s">
        <v>105</v>
      </c>
      <c r="C352" s="134"/>
      <c r="D352" s="154"/>
      <c r="E352" s="152"/>
      <c r="F352" s="152"/>
      <c r="G352" s="152"/>
      <c r="H352" s="152"/>
      <c r="I352" s="152"/>
      <c r="J352" s="152"/>
      <c r="K352" s="152"/>
      <c r="L352" s="152"/>
      <c r="M352" s="152"/>
      <c r="N352" s="152"/>
      <c r="O352" s="152"/>
      <c r="P352" s="152"/>
      <c r="Q352" s="152"/>
      <c r="R352" s="152"/>
      <c r="S352" s="152"/>
      <c r="T352" s="152"/>
      <c r="U352" s="152"/>
      <c r="V352" s="152"/>
      <c r="W352" s="152"/>
    </row>
    <row r="353" spans="1:24" s="135" customFormat="1" ht="15" customHeight="1">
      <c r="B353" s="138" t="s">
        <v>102</v>
      </c>
      <c r="C353" s="134"/>
      <c r="D353" s="154"/>
      <c r="E353" s="152"/>
      <c r="F353" s="152"/>
      <c r="G353" s="152"/>
      <c r="H353" s="152"/>
      <c r="I353" s="152"/>
      <c r="J353" s="152"/>
      <c r="K353" s="152"/>
      <c r="L353" s="152"/>
      <c r="M353" s="152"/>
      <c r="N353" s="152"/>
      <c r="O353" s="152"/>
      <c r="P353" s="152"/>
      <c r="Q353" s="152"/>
      <c r="R353" s="152"/>
      <c r="S353" s="152"/>
      <c r="T353" s="152"/>
      <c r="U353" s="152"/>
      <c r="V353" s="152"/>
      <c r="W353" s="152"/>
    </row>
    <row r="354" spans="1:24" s="135" customFormat="1" ht="15" customHeight="1">
      <c r="B354" s="138" t="s">
        <v>816</v>
      </c>
      <c r="C354" s="105"/>
      <c r="D354" s="154"/>
      <c r="E354" s="152"/>
      <c r="F354" s="152"/>
      <c r="G354" s="152"/>
      <c r="H354" s="152"/>
      <c r="I354" s="152"/>
      <c r="J354" s="152"/>
      <c r="K354" s="152"/>
      <c r="L354" s="152"/>
      <c r="M354" s="152"/>
      <c r="N354" s="152"/>
      <c r="O354" s="152"/>
      <c r="P354" s="152"/>
      <c r="Q354" s="152"/>
      <c r="R354" s="152"/>
      <c r="S354" s="152"/>
      <c r="T354" s="152"/>
      <c r="U354" s="152"/>
      <c r="V354" s="152"/>
      <c r="W354" s="152"/>
    </row>
    <row r="355" spans="1:24" s="135" customFormat="1" ht="15" customHeight="1">
      <c r="B355" s="194" t="str">
        <f>"‧消費者於購買前，應詳閱各種銷售文件內容，本商品之預定附加費用率，"&amp;OP!$D$101&amp;"；如要詳細了解其他"</f>
        <v>‧消費者於購買前，應詳閱各種銷售文件內容，本商品之預定附加費用率，最高29.76%，最低17.98%；如要詳細了解其他</v>
      </c>
      <c r="C355" s="105"/>
      <c r="D355" s="154"/>
      <c r="E355" s="152"/>
      <c r="F355" s="152"/>
      <c r="G355" s="152"/>
      <c r="H355" s="152"/>
      <c r="I355" s="152"/>
      <c r="J355" s="152"/>
      <c r="K355" s="152"/>
      <c r="L355" s="152"/>
      <c r="M355" s="152"/>
      <c r="N355" s="152"/>
      <c r="O355" s="152"/>
      <c r="P355" s="152"/>
      <c r="Q355" s="152"/>
      <c r="R355" s="152"/>
      <c r="S355" s="152"/>
      <c r="T355" s="152"/>
      <c r="U355" s="152"/>
      <c r="V355" s="152"/>
      <c r="W355" s="152"/>
    </row>
    <row r="356" spans="1:24" s="135" customFormat="1" ht="15" customHeight="1">
      <c r="B356" s="194" t="s">
        <v>374</v>
      </c>
      <c r="C356" s="105"/>
      <c r="D356" s="154"/>
      <c r="E356" s="152"/>
      <c r="F356" s="152"/>
      <c r="G356" s="152"/>
      <c r="H356" s="152"/>
      <c r="I356" s="152"/>
      <c r="J356" s="152"/>
      <c r="K356" s="152"/>
      <c r="L356" s="152"/>
      <c r="M356" s="152"/>
      <c r="N356" s="152"/>
      <c r="O356" s="152"/>
      <c r="P356" s="152"/>
      <c r="Q356" s="152"/>
      <c r="R356" s="152"/>
      <c r="S356" s="152"/>
      <c r="T356" s="152"/>
      <c r="U356" s="152"/>
      <c r="V356" s="152"/>
      <c r="W356" s="152"/>
    </row>
    <row r="357" spans="1:24" s="135" customFormat="1" ht="15" customHeight="1">
      <c r="B357" s="194" t="s">
        <v>375</v>
      </c>
      <c r="C357" s="105"/>
      <c r="D357" s="154"/>
      <c r="E357" s="152"/>
      <c r="F357" s="152"/>
      <c r="G357" s="152"/>
      <c r="H357" s="152"/>
      <c r="I357" s="152"/>
      <c r="J357" s="152"/>
      <c r="K357" s="152"/>
      <c r="L357" s="152"/>
      <c r="M357" s="152"/>
      <c r="N357" s="152"/>
      <c r="O357" s="152"/>
      <c r="P357" s="152"/>
      <c r="Q357" s="152"/>
      <c r="R357" s="152"/>
      <c r="S357" s="152"/>
      <c r="T357" s="152"/>
      <c r="U357" s="152"/>
      <c r="V357" s="152"/>
      <c r="W357" s="152"/>
    </row>
    <row r="358" spans="1:24" s="135" customFormat="1" ht="15" customHeight="1">
      <c r="B358" s="194"/>
      <c r="C358" s="105"/>
      <c r="D358" s="154"/>
      <c r="E358" s="152"/>
      <c r="F358" s="152"/>
      <c r="G358" s="152"/>
      <c r="H358" s="152"/>
      <c r="I358" s="152"/>
      <c r="J358" s="152"/>
      <c r="K358" s="152"/>
      <c r="L358" s="152"/>
      <c r="M358" s="152"/>
      <c r="N358" s="152"/>
      <c r="O358" s="152"/>
      <c r="P358" s="152"/>
      <c r="Q358" s="152"/>
      <c r="R358" s="152"/>
      <c r="S358" s="152"/>
      <c r="T358" s="152"/>
      <c r="U358" s="152"/>
      <c r="V358" s="152"/>
      <c r="W358" s="152"/>
    </row>
    <row r="359" spans="1:24" s="24" customFormat="1" ht="15" customHeight="1">
      <c r="A359" s="35">
        <v>1</v>
      </c>
      <c r="B359" s="598" t="str">
        <f>OP!$D$107</f>
        <v>本建議書僅供參考，詳細商品內容及其變更，應以投保當時保單條款內容及本公司核保、保全作業規定為準</v>
      </c>
      <c r="C359" s="598"/>
      <c r="D359" s="598"/>
      <c r="E359" s="598"/>
      <c r="F359" s="598"/>
      <c r="G359" s="598"/>
      <c r="H359" s="598"/>
      <c r="I359" s="598"/>
      <c r="J359" s="598"/>
      <c r="K359" s="598"/>
      <c r="L359" s="598"/>
      <c r="M359" s="598"/>
      <c r="N359" s="598"/>
      <c r="O359" s="598"/>
      <c r="P359" s="598"/>
      <c r="Q359" s="598"/>
      <c r="R359" s="598"/>
      <c r="S359" s="598"/>
      <c r="T359" s="598"/>
      <c r="U359" s="598"/>
      <c r="V359" s="598"/>
      <c r="W359" s="598"/>
      <c r="X359" s="23"/>
    </row>
    <row r="360" spans="1:24" s="24" customFormat="1" ht="15" customHeight="1">
      <c r="B360" s="375"/>
      <c r="C360" s="376"/>
      <c r="F360" s="559" t="str">
        <f>OP!$D$106</f>
        <v xml:space="preserve"> ※本契約條款樣張須於訂立契約前提供要保人至少三日審閱期間</v>
      </c>
      <c r="G360" s="560"/>
      <c r="H360" s="560"/>
      <c r="I360" s="560"/>
      <c r="J360" s="560"/>
      <c r="K360" s="560"/>
      <c r="L360" s="560"/>
      <c r="M360" s="560"/>
      <c r="N360" s="560"/>
      <c r="O360" s="560"/>
      <c r="P360" s="560"/>
      <c r="Q360" s="560"/>
      <c r="R360" s="485"/>
      <c r="S360" s="227"/>
      <c r="T360" s="160"/>
      <c r="U360" s="160"/>
      <c r="V360" s="160"/>
      <c r="W360" s="161" t="str">
        <f ca="1">OP!$D$105</f>
        <v>V1.2-1150101 試算日：1150101</v>
      </c>
      <c r="X360" s="23"/>
    </row>
    <row r="361" spans="1:24"/>
    <row r="362" spans="1:24"/>
    <row r="363" spans="1:24" ht="25.5">
      <c r="A363" s="158">
        <v>1</v>
      </c>
      <c r="B363" s="599" t="str">
        <f>IF(ISERROR(VLOOKUP(A363,PI,2,0)),"",VLOOKUP(A363,PI,2,0))</f>
        <v>富邦人壽保險股份有限公司履行個人資料保護法告知說明書</v>
      </c>
      <c r="C363" s="599"/>
      <c r="D363" s="599"/>
      <c r="E363" s="599"/>
      <c r="F363" s="599"/>
      <c r="G363" s="599"/>
      <c r="H363" s="599"/>
      <c r="I363" s="599"/>
      <c r="J363" s="599"/>
      <c r="K363" s="599"/>
      <c r="L363" s="599"/>
      <c r="M363" s="599"/>
      <c r="N363" s="599"/>
      <c r="O363" s="599"/>
      <c r="P363" s="599"/>
      <c r="Q363" s="599"/>
      <c r="R363" s="599"/>
      <c r="S363" s="599"/>
      <c r="T363" s="599"/>
      <c r="U363" s="599"/>
      <c r="V363" s="599"/>
      <c r="W363" s="599"/>
    </row>
    <row r="364" spans="1:24" ht="16.5">
      <c r="A364" s="158">
        <v>2</v>
      </c>
      <c r="B364" s="159"/>
      <c r="C364" s="159" t="str">
        <f t="shared" ref="C364:C402" si="4">IF(ISERROR(VLOOKUP(A364,PI,2,0)),"",VLOOKUP(A364,PI,2,0))</f>
        <v xml:space="preserve"> </v>
      </c>
    </row>
    <row r="365" spans="1:24" ht="16.5">
      <c r="A365" s="158">
        <v>3</v>
      </c>
      <c r="B365" s="159"/>
      <c r="C365" s="159" t="str">
        <f t="shared" si="4"/>
        <v>富邦人壽保險股份有限公司（下稱本公司）依據個人資料保護法（以下稱個資法）</v>
      </c>
    </row>
    <row r="366" spans="1:24" ht="16.5">
      <c r="A366" s="158">
        <v>4</v>
      </c>
      <c r="B366" s="159"/>
      <c r="C366" s="159" t="str">
        <f t="shared" si="4"/>
        <v>規定，向 台端告知下列事項，請 台端詳閱：</v>
      </c>
    </row>
    <row r="367" spans="1:24" ht="16.5">
      <c r="A367" s="158">
        <v>5</v>
      </c>
      <c r="B367" s="159"/>
      <c r="C367" s="159" t="str">
        <f t="shared" si="4"/>
        <v>一、蒐集之目的：</v>
      </c>
    </row>
    <row r="368" spans="1:24" ht="16.5">
      <c r="A368" s="158">
        <v>6</v>
      </c>
      <c r="B368" s="159"/>
      <c r="C368" s="159" t="str">
        <f t="shared" si="4"/>
        <v>（一）人身保險（００一）</v>
      </c>
    </row>
    <row r="369" spans="1:3" ht="16.5">
      <c r="A369" s="158">
        <v>7</v>
      </c>
      <c r="B369" s="159"/>
      <c r="C369" s="159" t="str">
        <f t="shared" si="4"/>
        <v>（二）其他經營合於營業登記項目或組織章程所定之業務（一八一）</v>
      </c>
    </row>
    <row r="370" spans="1:3" ht="16.5">
      <c r="A370" s="158">
        <v>8</v>
      </c>
      <c r="B370" s="159"/>
      <c r="C370" s="159" t="str">
        <f t="shared" si="4"/>
        <v>二、蒐集之個人資料類別：</v>
      </c>
    </row>
    <row r="371" spans="1:3" ht="16.5">
      <c r="A371" s="158">
        <v>9</v>
      </c>
      <c r="B371" s="159"/>
      <c r="C371" s="159" t="str">
        <f t="shared" si="4"/>
        <v>（一）姓名。</v>
      </c>
    </row>
    <row r="372" spans="1:3" ht="16.5">
      <c r="A372" s="158">
        <v>10</v>
      </c>
      <c r="B372" s="159"/>
      <c r="C372" s="159" t="str">
        <f t="shared" si="4"/>
        <v>（二）身分證統一編號。</v>
      </c>
    </row>
    <row r="373" spans="1:3" ht="16.5">
      <c r="A373" s="158">
        <v>11</v>
      </c>
      <c r="B373" s="159"/>
      <c r="C373" s="159" t="str">
        <f t="shared" si="4"/>
        <v>（三）地址。</v>
      </c>
    </row>
    <row r="374" spans="1:3" ht="16.5">
      <c r="A374" s="158">
        <v>12</v>
      </c>
      <c r="B374" s="159"/>
      <c r="C374" s="159" t="str">
        <f t="shared" si="4"/>
        <v>（四）病歷、醫療、健康檢查 。</v>
      </c>
    </row>
    <row r="375" spans="1:3" ht="16.5">
      <c r="A375" s="158">
        <v>13</v>
      </c>
      <c r="B375" s="159"/>
      <c r="C375" s="159" t="str">
        <f t="shared" si="4"/>
        <v>（五）要保書、要保文件等其他基於保險契約所提供之個人資料。</v>
      </c>
    </row>
    <row r="376" spans="1:3" ht="16.5">
      <c r="A376" s="158">
        <v>14</v>
      </c>
      <c r="B376" s="159"/>
      <c r="C376" s="159" t="str">
        <f t="shared" si="4"/>
        <v>三、個人資料利用之期間、地區、對象、方式：</v>
      </c>
    </row>
    <row r="377" spans="1:3" ht="16.5">
      <c r="A377" s="158">
        <v>15</v>
      </c>
      <c r="B377" s="159"/>
      <c r="C377" s="159" t="str">
        <f t="shared" si="4"/>
        <v>（一）期間：因執行業務所必須及依法令規定應為保存之期間。</v>
      </c>
    </row>
    <row r="378" spans="1:3" ht="16.5">
      <c r="A378" s="158">
        <v>16</v>
      </c>
      <c r="B378" s="159"/>
      <c r="C378" s="159" t="str">
        <f t="shared" si="4"/>
        <v>（二）對象：本公司、中華民國人壽保險商業同業公會、財團法人保險事業發展</v>
      </c>
    </row>
    <row r="379" spans="1:3" ht="16.5">
      <c r="A379" s="158">
        <v>17</v>
      </c>
      <c r="B379" s="159"/>
      <c r="C379" s="159" t="str">
        <f t="shared" si="4"/>
        <v xml:space="preserve">      中心、財團法人金融消費評議中心、業務委外機構、臺灣網路認證(股)公司、</v>
      </c>
    </row>
    <row r="380" spans="1:3" ht="16.5">
      <c r="A380" s="158">
        <v>18</v>
      </c>
      <c r="B380" s="159"/>
      <c r="C380" s="159" t="str">
        <f t="shared" si="4"/>
        <v xml:space="preserve">      與本公司有再保業務往來之公司、依法有調查權機關或金融監理機關。</v>
      </c>
    </row>
    <row r="381" spans="1:3" ht="16.5">
      <c r="A381" s="158">
        <v>19</v>
      </c>
      <c r="B381" s="159"/>
      <c r="C381" s="159" t="str">
        <f t="shared" si="4"/>
        <v>（三）地區：上述對象所在之地區。</v>
      </c>
    </row>
    <row r="382" spans="1:3" ht="16.5">
      <c r="A382" s="158">
        <v>20</v>
      </c>
      <c r="B382" s="159"/>
      <c r="C382" s="159" t="str">
        <f t="shared" si="4"/>
        <v>（四）方式：合於法令規定之利用方式。</v>
      </c>
    </row>
    <row r="383" spans="1:3" ht="16.5">
      <c r="A383" s="158">
        <v>21</v>
      </c>
      <c r="B383" s="159"/>
      <c r="C383" s="159" t="str">
        <f t="shared" si="4"/>
        <v>四、依據個資法第三條規定，台端就本公司保有 台端之個人資料得行使之權利及</v>
      </c>
    </row>
    <row r="384" spans="1:3" ht="16.5">
      <c r="A384" s="158">
        <v>22</v>
      </c>
      <c r="B384" s="159"/>
      <c r="C384" s="159" t="str">
        <f t="shared" si="4"/>
        <v xml:space="preserve">    方式：</v>
      </c>
    </row>
    <row r="385" spans="1:3" ht="16.5">
      <c r="A385" s="158">
        <v>23</v>
      </c>
      <c r="B385" s="159"/>
      <c r="C385" s="159" t="str">
        <f t="shared" si="4"/>
        <v>（一）得向本公司行使之權利：</v>
      </c>
    </row>
    <row r="386" spans="1:3" ht="16.5">
      <c r="A386" s="158">
        <v>24</v>
      </c>
      <c r="B386" s="159"/>
      <c r="C386" s="159" t="str">
        <f t="shared" si="4"/>
        <v xml:space="preserve">      1.向本公司查詢、請求閱覽或請求製給複製本。</v>
      </c>
    </row>
    <row r="387" spans="1:3" ht="16.5">
      <c r="A387" s="158">
        <v>25</v>
      </c>
      <c r="B387" s="159"/>
      <c r="C387" s="159" t="str">
        <f t="shared" si="4"/>
        <v xml:space="preserve">      2.向本公司請求補充或更正。</v>
      </c>
    </row>
    <row r="388" spans="1:3" ht="16.5">
      <c r="A388" s="158">
        <v>26</v>
      </c>
      <c r="B388" s="159"/>
      <c r="C388" s="159" t="str">
        <f t="shared" si="4"/>
        <v xml:space="preserve">      3.向本公司請求停止蒐集、處理或利用及請求刪除。</v>
      </c>
    </row>
    <row r="389" spans="1:3" ht="16.5">
      <c r="A389" s="158">
        <v>27</v>
      </c>
      <c r="B389" s="159"/>
      <c r="C389" s="159" t="str">
        <f t="shared" si="4"/>
        <v>（二）行使權利之方式：</v>
      </c>
    </row>
    <row r="390" spans="1:3" ht="16.5">
      <c r="A390" s="158">
        <v>28</v>
      </c>
      <c r="B390" s="159"/>
      <c r="C390" s="159" t="str">
        <f t="shared" si="4"/>
        <v xml:space="preserve">      您可以透過書面（包含電子郵件、傳真、電子文件）方式行使權利。</v>
      </c>
    </row>
    <row r="391" spans="1:3" ht="16.5">
      <c r="A391" s="158">
        <v>29</v>
      </c>
      <c r="B391" s="159"/>
      <c r="C391" s="159" t="str">
        <f t="shared" si="4"/>
        <v>五、台端不提供個人資料所致權益之影響</v>
      </c>
    </row>
    <row r="392" spans="1:3" ht="16.5">
      <c r="A392" s="158">
        <v>30</v>
      </c>
      <c r="B392" s="159"/>
      <c r="C392" s="159" t="str">
        <f t="shared" si="4"/>
        <v xml:space="preserve">    台端若未能提供相關個人資料時，本公司將可能延後或無法進行必要之審核</v>
      </c>
    </row>
    <row r="393" spans="1:3" ht="16.5">
      <c r="A393" s="158">
        <v>31</v>
      </c>
      <c r="B393" s="159"/>
      <c r="C393" s="159" t="str">
        <f t="shared" si="4"/>
        <v xml:space="preserve">    及處理作業，因此可能婉謝承保、遲延或無法承保。</v>
      </c>
    </row>
    <row r="394" spans="1:3" ht="16.5">
      <c r="A394" s="158">
        <v>32</v>
      </c>
      <c r="B394" s="159"/>
      <c r="C394" s="159" t="str">
        <f t="shared" si="4"/>
        <v/>
      </c>
    </row>
    <row r="395" spans="1:3" ht="16.5">
      <c r="A395" s="158">
        <v>33</v>
      </c>
      <c r="B395" s="159"/>
      <c r="C395" s="159" t="str">
        <f t="shared" si="4"/>
        <v/>
      </c>
    </row>
    <row r="396" spans="1:3" ht="16.5">
      <c r="A396" s="158">
        <v>34</v>
      </c>
      <c r="B396" s="159"/>
      <c r="C396" s="159" t="str">
        <f t="shared" si="4"/>
        <v/>
      </c>
    </row>
    <row r="397" spans="1:3" ht="16.5">
      <c r="A397" s="158">
        <v>35</v>
      </c>
      <c r="B397" s="159"/>
      <c r="C397" s="159" t="str">
        <f t="shared" si="4"/>
        <v/>
      </c>
    </row>
    <row r="398" spans="1:3" ht="16.5">
      <c r="A398" s="158">
        <v>36</v>
      </c>
      <c r="B398" s="159"/>
      <c r="C398" s="159" t="str">
        <f t="shared" si="4"/>
        <v/>
      </c>
    </row>
    <row r="399" spans="1:3" ht="16.5">
      <c r="A399" s="158">
        <v>37</v>
      </c>
      <c r="B399" s="159"/>
      <c r="C399" s="159" t="str">
        <f t="shared" si="4"/>
        <v/>
      </c>
    </row>
    <row r="400" spans="1:3" ht="16.5">
      <c r="A400" s="158">
        <v>38</v>
      </c>
      <c r="B400" s="159"/>
      <c r="C400" s="159" t="str">
        <f t="shared" si="4"/>
        <v/>
      </c>
    </row>
    <row r="401" spans="1:23" ht="16.5">
      <c r="A401" s="158">
        <v>39</v>
      </c>
      <c r="B401" s="159"/>
      <c r="C401" s="159" t="str">
        <f t="shared" si="4"/>
        <v/>
      </c>
    </row>
    <row r="402" spans="1:23" ht="16.5">
      <c r="A402" s="158">
        <v>40</v>
      </c>
      <c r="B402" s="159"/>
      <c r="C402" s="159" t="str">
        <f t="shared" si="4"/>
        <v/>
      </c>
    </row>
    <row r="403" spans="1:23"/>
    <row r="404" spans="1:23"/>
    <row r="405" spans="1:23"/>
    <row r="406" spans="1:23"/>
    <row r="407" spans="1:23">
      <c r="L407" s="14"/>
      <c r="M407" s="206"/>
      <c r="N407" s="206"/>
      <c r="O407" s="206"/>
      <c r="P407" s="206"/>
      <c r="Q407" s="206"/>
      <c r="R407" s="206"/>
      <c r="S407" s="206"/>
      <c r="T407" s="206"/>
      <c r="U407" s="206"/>
      <c r="V407" s="206"/>
      <c r="W407" s="206"/>
    </row>
    <row r="408" spans="1:23">
      <c r="B408" s="486"/>
      <c r="C408" s="479"/>
      <c r="D408" s="479"/>
      <c r="E408" s="479"/>
      <c r="F408" s="479"/>
      <c r="G408" s="479"/>
      <c r="H408" s="479"/>
      <c r="I408" s="479"/>
      <c r="J408" s="479"/>
      <c r="K408" s="479"/>
      <c r="L408" s="487"/>
      <c r="M408" s="486"/>
      <c r="N408" s="479"/>
      <c r="O408" s="479"/>
      <c r="P408" s="479"/>
      <c r="Q408" s="479"/>
      <c r="R408" s="479"/>
      <c r="S408" s="479"/>
      <c r="T408" s="479"/>
      <c r="U408" s="479"/>
      <c r="V408" s="479"/>
      <c r="W408" s="487"/>
    </row>
    <row r="409" spans="1:23">
      <c r="B409" s="488" t="s">
        <v>940</v>
      </c>
      <c r="C409" s="8"/>
      <c r="D409" s="8"/>
      <c r="E409" s="8"/>
      <c r="F409" s="8"/>
      <c r="G409" s="8"/>
      <c r="H409" s="8"/>
      <c r="I409" s="8"/>
      <c r="J409" s="8"/>
      <c r="K409" s="8"/>
      <c r="L409" s="493"/>
      <c r="M409" s="488" t="s">
        <v>941</v>
      </c>
      <c r="N409" s="8"/>
      <c r="O409" s="8"/>
      <c r="P409" s="8"/>
      <c r="Q409" s="8"/>
      <c r="R409" s="8"/>
      <c r="S409" s="8"/>
      <c r="T409" s="8"/>
      <c r="U409" s="8"/>
      <c r="V409" s="8"/>
      <c r="W409" s="489"/>
    </row>
    <row r="410" spans="1:23">
      <c r="B410" s="488"/>
      <c r="C410" s="8"/>
      <c r="D410" s="8"/>
      <c r="E410" s="8"/>
      <c r="F410" s="8"/>
      <c r="G410" s="8"/>
      <c r="H410" s="8"/>
      <c r="I410" s="8"/>
      <c r="J410" s="8"/>
      <c r="K410" s="8"/>
      <c r="L410" s="489"/>
      <c r="M410" s="488"/>
      <c r="N410" s="8"/>
      <c r="O410" s="8"/>
      <c r="P410" s="8"/>
      <c r="Q410" s="8"/>
      <c r="R410" s="8"/>
      <c r="S410" s="8"/>
      <c r="T410" s="8"/>
      <c r="U410" s="8"/>
      <c r="V410" s="8"/>
      <c r="W410" s="489"/>
    </row>
    <row r="411" spans="1:23">
      <c r="B411" s="488"/>
      <c r="C411" s="8"/>
      <c r="D411" s="8"/>
      <c r="E411" s="8"/>
      <c r="F411" s="8"/>
      <c r="G411" s="8"/>
      <c r="H411" s="8"/>
      <c r="I411" s="8"/>
      <c r="J411" s="8"/>
      <c r="K411" s="8"/>
      <c r="L411" s="489"/>
      <c r="M411" s="488"/>
      <c r="N411" s="8"/>
      <c r="O411" s="8"/>
      <c r="P411" s="8"/>
      <c r="Q411" s="8"/>
      <c r="R411" s="8"/>
      <c r="S411" s="8"/>
      <c r="T411" s="8"/>
      <c r="U411" s="8"/>
      <c r="V411" s="8"/>
      <c r="W411" s="489"/>
    </row>
    <row r="412" spans="1:23">
      <c r="B412" s="488"/>
      <c r="C412" s="193" t="s">
        <v>306</v>
      </c>
      <c r="D412" s="8"/>
      <c r="E412" s="8"/>
      <c r="F412" s="8"/>
      <c r="G412" s="8"/>
      <c r="H412" s="8"/>
      <c r="I412" s="8"/>
      <c r="J412" s="8"/>
      <c r="K412" s="8"/>
      <c r="L412" s="489"/>
      <c r="M412" s="490" t="s">
        <v>1043</v>
      </c>
      <c r="N412" s="193"/>
      <c r="O412" s="193"/>
      <c r="P412" s="193"/>
      <c r="Q412" s="193"/>
      <c r="R412" s="8"/>
      <c r="S412" s="8"/>
      <c r="T412" s="8"/>
      <c r="U412" s="8"/>
      <c r="V412" s="8"/>
      <c r="W412" s="489"/>
    </row>
    <row r="413" spans="1:23">
      <c r="B413" s="491"/>
      <c r="C413" s="207"/>
      <c r="D413" s="207"/>
      <c r="E413" s="207"/>
      <c r="F413" s="207"/>
      <c r="G413" s="207"/>
      <c r="H413" s="207"/>
      <c r="I413" s="207"/>
      <c r="J413" s="207"/>
      <c r="K413" s="207"/>
      <c r="L413" s="492"/>
      <c r="M413" s="491"/>
      <c r="N413" s="207"/>
      <c r="O413" s="207"/>
      <c r="P413" s="207"/>
      <c r="Q413" s="207"/>
      <c r="R413" s="207"/>
      <c r="S413" s="207"/>
      <c r="T413" s="207"/>
      <c r="U413" s="207"/>
      <c r="V413" s="207"/>
      <c r="W413" s="492"/>
    </row>
    <row r="414" spans="1:23">
      <c r="W414" s="161" t="str">
        <f ca="1">"富邦人壽提供，"&amp;OP!$C$54&amp;" 試算日："&amp;OP!$D$121</f>
        <v>富邦人壽提供，V1.2-1150101 試算日：1150101</v>
      </c>
    </row>
    <row r="415" spans="1:23" ht="15.75" customHeight="1">
      <c r="W415" s="14"/>
    </row>
  </sheetData>
  <sheetProtection algorithmName="SHA-512" hashValue="RR2L99g0AmfYD/wJ1/sSjlYUQUy74QVzVBSkZlvNzcI3KiN8BApNu2fURAaWyHuY2gieIWoDiOhmAVLjU6kbpA==" saltValue="hL2RaT29F5Mqe+4klb+dPw==" spinCount="100000" sheet="1" objects="1" scenarios="1" selectLockedCells="1" selectUnlockedCells="1"/>
  <mergeCells count="1690">
    <mergeCell ref="V200:W200"/>
    <mergeCell ref="V201:W201"/>
    <mergeCell ref="V202:W202"/>
    <mergeCell ref="V203:W203"/>
    <mergeCell ref="V204:W204"/>
    <mergeCell ref="V205:W205"/>
    <mergeCell ref="V206:W206"/>
    <mergeCell ref="V207:W207"/>
    <mergeCell ref="V208:W208"/>
    <mergeCell ref="V209:W209"/>
    <mergeCell ref="V210:W210"/>
    <mergeCell ref="V211:W211"/>
    <mergeCell ref="V212:W212"/>
    <mergeCell ref="V213:W213"/>
    <mergeCell ref="V214:W214"/>
    <mergeCell ref="V215:W215"/>
    <mergeCell ref="L228:M228"/>
    <mergeCell ref="L229:M229"/>
    <mergeCell ref="L219:M219"/>
    <mergeCell ref="L220:M220"/>
    <mergeCell ref="L221:M221"/>
    <mergeCell ref="L222:M222"/>
    <mergeCell ref="L223:M223"/>
    <mergeCell ref="L224:M224"/>
    <mergeCell ref="L225:M225"/>
    <mergeCell ref="L226:M226"/>
    <mergeCell ref="V216:W216"/>
    <mergeCell ref="V217:W217"/>
    <mergeCell ref="V218:W218"/>
    <mergeCell ref="V228:W228"/>
    <mergeCell ref="V229:W229"/>
    <mergeCell ref="V219:W219"/>
    <mergeCell ref="V220:W220"/>
    <mergeCell ref="V221:W221"/>
    <mergeCell ref="V222:W222"/>
    <mergeCell ref="V223:W223"/>
    <mergeCell ref="V224:W224"/>
    <mergeCell ref="V225:W225"/>
    <mergeCell ref="V226:W226"/>
    <mergeCell ref="V227:W227"/>
    <mergeCell ref="L193:M193"/>
    <mergeCell ref="V174:W174"/>
    <mergeCell ref="V175:W175"/>
    <mergeCell ref="V176:W176"/>
    <mergeCell ref="V177:W177"/>
    <mergeCell ref="V178:W178"/>
    <mergeCell ref="V190:W190"/>
    <mergeCell ref="V191:W191"/>
    <mergeCell ref="V192:W192"/>
    <mergeCell ref="V193:W193"/>
    <mergeCell ref="V194:W194"/>
    <mergeCell ref="B183:W183"/>
    <mergeCell ref="B187:B189"/>
    <mergeCell ref="C187:C189"/>
    <mergeCell ref="L189:M189"/>
    <mergeCell ref="L227:M227"/>
    <mergeCell ref="L200:M200"/>
    <mergeCell ref="L201:M201"/>
    <mergeCell ref="L202:M202"/>
    <mergeCell ref="L203:M203"/>
    <mergeCell ref="L204:M204"/>
    <mergeCell ref="L205:M205"/>
    <mergeCell ref="L206:M206"/>
    <mergeCell ref="L207:M207"/>
    <mergeCell ref="L208:M208"/>
    <mergeCell ref="L209:M209"/>
    <mergeCell ref="L210:M210"/>
    <mergeCell ref="L211:M211"/>
    <mergeCell ref="L212:M212"/>
    <mergeCell ref="L213:M213"/>
    <mergeCell ref="L214:M214"/>
    <mergeCell ref="L215:M215"/>
    <mergeCell ref="C325:D325"/>
    <mergeCell ref="V101:W101"/>
    <mergeCell ref="D105:E105"/>
    <mergeCell ref="V105:W105"/>
    <mergeCell ref="D106:E106"/>
    <mergeCell ref="V106:W106"/>
    <mergeCell ref="D103:E103"/>
    <mergeCell ref="V103:W103"/>
    <mergeCell ref="D104:E104"/>
    <mergeCell ref="V104:W104"/>
    <mergeCell ref="F103:G103"/>
    <mergeCell ref="H103:I103"/>
    <mergeCell ref="J103:K103"/>
    <mergeCell ref="D110:E110"/>
    <mergeCell ref="V110:W110"/>
    <mergeCell ref="D108:E108"/>
    <mergeCell ref="V108:W108"/>
    <mergeCell ref="D109:E109"/>
    <mergeCell ref="V109:W109"/>
    <mergeCell ref="F109:G109"/>
    <mergeCell ref="H109:I109"/>
    <mergeCell ref="J109:K109"/>
    <mergeCell ref="L109:M109"/>
    <mergeCell ref="N109:O109"/>
    <mergeCell ref="P109:Q109"/>
    <mergeCell ref="R109:S109"/>
    <mergeCell ref="T109:U109"/>
    <mergeCell ref="F110:G110"/>
    <mergeCell ref="H110:I110"/>
    <mergeCell ref="J110:K110"/>
    <mergeCell ref="L110:M110"/>
    <mergeCell ref="N110:O110"/>
    <mergeCell ref="C317:D317"/>
    <mergeCell ref="D88:E88"/>
    <mergeCell ref="D98:E98"/>
    <mergeCell ref="B241:W241"/>
    <mergeCell ref="V195:W195"/>
    <mergeCell ref="L195:M195"/>
    <mergeCell ref="L196:M196"/>
    <mergeCell ref="V196:W196"/>
    <mergeCell ref="C318:D318"/>
    <mergeCell ref="C319:D319"/>
    <mergeCell ref="E318:G318"/>
    <mergeCell ref="E319:G319"/>
    <mergeCell ref="E320:G320"/>
    <mergeCell ref="E321:G321"/>
    <mergeCell ref="E322:G322"/>
    <mergeCell ref="E323:G323"/>
    <mergeCell ref="E324:G324"/>
    <mergeCell ref="K323:M323"/>
    <mergeCell ref="N323:P323"/>
    <mergeCell ref="Q323:S323"/>
    <mergeCell ref="T323:V323"/>
    <mergeCell ref="H324:J324"/>
    <mergeCell ref="C320:D320"/>
    <mergeCell ref="C321:D321"/>
    <mergeCell ref="C322:D322"/>
    <mergeCell ref="C323:D323"/>
    <mergeCell ref="C324:D324"/>
    <mergeCell ref="P110:Q110"/>
    <mergeCell ref="D111:E111"/>
    <mergeCell ref="V111:W111"/>
    <mergeCell ref="V173:W173"/>
    <mergeCell ref="L194:M194"/>
    <mergeCell ref="V199:W199"/>
    <mergeCell ref="L199:M199"/>
    <mergeCell ref="V198:W198"/>
    <mergeCell ref="V197:W197"/>
    <mergeCell ref="L197:M197"/>
    <mergeCell ref="L198:M198"/>
    <mergeCell ref="D198:F198"/>
    <mergeCell ref="G198:H198"/>
    <mergeCell ref="I198:K198"/>
    <mergeCell ref="N198:P198"/>
    <mergeCell ref="Q198:R198"/>
    <mergeCell ref="S198:U198"/>
    <mergeCell ref="D199:F199"/>
    <mergeCell ref="G199:H199"/>
    <mergeCell ref="D74:E74"/>
    <mergeCell ref="V74:W74"/>
    <mergeCell ref="V79:W79"/>
    <mergeCell ref="D83:E83"/>
    <mergeCell ref="V83:W83"/>
    <mergeCell ref="D84:E84"/>
    <mergeCell ref="V84:W84"/>
    <mergeCell ref="D76:E76"/>
    <mergeCell ref="V76:W76"/>
    <mergeCell ref="D77:E77"/>
    <mergeCell ref="L174:M174"/>
    <mergeCell ref="L175:M175"/>
    <mergeCell ref="L176:M176"/>
    <mergeCell ref="L177:M177"/>
    <mergeCell ref="L178:M178"/>
    <mergeCell ref="L190:M190"/>
    <mergeCell ref="L191:M191"/>
    <mergeCell ref="L192:M192"/>
    <mergeCell ref="V168:W168"/>
    <mergeCell ref="L168:M168"/>
    <mergeCell ref="L169:M169"/>
    <mergeCell ref="V167:W167"/>
    <mergeCell ref="V166:W166"/>
    <mergeCell ref="L166:M166"/>
    <mergeCell ref="L167:M167"/>
    <mergeCell ref="D169:F169"/>
    <mergeCell ref="G169:H169"/>
    <mergeCell ref="I169:K169"/>
    <mergeCell ref="N169:P169"/>
    <mergeCell ref="Q169:R169"/>
    <mergeCell ref="V171:W171"/>
    <mergeCell ref="V170:W170"/>
    <mergeCell ref="L170:M170"/>
    <mergeCell ref="L171:M171"/>
    <mergeCell ref="V169:W169"/>
    <mergeCell ref="S169:U169"/>
    <mergeCell ref="D170:F170"/>
    <mergeCell ref="G170:H170"/>
    <mergeCell ref="I170:K170"/>
    <mergeCell ref="N170:P170"/>
    <mergeCell ref="Q170:R170"/>
    <mergeCell ref="S170:U170"/>
    <mergeCell ref="D171:F171"/>
    <mergeCell ref="G171:H171"/>
    <mergeCell ref="I171:K171"/>
    <mergeCell ref="N171:P171"/>
    <mergeCell ref="G168:H168"/>
    <mergeCell ref="I168:K168"/>
    <mergeCell ref="V162:W162"/>
    <mergeCell ref="L162:M162"/>
    <mergeCell ref="L163:M163"/>
    <mergeCell ref="V161:W161"/>
    <mergeCell ref="V160:W160"/>
    <mergeCell ref="L160:M160"/>
    <mergeCell ref="L161:M161"/>
    <mergeCell ref="D163:F163"/>
    <mergeCell ref="G163:H163"/>
    <mergeCell ref="I163:K163"/>
    <mergeCell ref="N163:P163"/>
    <mergeCell ref="Q163:R163"/>
    <mergeCell ref="V165:W165"/>
    <mergeCell ref="V164:W164"/>
    <mergeCell ref="L164:M164"/>
    <mergeCell ref="L165:M165"/>
    <mergeCell ref="V163:W163"/>
    <mergeCell ref="S163:U163"/>
    <mergeCell ref="D164:F164"/>
    <mergeCell ref="G164:H164"/>
    <mergeCell ref="I164:K164"/>
    <mergeCell ref="N164:P164"/>
    <mergeCell ref="Q164:R164"/>
    <mergeCell ref="S164:U164"/>
    <mergeCell ref="D165:F165"/>
    <mergeCell ref="G165:H165"/>
    <mergeCell ref="I165:K165"/>
    <mergeCell ref="N165:P165"/>
    <mergeCell ref="D162:F162"/>
    <mergeCell ref="G162:H162"/>
    <mergeCell ref="I162:K162"/>
    <mergeCell ref="N162:P162"/>
    <mergeCell ref="V156:W156"/>
    <mergeCell ref="L156:M156"/>
    <mergeCell ref="L157:M157"/>
    <mergeCell ref="V155:W155"/>
    <mergeCell ref="V154:W154"/>
    <mergeCell ref="L154:M154"/>
    <mergeCell ref="L155:M155"/>
    <mergeCell ref="D157:F157"/>
    <mergeCell ref="G157:H157"/>
    <mergeCell ref="I157:K157"/>
    <mergeCell ref="N157:P157"/>
    <mergeCell ref="Q157:R157"/>
    <mergeCell ref="V159:W159"/>
    <mergeCell ref="V158:W158"/>
    <mergeCell ref="L158:M158"/>
    <mergeCell ref="L159:M159"/>
    <mergeCell ref="V157:W157"/>
    <mergeCell ref="S157:U157"/>
    <mergeCell ref="D158:F158"/>
    <mergeCell ref="G158:H158"/>
    <mergeCell ref="I158:K158"/>
    <mergeCell ref="N158:P158"/>
    <mergeCell ref="Q158:R158"/>
    <mergeCell ref="S158:U158"/>
    <mergeCell ref="D159:F159"/>
    <mergeCell ref="G159:H159"/>
    <mergeCell ref="I159:K159"/>
    <mergeCell ref="N159:P159"/>
    <mergeCell ref="D155:F155"/>
    <mergeCell ref="G155:H155"/>
    <mergeCell ref="I155:K155"/>
    <mergeCell ref="N155:P155"/>
    <mergeCell ref="Q145:R145"/>
    <mergeCell ref="S145:U145"/>
    <mergeCell ref="V150:W150"/>
    <mergeCell ref="L150:M150"/>
    <mergeCell ref="L151:M151"/>
    <mergeCell ref="V149:W149"/>
    <mergeCell ref="V148:W148"/>
    <mergeCell ref="L148:M148"/>
    <mergeCell ref="L149:M149"/>
    <mergeCell ref="D148:F148"/>
    <mergeCell ref="G148:H148"/>
    <mergeCell ref="I148:K148"/>
    <mergeCell ref="N148:P148"/>
    <mergeCell ref="Q148:R148"/>
    <mergeCell ref="V153:W153"/>
    <mergeCell ref="V152:W152"/>
    <mergeCell ref="L152:M152"/>
    <mergeCell ref="L153:M153"/>
    <mergeCell ref="V151:W151"/>
    <mergeCell ref="D152:F152"/>
    <mergeCell ref="G152:H152"/>
    <mergeCell ref="I152:K152"/>
    <mergeCell ref="N152:P152"/>
    <mergeCell ref="Q152:R152"/>
    <mergeCell ref="S152:U152"/>
    <mergeCell ref="D153:F153"/>
    <mergeCell ref="G153:H153"/>
    <mergeCell ref="I153:K153"/>
    <mergeCell ref="N153:P153"/>
    <mergeCell ref="Q153:R153"/>
    <mergeCell ref="S148:U148"/>
    <mergeCell ref="D149:F149"/>
    <mergeCell ref="D31:E31"/>
    <mergeCell ref="V31:W31"/>
    <mergeCell ref="D26:E26"/>
    <mergeCell ref="V26:W26"/>
    <mergeCell ref="V143:W143"/>
    <mergeCell ref="V142:W142"/>
    <mergeCell ref="D142:F142"/>
    <mergeCell ref="G142:H142"/>
    <mergeCell ref="I142:K142"/>
    <mergeCell ref="N142:P142"/>
    <mergeCell ref="Q142:R142"/>
    <mergeCell ref="V147:W147"/>
    <mergeCell ref="V146:W146"/>
    <mergeCell ref="L146:M146"/>
    <mergeCell ref="L147:M147"/>
    <mergeCell ref="V145:W145"/>
    <mergeCell ref="D146:F146"/>
    <mergeCell ref="G146:H146"/>
    <mergeCell ref="I146:K146"/>
    <mergeCell ref="N146:P146"/>
    <mergeCell ref="Q146:R146"/>
    <mergeCell ref="S146:U146"/>
    <mergeCell ref="D147:F147"/>
    <mergeCell ref="G147:H147"/>
    <mergeCell ref="I147:K147"/>
    <mergeCell ref="N147:P147"/>
    <mergeCell ref="Q147:R147"/>
    <mergeCell ref="S147:U147"/>
    <mergeCell ref="D145:F145"/>
    <mergeCell ref="G145:H145"/>
    <mergeCell ref="I145:K145"/>
    <mergeCell ref="N145:P145"/>
    <mergeCell ref="V144:W144"/>
    <mergeCell ref="L144:M144"/>
    <mergeCell ref="L145:M145"/>
    <mergeCell ref="V140:W140"/>
    <mergeCell ref="B2:W2"/>
    <mergeCell ref="T5:W5"/>
    <mergeCell ref="B9:W9"/>
    <mergeCell ref="T6:W6"/>
    <mergeCell ref="B8:W8"/>
    <mergeCell ref="B19:D19"/>
    <mergeCell ref="B10:T10"/>
    <mergeCell ref="B17:W17"/>
    <mergeCell ref="B21:B22"/>
    <mergeCell ref="C21:C22"/>
    <mergeCell ref="E19:W19"/>
    <mergeCell ref="B11:W11"/>
    <mergeCell ref="D21:E22"/>
    <mergeCell ref="V21:W22"/>
    <mergeCell ref="V137:W137"/>
    <mergeCell ref="V136:W136"/>
    <mergeCell ref="L136:M136"/>
    <mergeCell ref="L137:M137"/>
    <mergeCell ref="D137:F137"/>
    <mergeCell ref="G137:H137"/>
    <mergeCell ref="I137:K137"/>
    <mergeCell ref="N137:P137"/>
    <mergeCell ref="Q137:R137"/>
    <mergeCell ref="S137:U137"/>
    <mergeCell ref="D29:E29"/>
    <mergeCell ref="V29:W29"/>
    <mergeCell ref="D30:E30"/>
    <mergeCell ref="V30:W30"/>
    <mergeCell ref="D32:E32"/>
    <mergeCell ref="V32:W32"/>
    <mergeCell ref="D33:E33"/>
    <mergeCell ref="V33:W33"/>
    <mergeCell ref="D34:E34"/>
    <mergeCell ref="V34:W34"/>
    <mergeCell ref="N32:O32"/>
    <mergeCell ref="P32:Q32"/>
    <mergeCell ref="B363:W363"/>
    <mergeCell ref="B359:W359"/>
    <mergeCell ref="B244:W244"/>
    <mergeCell ref="B125:W125"/>
    <mergeCell ref="B65:B66"/>
    <mergeCell ref="C65:C66"/>
    <mergeCell ref="B300:W300"/>
    <mergeCell ref="B131:B133"/>
    <mergeCell ref="C131:C133"/>
    <mergeCell ref="V135:W135"/>
    <mergeCell ref="V134:W134"/>
    <mergeCell ref="V133:W133"/>
    <mergeCell ref="L135:M135"/>
    <mergeCell ref="L133:M133"/>
    <mergeCell ref="L134:M134"/>
    <mergeCell ref="L140:M140"/>
    <mergeCell ref="L141:M141"/>
    <mergeCell ref="L138:M138"/>
    <mergeCell ref="L139:M139"/>
    <mergeCell ref="V139:W139"/>
    <mergeCell ref="V138:W138"/>
    <mergeCell ref="V141:W141"/>
    <mergeCell ref="L142:M142"/>
    <mergeCell ref="L143:M143"/>
    <mergeCell ref="F33:G33"/>
    <mergeCell ref="F34:G34"/>
    <mergeCell ref="F35:G35"/>
    <mergeCell ref="F36:G36"/>
    <mergeCell ref="F37:G37"/>
    <mergeCell ref="F38:G38"/>
    <mergeCell ref="F39:G39"/>
    <mergeCell ref="F40:G40"/>
    <mergeCell ref="R33:S33"/>
    <mergeCell ref="R34:S34"/>
    <mergeCell ref="N33:O33"/>
    <mergeCell ref="D27:E27"/>
    <mergeCell ref="V27:W27"/>
    <mergeCell ref="D28:E28"/>
    <mergeCell ref="V28:W28"/>
    <mergeCell ref="D23:E23"/>
    <mergeCell ref="V23:W23"/>
    <mergeCell ref="D24:E24"/>
    <mergeCell ref="V24:W24"/>
    <mergeCell ref="D25:E25"/>
    <mergeCell ref="V25:W25"/>
    <mergeCell ref="D35:E35"/>
    <mergeCell ref="V35:W35"/>
    <mergeCell ref="D36:E36"/>
    <mergeCell ref="V36:W36"/>
    <mergeCell ref="D37:E37"/>
    <mergeCell ref="V37:W37"/>
    <mergeCell ref="J37:K37"/>
    <mergeCell ref="L37:M37"/>
    <mergeCell ref="N35:O35"/>
    <mergeCell ref="P35:Q35"/>
    <mergeCell ref="N36:O36"/>
    <mergeCell ref="D38:E38"/>
    <mergeCell ref="V38:W38"/>
    <mergeCell ref="D39:E39"/>
    <mergeCell ref="V39:W39"/>
    <mergeCell ref="D40:E40"/>
    <mergeCell ref="V40:W40"/>
    <mergeCell ref="J38:K38"/>
    <mergeCell ref="L38:M38"/>
    <mergeCell ref="J39:K39"/>
    <mergeCell ref="L39:M39"/>
    <mergeCell ref="J40:K40"/>
    <mergeCell ref="L40:M40"/>
    <mergeCell ref="N38:O38"/>
    <mergeCell ref="P38:Q38"/>
    <mergeCell ref="N39:O39"/>
    <mergeCell ref="P39:Q39"/>
    <mergeCell ref="N40:O40"/>
    <mergeCell ref="P40:Q40"/>
    <mergeCell ref="D41:E41"/>
    <mergeCell ref="V41:W41"/>
    <mergeCell ref="D42:E42"/>
    <mergeCell ref="V42:W42"/>
    <mergeCell ref="D43:E43"/>
    <mergeCell ref="V43:W43"/>
    <mergeCell ref="J41:K41"/>
    <mergeCell ref="L41:M41"/>
    <mergeCell ref="J42:K42"/>
    <mergeCell ref="L42:M42"/>
    <mergeCell ref="J43:K43"/>
    <mergeCell ref="L43:M43"/>
    <mergeCell ref="N41:O41"/>
    <mergeCell ref="P41:Q41"/>
    <mergeCell ref="N42:O42"/>
    <mergeCell ref="P42:Q42"/>
    <mergeCell ref="N43:O43"/>
    <mergeCell ref="P43:Q43"/>
    <mergeCell ref="F41:G41"/>
    <mergeCell ref="F42:G42"/>
    <mergeCell ref="F43:G43"/>
    <mergeCell ref="T42:U42"/>
    <mergeCell ref="T43:U43"/>
    <mergeCell ref="H41:I41"/>
    <mergeCell ref="H42:I42"/>
    <mergeCell ref="H43:I43"/>
    <mergeCell ref="D44:E44"/>
    <mergeCell ref="V44:W44"/>
    <mergeCell ref="D45:E45"/>
    <mergeCell ref="V45:W45"/>
    <mergeCell ref="D46:E46"/>
    <mergeCell ref="V46:W46"/>
    <mergeCell ref="F44:G44"/>
    <mergeCell ref="F45:G45"/>
    <mergeCell ref="F46:G46"/>
    <mergeCell ref="J44:K44"/>
    <mergeCell ref="L44:M44"/>
    <mergeCell ref="J45:K45"/>
    <mergeCell ref="L45:M45"/>
    <mergeCell ref="J46:K46"/>
    <mergeCell ref="L46:M46"/>
    <mergeCell ref="N44:O44"/>
    <mergeCell ref="P44:Q44"/>
    <mergeCell ref="N45:O45"/>
    <mergeCell ref="P45:Q45"/>
    <mergeCell ref="N46:O46"/>
    <mergeCell ref="P46:Q46"/>
    <mergeCell ref="T44:U44"/>
    <mergeCell ref="T45:U45"/>
    <mergeCell ref="T46:U46"/>
    <mergeCell ref="H44:I44"/>
    <mergeCell ref="H45:I45"/>
    <mergeCell ref="H46:I46"/>
    <mergeCell ref="D50:E50"/>
    <mergeCell ref="V50:W50"/>
    <mergeCell ref="D51:E51"/>
    <mergeCell ref="V51:W51"/>
    <mergeCell ref="D52:E52"/>
    <mergeCell ref="V52:W52"/>
    <mergeCell ref="F50:G50"/>
    <mergeCell ref="F51:G51"/>
    <mergeCell ref="F52:G52"/>
    <mergeCell ref="J50:K50"/>
    <mergeCell ref="L50:M50"/>
    <mergeCell ref="J51:K51"/>
    <mergeCell ref="L51:M51"/>
    <mergeCell ref="J52:K52"/>
    <mergeCell ref="L52:M52"/>
    <mergeCell ref="D47:E47"/>
    <mergeCell ref="V47:W47"/>
    <mergeCell ref="D48:E48"/>
    <mergeCell ref="V48:W48"/>
    <mergeCell ref="D49:E49"/>
    <mergeCell ref="V49:W49"/>
    <mergeCell ref="F47:G47"/>
    <mergeCell ref="F48:G48"/>
    <mergeCell ref="F49:G49"/>
    <mergeCell ref="J47:K47"/>
    <mergeCell ref="L47:M47"/>
    <mergeCell ref="J48:K48"/>
    <mergeCell ref="L48:M48"/>
    <mergeCell ref="J49:K49"/>
    <mergeCell ref="L49:M49"/>
    <mergeCell ref="H52:I52"/>
    <mergeCell ref="R52:S52"/>
    <mergeCell ref="D53:E53"/>
    <mergeCell ref="V53:W53"/>
    <mergeCell ref="D54:E54"/>
    <mergeCell ref="V54:W54"/>
    <mergeCell ref="D55:E55"/>
    <mergeCell ref="V55:W55"/>
    <mergeCell ref="F53:G53"/>
    <mergeCell ref="F54:G54"/>
    <mergeCell ref="F55:G55"/>
    <mergeCell ref="H55:I55"/>
    <mergeCell ref="R55:S55"/>
    <mergeCell ref="T55:U55"/>
    <mergeCell ref="J53:K53"/>
    <mergeCell ref="L53:M53"/>
    <mergeCell ref="J54:K54"/>
    <mergeCell ref="L54:M54"/>
    <mergeCell ref="J55:K55"/>
    <mergeCell ref="L55:M55"/>
    <mergeCell ref="N55:O55"/>
    <mergeCell ref="P55:Q55"/>
    <mergeCell ref="H53:I53"/>
    <mergeCell ref="H54:I54"/>
    <mergeCell ref="T53:U53"/>
    <mergeCell ref="T54:U54"/>
    <mergeCell ref="R53:S53"/>
    <mergeCell ref="R54:S54"/>
    <mergeCell ref="D56:E56"/>
    <mergeCell ref="V56:W56"/>
    <mergeCell ref="D57:E57"/>
    <mergeCell ref="V57:W57"/>
    <mergeCell ref="D67:E67"/>
    <mergeCell ref="V67:W67"/>
    <mergeCell ref="F56:G56"/>
    <mergeCell ref="F57:G57"/>
    <mergeCell ref="F67:G67"/>
    <mergeCell ref="H56:I56"/>
    <mergeCell ref="H57:I57"/>
    <mergeCell ref="H67:I67"/>
    <mergeCell ref="R56:S56"/>
    <mergeCell ref="R57:S57"/>
    <mergeCell ref="R67:S67"/>
    <mergeCell ref="T56:U56"/>
    <mergeCell ref="T57:U57"/>
    <mergeCell ref="T67:U67"/>
    <mergeCell ref="J56:K56"/>
    <mergeCell ref="L56:M56"/>
    <mergeCell ref="N57:O57"/>
    <mergeCell ref="P57:Q57"/>
    <mergeCell ref="P67:Q67"/>
    <mergeCell ref="R65:S66"/>
    <mergeCell ref="T65:U66"/>
    <mergeCell ref="N56:O56"/>
    <mergeCell ref="P56:Q56"/>
    <mergeCell ref="D71:E71"/>
    <mergeCell ref="V71:W71"/>
    <mergeCell ref="D72:E72"/>
    <mergeCell ref="V72:W72"/>
    <mergeCell ref="D75:E75"/>
    <mergeCell ref="V75:W75"/>
    <mergeCell ref="B62:W62"/>
    <mergeCell ref="D65:E66"/>
    <mergeCell ref="V65:W66"/>
    <mergeCell ref="D73:E73"/>
    <mergeCell ref="V73:W73"/>
    <mergeCell ref="D68:E68"/>
    <mergeCell ref="V68:W68"/>
    <mergeCell ref="D69:E69"/>
    <mergeCell ref="V69:W69"/>
    <mergeCell ref="D70:E70"/>
    <mergeCell ref="V70:W70"/>
    <mergeCell ref="F68:G68"/>
    <mergeCell ref="F69:G69"/>
    <mergeCell ref="F70:G70"/>
    <mergeCell ref="H68:I68"/>
    <mergeCell ref="H69:I69"/>
    <mergeCell ref="H70:I70"/>
    <mergeCell ref="R68:S68"/>
    <mergeCell ref="R69:S69"/>
    <mergeCell ref="R70:S70"/>
    <mergeCell ref="T68:U68"/>
    <mergeCell ref="T69:U69"/>
    <mergeCell ref="T70:U70"/>
    <mergeCell ref="H71:I71"/>
    <mergeCell ref="T71:U71"/>
    <mergeCell ref="N67:O67"/>
    <mergeCell ref="V77:W77"/>
    <mergeCell ref="D80:E80"/>
    <mergeCell ref="V80:W80"/>
    <mergeCell ref="D78:E78"/>
    <mergeCell ref="V78:W78"/>
    <mergeCell ref="D79:E79"/>
    <mergeCell ref="D81:E81"/>
    <mergeCell ref="V81:W81"/>
    <mergeCell ref="F77:G77"/>
    <mergeCell ref="H77:I77"/>
    <mergeCell ref="J77:K77"/>
    <mergeCell ref="L77:M77"/>
    <mergeCell ref="N77:O77"/>
    <mergeCell ref="P77:Q77"/>
    <mergeCell ref="R77:S77"/>
    <mergeCell ref="T77:U77"/>
    <mergeCell ref="F78:G78"/>
    <mergeCell ref="H78:I78"/>
    <mergeCell ref="F79:G79"/>
    <mergeCell ref="H79:I79"/>
    <mergeCell ref="J79:K79"/>
    <mergeCell ref="L79:M79"/>
    <mergeCell ref="N79:O79"/>
    <mergeCell ref="P79:Q79"/>
    <mergeCell ref="R79:S79"/>
    <mergeCell ref="T79:U79"/>
    <mergeCell ref="F80:G80"/>
    <mergeCell ref="H80:I80"/>
    <mergeCell ref="J80:K80"/>
    <mergeCell ref="L80:M80"/>
    <mergeCell ref="N80:O80"/>
    <mergeCell ref="P80:Q80"/>
    <mergeCell ref="D82:E82"/>
    <mergeCell ref="V82:W82"/>
    <mergeCell ref="D85:E85"/>
    <mergeCell ref="V85:W85"/>
    <mergeCell ref="D86:E86"/>
    <mergeCell ref="V86:W86"/>
    <mergeCell ref="F84:G84"/>
    <mergeCell ref="H84:I84"/>
    <mergeCell ref="J84:K84"/>
    <mergeCell ref="L84:M84"/>
    <mergeCell ref="N84:O84"/>
    <mergeCell ref="P84:Q84"/>
    <mergeCell ref="R84:S84"/>
    <mergeCell ref="T84:U84"/>
    <mergeCell ref="F85:G85"/>
    <mergeCell ref="H85:I85"/>
    <mergeCell ref="J85:K85"/>
    <mergeCell ref="L85:M85"/>
    <mergeCell ref="N85:O85"/>
    <mergeCell ref="P85:Q85"/>
    <mergeCell ref="F83:G83"/>
    <mergeCell ref="H83:I83"/>
    <mergeCell ref="J83:K83"/>
    <mergeCell ref="L83:M83"/>
    <mergeCell ref="N83:O83"/>
    <mergeCell ref="P83:Q83"/>
    <mergeCell ref="R83:S83"/>
    <mergeCell ref="T83:U83"/>
    <mergeCell ref="R85:S85"/>
    <mergeCell ref="T85:U85"/>
    <mergeCell ref="F86:G86"/>
    <mergeCell ref="H86:I86"/>
    <mergeCell ref="D87:E87"/>
    <mergeCell ref="V87:W87"/>
    <mergeCell ref="V88:W88"/>
    <mergeCell ref="D89:E89"/>
    <mergeCell ref="V89:W89"/>
    <mergeCell ref="D90:E90"/>
    <mergeCell ref="V90:W90"/>
    <mergeCell ref="F88:G88"/>
    <mergeCell ref="H88:I88"/>
    <mergeCell ref="J88:K88"/>
    <mergeCell ref="L88:M88"/>
    <mergeCell ref="N88:O88"/>
    <mergeCell ref="P88:Q88"/>
    <mergeCell ref="R88:S88"/>
    <mergeCell ref="T88:U88"/>
    <mergeCell ref="F89:G89"/>
    <mergeCell ref="H89:I89"/>
    <mergeCell ref="J89:K89"/>
    <mergeCell ref="L89:M89"/>
    <mergeCell ref="F90:G90"/>
    <mergeCell ref="H90:I90"/>
    <mergeCell ref="J90:K90"/>
    <mergeCell ref="L90:M90"/>
    <mergeCell ref="N90:O90"/>
    <mergeCell ref="P90:Q90"/>
    <mergeCell ref="R90:S90"/>
    <mergeCell ref="T90:U90"/>
    <mergeCell ref="D91:E91"/>
    <mergeCell ref="V91:W91"/>
    <mergeCell ref="D92:E92"/>
    <mergeCell ref="V92:W92"/>
    <mergeCell ref="D93:E93"/>
    <mergeCell ref="V93:W93"/>
    <mergeCell ref="F92:G92"/>
    <mergeCell ref="H92:I92"/>
    <mergeCell ref="J92:K92"/>
    <mergeCell ref="L92:M92"/>
    <mergeCell ref="N92:O92"/>
    <mergeCell ref="P92:Q92"/>
    <mergeCell ref="R92:S92"/>
    <mergeCell ref="T92:U92"/>
    <mergeCell ref="F93:G93"/>
    <mergeCell ref="H93:I93"/>
    <mergeCell ref="J93:K93"/>
    <mergeCell ref="L93:M93"/>
    <mergeCell ref="F91:G91"/>
    <mergeCell ref="H91:I91"/>
    <mergeCell ref="J91:K91"/>
    <mergeCell ref="L91:M91"/>
    <mergeCell ref="N91:O91"/>
    <mergeCell ref="P91:Q91"/>
    <mergeCell ref="R91:S91"/>
    <mergeCell ref="T91:U91"/>
    <mergeCell ref="R93:S93"/>
    <mergeCell ref="T93:U93"/>
    <mergeCell ref="N93:O93"/>
    <mergeCell ref="V114:W114"/>
    <mergeCell ref="F99:G99"/>
    <mergeCell ref="H99:I99"/>
    <mergeCell ref="J99:K99"/>
    <mergeCell ref="L99:M99"/>
    <mergeCell ref="D94:E94"/>
    <mergeCell ref="V94:W94"/>
    <mergeCell ref="D95:E95"/>
    <mergeCell ref="V95:W95"/>
    <mergeCell ref="D96:E96"/>
    <mergeCell ref="V96:W96"/>
    <mergeCell ref="F96:G96"/>
    <mergeCell ref="H96:I96"/>
    <mergeCell ref="J96:K96"/>
    <mergeCell ref="L96:M96"/>
    <mergeCell ref="N96:O96"/>
    <mergeCell ref="P96:Q96"/>
    <mergeCell ref="R96:S96"/>
    <mergeCell ref="T96:U96"/>
    <mergeCell ref="F94:G94"/>
    <mergeCell ref="H94:I94"/>
    <mergeCell ref="J94:K94"/>
    <mergeCell ref="L94:M94"/>
    <mergeCell ref="N94:O94"/>
    <mergeCell ref="P94:Q94"/>
    <mergeCell ref="R94:S94"/>
    <mergeCell ref="T94:U94"/>
    <mergeCell ref="F95:G95"/>
    <mergeCell ref="H95:I95"/>
    <mergeCell ref="J95:K95"/>
    <mergeCell ref="L95:M95"/>
    <mergeCell ref="N95:O95"/>
    <mergeCell ref="R28:S28"/>
    <mergeCell ref="R29:S29"/>
    <mergeCell ref="R30:S30"/>
    <mergeCell ref="R31:S31"/>
    <mergeCell ref="R32:S32"/>
    <mergeCell ref="N31:O31"/>
    <mergeCell ref="P31:Q31"/>
    <mergeCell ref="J22:K22"/>
    <mergeCell ref="L22:M22"/>
    <mergeCell ref="J21:M21"/>
    <mergeCell ref="J23:K23"/>
    <mergeCell ref="D107:E107"/>
    <mergeCell ref="V107:W107"/>
    <mergeCell ref="D115:E115"/>
    <mergeCell ref="V115:W115"/>
    <mergeCell ref="D116:E116"/>
    <mergeCell ref="V116:W116"/>
    <mergeCell ref="D112:E112"/>
    <mergeCell ref="V112:W112"/>
    <mergeCell ref="D113:E113"/>
    <mergeCell ref="V113:W113"/>
    <mergeCell ref="D114:E114"/>
    <mergeCell ref="D97:E97"/>
    <mergeCell ref="V97:W97"/>
    <mergeCell ref="D102:E102"/>
    <mergeCell ref="V102:W102"/>
    <mergeCell ref="V98:W98"/>
    <mergeCell ref="D99:E99"/>
    <mergeCell ref="V99:W99"/>
    <mergeCell ref="D100:E100"/>
    <mergeCell ref="V100:W100"/>
    <mergeCell ref="D101:E101"/>
    <mergeCell ref="H47:I47"/>
    <mergeCell ref="H48:I48"/>
    <mergeCell ref="H49:I49"/>
    <mergeCell ref="H50:I50"/>
    <mergeCell ref="H51:I51"/>
    <mergeCell ref="F21:G22"/>
    <mergeCell ref="F23:G23"/>
    <mergeCell ref="H21:I22"/>
    <mergeCell ref="H23:I23"/>
    <mergeCell ref="T21:U22"/>
    <mergeCell ref="T23:U23"/>
    <mergeCell ref="R21:S22"/>
    <mergeCell ref="R23:S23"/>
    <mergeCell ref="F24:G24"/>
    <mergeCell ref="F25:G25"/>
    <mergeCell ref="F26:G26"/>
    <mergeCell ref="F27:G27"/>
    <mergeCell ref="F28:G28"/>
    <mergeCell ref="F29:G29"/>
    <mergeCell ref="F30:G30"/>
    <mergeCell ref="F31:G31"/>
    <mergeCell ref="F32:G32"/>
    <mergeCell ref="R24:S24"/>
    <mergeCell ref="R25:S25"/>
    <mergeCell ref="R26:S26"/>
    <mergeCell ref="R27:S27"/>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T47:U47"/>
    <mergeCell ref="T48:U48"/>
    <mergeCell ref="T49:U49"/>
    <mergeCell ref="T50:U50"/>
    <mergeCell ref="T51:U51"/>
    <mergeCell ref="T52:U52"/>
    <mergeCell ref="R35:S35"/>
    <mergeCell ref="R36:S36"/>
    <mergeCell ref="R37:S37"/>
    <mergeCell ref="R38:S38"/>
    <mergeCell ref="R39:S39"/>
    <mergeCell ref="R40:S40"/>
    <mergeCell ref="R41:S41"/>
    <mergeCell ref="R42:S42"/>
    <mergeCell ref="R43:S43"/>
    <mergeCell ref="R44:S44"/>
    <mergeCell ref="R45:S45"/>
    <mergeCell ref="R46:S46"/>
    <mergeCell ref="R47:S47"/>
    <mergeCell ref="R48:S48"/>
    <mergeCell ref="R49:S49"/>
    <mergeCell ref="R50:S50"/>
    <mergeCell ref="R51:S51"/>
    <mergeCell ref="L26:M26"/>
    <mergeCell ref="J27:K27"/>
    <mergeCell ref="L27:M27"/>
    <mergeCell ref="J28:K28"/>
    <mergeCell ref="L28:M28"/>
    <mergeCell ref="J29:K29"/>
    <mergeCell ref="L29:M29"/>
    <mergeCell ref="J30:K30"/>
    <mergeCell ref="L30:M30"/>
    <mergeCell ref="J31:K31"/>
    <mergeCell ref="L31:M31"/>
    <mergeCell ref="J36:K36"/>
    <mergeCell ref="L36:M36"/>
    <mergeCell ref="R71:S71"/>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J32:K32"/>
    <mergeCell ref="L32:M32"/>
    <mergeCell ref="J33:K33"/>
    <mergeCell ref="L33:M33"/>
    <mergeCell ref="J34:K34"/>
    <mergeCell ref="L34:M34"/>
    <mergeCell ref="J35:K35"/>
    <mergeCell ref="L35:M35"/>
    <mergeCell ref="N21:O22"/>
    <mergeCell ref="P21:Q22"/>
    <mergeCell ref="N23:O23"/>
    <mergeCell ref="P23:Q23"/>
    <mergeCell ref="N24:O24"/>
    <mergeCell ref="P24:Q24"/>
    <mergeCell ref="N25:O25"/>
    <mergeCell ref="P25:Q25"/>
    <mergeCell ref="N26:O26"/>
    <mergeCell ref="P26:Q26"/>
    <mergeCell ref="N27:O27"/>
    <mergeCell ref="P27:Q27"/>
    <mergeCell ref="N28:O28"/>
    <mergeCell ref="P28:Q28"/>
    <mergeCell ref="N29:O29"/>
    <mergeCell ref="P29:Q29"/>
    <mergeCell ref="N30:O30"/>
    <mergeCell ref="P30:Q30"/>
    <mergeCell ref="L23:M23"/>
    <mergeCell ref="J24:K24"/>
    <mergeCell ref="L24:M24"/>
    <mergeCell ref="J25:K25"/>
    <mergeCell ref="L25:M25"/>
    <mergeCell ref="J26:K26"/>
    <mergeCell ref="N47:O47"/>
    <mergeCell ref="P47:Q47"/>
    <mergeCell ref="N48:O48"/>
    <mergeCell ref="P48:Q48"/>
    <mergeCell ref="N49:O49"/>
    <mergeCell ref="P49:Q49"/>
    <mergeCell ref="N50:O50"/>
    <mergeCell ref="P50:Q50"/>
    <mergeCell ref="N51:O51"/>
    <mergeCell ref="P51:Q51"/>
    <mergeCell ref="N52:O52"/>
    <mergeCell ref="P52:Q52"/>
    <mergeCell ref="N53:O53"/>
    <mergeCell ref="P53:Q53"/>
    <mergeCell ref="N54:O54"/>
    <mergeCell ref="P54:Q54"/>
    <mergeCell ref="P33:Q33"/>
    <mergeCell ref="N34:O34"/>
    <mergeCell ref="P34:Q34"/>
    <mergeCell ref="P36:Q36"/>
    <mergeCell ref="N37:O37"/>
    <mergeCell ref="P37:Q37"/>
    <mergeCell ref="N68:O68"/>
    <mergeCell ref="P68:Q68"/>
    <mergeCell ref="N69:O69"/>
    <mergeCell ref="P69:Q69"/>
    <mergeCell ref="N70:O70"/>
    <mergeCell ref="P70:Q70"/>
    <mergeCell ref="N71:O71"/>
    <mergeCell ref="P71:Q71"/>
    <mergeCell ref="F65:G66"/>
    <mergeCell ref="H65:I66"/>
    <mergeCell ref="J65:M65"/>
    <mergeCell ref="N65:O66"/>
    <mergeCell ref="P65:Q66"/>
    <mergeCell ref="J57:K57"/>
    <mergeCell ref="L57:M57"/>
    <mergeCell ref="J67:K67"/>
    <mergeCell ref="L67:M67"/>
    <mergeCell ref="J68:K68"/>
    <mergeCell ref="L68:M68"/>
    <mergeCell ref="J69:K69"/>
    <mergeCell ref="L69:M69"/>
    <mergeCell ref="J70:K70"/>
    <mergeCell ref="L70:M70"/>
    <mergeCell ref="J71:K71"/>
    <mergeCell ref="L71:M71"/>
    <mergeCell ref="J66:K66"/>
    <mergeCell ref="L66:M66"/>
    <mergeCell ref="F71:G71"/>
    <mergeCell ref="F72:G72"/>
    <mergeCell ref="H72:I72"/>
    <mergeCell ref="J72:K72"/>
    <mergeCell ref="L72:M72"/>
    <mergeCell ref="N72:O72"/>
    <mergeCell ref="P72:Q72"/>
    <mergeCell ref="R72:S72"/>
    <mergeCell ref="T72:U72"/>
    <mergeCell ref="F73:G73"/>
    <mergeCell ref="H73:I73"/>
    <mergeCell ref="J73:K73"/>
    <mergeCell ref="L73:M73"/>
    <mergeCell ref="N73:O73"/>
    <mergeCell ref="P73:Q73"/>
    <mergeCell ref="R73:S73"/>
    <mergeCell ref="T73:U73"/>
    <mergeCell ref="F74:G74"/>
    <mergeCell ref="H74:I74"/>
    <mergeCell ref="J74:K74"/>
    <mergeCell ref="L74:M74"/>
    <mergeCell ref="N74:O74"/>
    <mergeCell ref="P74:Q74"/>
    <mergeCell ref="R74:S74"/>
    <mergeCell ref="T74:U74"/>
    <mergeCell ref="F75:G75"/>
    <mergeCell ref="H75:I75"/>
    <mergeCell ref="J75:K75"/>
    <mergeCell ref="L75:M75"/>
    <mergeCell ref="N75:O75"/>
    <mergeCell ref="P75:Q75"/>
    <mergeCell ref="R75:S75"/>
    <mergeCell ref="T75:U75"/>
    <mergeCell ref="F76:G76"/>
    <mergeCell ref="H76:I76"/>
    <mergeCell ref="J76:K76"/>
    <mergeCell ref="L76:M76"/>
    <mergeCell ref="N76:O76"/>
    <mergeCell ref="P76:Q76"/>
    <mergeCell ref="R76:S76"/>
    <mergeCell ref="T76:U76"/>
    <mergeCell ref="J78:K78"/>
    <mergeCell ref="L78:M78"/>
    <mergeCell ref="N78:O78"/>
    <mergeCell ref="P78:Q78"/>
    <mergeCell ref="R78:S78"/>
    <mergeCell ref="T78:U78"/>
    <mergeCell ref="R80:S80"/>
    <mergeCell ref="T80:U80"/>
    <mergeCell ref="F81:G81"/>
    <mergeCell ref="H81:I81"/>
    <mergeCell ref="J81:K81"/>
    <mergeCell ref="L81:M81"/>
    <mergeCell ref="N81:O81"/>
    <mergeCell ref="P81:Q81"/>
    <mergeCell ref="R81:S81"/>
    <mergeCell ref="T81:U81"/>
    <mergeCell ref="F82:G82"/>
    <mergeCell ref="H82:I82"/>
    <mergeCell ref="J82:K82"/>
    <mergeCell ref="L82:M82"/>
    <mergeCell ref="N82:O82"/>
    <mergeCell ref="P82:Q82"/>
    <mergeCell ref="R82:S82"/>
    <mergeCell ref="T82:U82"/>
    <mergeCell ref="J86:K86"/>
    <mergeCell ref="L86:M86"/>
    <mergeCell ref="N86:O86"/>
    <mergeCell ref="P86:Q86"/>
    <mergeCell ref="R86:S86"/>
    <mergeCell ref="T86:U86"/>
    <mergeCell ref="F87:G87"/>
    <mergeCell ref="H87:I87"/>
    <mergeCell ref="J87:K87"/>
    <mergeCell ref="L87:M87"/>
    <mergeCell ref="N87:O87"/>
    <mergeCell ref="P87:Q87"/>
    <mergeCell ref="R87:S87"/>
    <mergeCell ref="T87:U87"/>
    <mergeCell ref="N89:O89"/>
    <mergeCell ref="P89:Q89"/>
    <mergeCell ref="R89:S89"/>
    <mergeCell ref="T89:U89"/>
    <mergeCell ref="P95:Q95"/>
    <mergeCell ref="R95:S95"/>
    <mergeCell ref="T95:U95"/>
    <mergeCell ref="P93:Q93"/>
    <mergeCell ref="R97:S97"/>
    <mergeCell ref="T97:U97"/>
    <mergeCell ref="F98:G98"/>
    <mergeCell ref="H98:I98"/>
    <mergeCell ref="J98:K98"/>
    <mergeCell ref="L98:M98"/>
    <mergeCell ref="N98:O98"/>
    <mergeCell ref="P98:Q98"/>
    <mergeCell ref="R98:S98"/>
    <mergeCell ref="T98:U98"/>
    <mergeCell ref="F97:G97"/>
    <mergeCell ref="H97:I97"/>
    <mergeCell ref="J97:K97"/>
    <mergeCell ref="L97:M97"/>
    <mergeCell ref="N97:O97"/>
    <mergeCell ref="P97:Q97"/>
    <mergeCell ref="N99:O99"/>
    <mergeCell ref="P99:Q99"/>
    <mergeCell ref="R99:S99"/>
    <mergeCell ref="T99:U99"/>
    <mergeCell ref="F100:G100"/>
    <mergeCell ref="H100:I100"/>
    <mergeCell ref="J100:K100"/>
    <mergeCell ref="L100:M100"/>
    <mergeCell ref="N100:O100"/>
    <mergeCell ref="P100:Q100"/>
    <mergeCell ref="R100:S100"/>
    <mergeCell ref="T100:U100"/>
    <mergeCell ref="F101:G101"/>
    <mergeCell ref="H101:I101"/>
    <mergeCell ref="J101:K101"/>
    <mergeCell ref="L101:M101"/>
    <mergeCell ref="N101:O101"/>
    <mergeCell ref="P101:Q101"/>
    <mergeCell ref="R101:S101"/>
    <mergeCell ref="T101:U101"/>
    <mergeCell ref="F102:G102"/>
    <mergeCell ref="H102:I102"/>
    <mergeCell ref="J102:K102"/>
    <mergeCell ref="L102:M102"/>
    <mergeCell ref="N102:O102"/>
    <mergeCell ref="P102:Q102"/>
    <mergeCell ref="R102:S102"/>
    <mergeCell ref="T102:U102"/>
    <mergeCell ref="L103:M103"/>
    <mergeCell ref="N103:O103"/>
    <mergeCell ref="P103:Q103"/>
    <mergeCell ref="R103:S103"/>
    <mergeCell ref="T103:U103"/>
    <mergeCell ref="F104:G104"/>
    <mergeCell ref="H104:I104"/>
    <mergeCell ref="J104:K104"/>
    <mergeCell ref="L104:M104"/>
    <mergeCell ref="N104:O104"/>
    <mergeCell ref="P104:Q104"/>
    <mergeCell ref="R104:S104"/>
    <mergeCell ref="T104:U104"/>
    <mergeCell ref="F105:G105"/>
    <mergeCell ref="H105:I105"/>
    <mergeCell ref="J105:K105"/>
    <mergeCell ref="L105:M105"/>
    <mergeCell ref="N105:O105"/>
    <mergeCell ref="P105:Q105"/>
    <mergeCell ref="R105:S105"/>
    <mergeCell ref="T105:U105"/>
    <mergeCell ref="F106:G106"/>
    <mergeCell ref="H106:I106"/>
    <mergeCell ref="J106:K106"/>
    <mergeCell ref="L106:M106"/>
    <mergeCell ref="N106:O106"/>
    <mergeCell ref="P106:Q106"/>
    <mergeCell ref="R106:S106"/>
    <mergeCell ref="T106:U106"/>
    <mergeCell ref="F107:G107"/>
    <mergeCell ref="H107:I107"/>
    <mergeCell ref="J107:K107"/>
    <mergeCell ref="L107:M107"/>
    <mergeCell ref="N107:O107"/>
    <mergeCell ref="P107:Q107"/>
    <mergeCell ref="R107:S107"/>
    <mergeCell ref="T107:U107"/>
    <mergeCell ref="F108:G108"/>
    <mergeCell ref="H108:I108"/>
    <mergeCell ref="J108:K108"/>
    <mergeCell ref="L108:M108"/>
    <mergeCell ref="N108:O108"/>
    <mergeCell ref="P108:Q108"/>
    <mergeCell ref="R108:S108"/>
    <mergeCell ref="T108:U108"/>
    <mergeCell ref="R110:S110"/>
    <mergeCell ref="T110:U110"/>
    <mergeCell ref="F111:G111"/>
    <mergeCell ref="H111:I111"/>
    <mergeCell ref="J111:K111"/>
    <mergeCell ref="L111:M111"/>
    <mergeCell ref="N111:O111"/>
    <mergeCell ref="P111:Q111"/>
    <mergeCell ref="R111:S111"/>
    <mergeCell ref="T111:U111"/>
    <mergeCell ref="F112:G112"/>
    <mergeCell ref="H112:I112"/>
    <mergeCell ref="J112:K112"/>
    <mergeCell ref="L112:M112"/>
    <mergeCell ref="N112:O112"/>
    <mergeCell ref="P112:Q112"/>
    <mergeCell ref="R112:S112"/>
    <mergeCell ref="T112:U112"/>
    <mergeCell ref="F113:G113"/>
    <mergeCell ref="H113:I113"/>
    <mergeCell ref="J113:K113"/>
    <mergeCell ref="L113:M113"/>
    <mergeCell ref="N113:O113"/>
    <mergeCell ref="P113:Q113"/>
    <mergeCell ref="R113:S113"/>
    <mergeCell ref="T113:U113"/>
    <mergeCell ref="F114:G114"/>
    <mergeCell ref="H114:I114"/>
    <mergeCell ref="J114:K114"/>
    <mergeCell ref="L114:M114"/>
    <mergeCell ref="N114:O114"/>
    <mergeCell ref="P114:Q114"/>
    <mergeCell ref="R114:S114"/>
    <mergeCell ref="T114:U114"/>
    <mergeCell ref="F115:G115"/>
    <mergeCell ref="H115:I115"/>
    <mergeCell ref="J115:K115"/>
    <mergeCell ref="L115:M115"/>
    <mergeCell ref="N115:O115"/>
    <mergeCell ref="P115:Q115"/>
    <mergeCell ref="R115:S115"/>
    <mergeCell ref="T115:U115"/>
    <mergeCell ref="F116:G116"/>
    <mergeCell ref="H116:I116"/>
    <mergeCell ref="J116:K116"/>
    <mergeCell ref="L116:M116"/>
    <mergeCell ref="N116:O116"/>
    <mergeCell ref="P116:Q116"/>
    <mergeCell ref="R116:S116"/>
    <mergeCell ref="T116:U116"/>
    <mergeCell ref="D132:H132"/>
    <mergeCell ref="D133:F133"/>
    <mergeCell ref="G133:H133"/>
    <mergeCell ref="I132:M132"/>
    <mergeCell ref="I133:K133"/>
    <mergeCell ref="D131:M131"/>
    <mergeCell ref="N133:P133"/>
    <mergeCell ref="Q133:R133"/>
    <mergeCell ref="S133:U133"/>
    <mergeCell ref="N131:R132"/>
    <mergeCell ref="S131:W132"/>
    <mergeCell ref="D134:F134"/>
    <mergeCell ref="G134:H134"/>
    <mergeCell ref="I134:K134"/>
    <mergeCell ref="N134:P134"/>
    <mergeCell ref="Q134:R134"/>
    <mergeCell ref="S134:U134"/>
    <mergeCell ref="D135:F135"/>
    <mergeCell ref="G135:H135"/>
    <mergeCell ref="I135:K135"/>
    <mergeCell ref="N135:P135"/>
    <mergeCell ref="Q135:R135"/>
    <mergeCell ref="S135:U135"/>
    <mergeCell ref="D136:F136"/>
    <mergeCell ref="G136:H136"/>
    <mergeCell ref="I136:K136"/>
    <mergeCell ref="N136:P136"/>
    <mergeCell ref="Q136:R136"/>
    <mergeCell ref="S136:U136"/>
    <mergeCell ref="Q138:R138"/>
    <mergeCell ref="S138:U138"/>
    <mergeCell ref="D139:F139"/>
    <mergeCell ref="G139:H139"/>
    <mergeCell ref="I139:K139"/>
    <mergeCell ref="N139:P139"/>
    <mergeCell ref="Q139:R139"/>
    <mergeCell ref="S139:U139"/>
    <mergeCell ref="D140:F140"/>
    <mergeCell ref="G140:H140"/>
    <mergeCell ref="I140:K140"/>
    <mergeCell ref="N140:P140"/>
    <mergeCell ref="Q140:R140"/>
    <mergeCell ref="S140:U140"/>
    <mergeCell ref="D138:F138"/>
    <mergeCell ref="G138:H138"/>
    <mergeCell ref="I138:K138"/>
    <mergeCell ref="N138:P138"/>
    <mergeCell ref="D141:F141"/>
    <mergeCell ref="G141:H141"/>
    <mergeCell ref="I141:K141"/>
    <mergeCell ref="N141:P141"/>
    <mergeCell ref="Q141:R141"/>
    <mergeCell ref="S141:U141"/>
    <mergeCell ref="S142:U142"/>
    <mergeCell ref="D143:F143"/>
    <mergeCell ref="G143:H143"/>
    <mergeCell ref="I143:K143"/>
    <mergeCell ref="N143:P143"/>
    <mergeCell ref="Q143:R143"/>
    <mergeCell ref="S143:U143"/>
    <mergeCell ref="D144:F144"/>
    <mergeCell ref="G144:H144"/>
    <mergeCell ref="I144:K144"/>
    <mergeCell ref="N144:P144"/>
    <mergeCell ref="Q144:R144"/>
    <mergeCell ref="S144:U144"/>
    <mergeCell ref="N149:P149"/>
    <mergeCell ref="Q149:R149"/>
    <mergeCell ref="S149:U149"/>
    <mergeCell ref="D150:F150"/>
    <mergeCell ref="G150:H150"/>
    <mergeCell ref="I150:K150"/>
    <mergeCell ref="N150:P150"/>
    <mergeCell ref="Q150:R150"/>
    <mergeCell ref="S150:U150"/>
    <mergeCell ref="D151:F151"/>
    <mergeCell ref="G151:H151"/>
    <mergeCell ref="I151:K151"/>
    <mergeCell ref="N151:P151"/>
    <mergeCell ref="Q151:R151"/>
    <mergeCell ref="S151:U151"/>
    <mergeCell ref="S153:U153"/>
    <mergeCell ref="D154:F154"/>
    <mergeCell ref="G154:H154"/>
    <mergeCell ref="I154:K154"/>
    <mergeCell ref="N154:P154"/>
    <mergeCell ref="Q154:R154"/>
    <mergeCell ref="S154:U154"/>
    <mergeCell ref="G149:H149"/>
    <mergeCell ref="I149:K149"/>
    <mergeCell ref="Q155:R155"/>
    <mergeCell ref="S155:U155"/>
    <mergeCell ref="D156:F156"/>
    <mergeCell ref="G156:H156"/>
    <mergeCell ref="I156:K156"/>
    <mergeCell ref="N156:P156"/>
    <mergeCell ref="Q156:R156"/>
    <mergeCell ref="S156:U156"/>
    <mergeCell ref="Q159:R159"/>
    <mergeCell ref="S159:U159"/>
    <mergeCell ref="D160:F160"/>
    <mergeCell ref="G160:H160"/>
    <mergeCell ref="I160:K160"/>
    <mergeCell ref="N160:P160"/>
    <mergeCell ref="Q160:R160"/>
    <mergeCell ref="S160:U160"/>
    <mergeCell ref="D161:F161"/>
    <mergeCell ref="G161:H161"/>
    <mergeCell ref="I161:K161"/>
    <mergeCell ref="N161:P161"/>
    <mergeCell ref="Q161:R161"/>
    <mergeCell ref="S161:U161"/>
    <mergeCell ref="Q162:R162"/>
    <mergeCell ref="S162:U162"/>
    <mergeCell ref="D172:F172"/>
    <mergeCell ref="G172:H172"/>
    <mergeCell ref="I172:K172"/>
    <mergeCell ref="L172:M172"/>
    <mergeCell ref="N172:P172"/>
    <mergeCell ref="Q172:R172"/>
    <mergeCell ref="S172:U172"/>
    <mergeCell ref="V172:W172"/>
    <mergeCell ref="D173:F173"/>
    <mergeCell ref="G173:H173"/>
    <mergeCell ref="I173:K173"/>
    <mergeCell ref="L173:M173"/>
    <mergeCell ref="N173:P173"/>
    <mergeCell ref="Q173:R173"/>
    <mergeCell ref="S173:U173"/>
    <mergeCell ref="Q165:R165"/>
    <mergeCell ref="S165:U165"/>
    <mergeCell ref="D166:F166"/>
    <mergeCell ref="G166:H166"/>
    <mergeCell ref="I166:K166"/>
    <mergeCell ref="N166:P166"/>
    <mergeCell ref="Q166:R166"/>
    <mergeCell ref="S166:U166"/>
    <mergeCell ref="D167:F167"/>
    <mergeCell ref="G167:H167"/>
    <mergeCell ref="I167:K167"/>
    <mergeCell ref="N167:P167"/>
    <mergeCell ref="Q167:R167"/>
    <mergeCell ref="S167:U167"/>
    <mergeCell ref="D168:F168"/>
    <mergeCell ref="D174:F174"/>
    <mergeCell ref="G174:H174"/>
    <mergeCell ref="I174:K174"/>
    <mergeCell ref="N174:P174"/>
    <mergeCell ref="Q174:R174"/>
    <mergeCell ref="S174:U174"/>
    <mergeCell ref="D175:F175"/>
    <mergeCell ref="G175:H175"/>
    <mergeCell ref="I175:K175"/>
    <mergeCell ref="N175:P175"/>
    <mergeCell ref="Q175:R175"/>
    <mergeCell ref="S175:U175"/>
    <mergeCell ref="D176:F176"/>
    <mergeCell ref="G176:H176"/>
    <mergeCell ref="I176:K176"/>
    <mergeCell ref="N176:P176"/>
    <mergeCell ref="Q176:R176"/>
    <mergeCell ref="S176:U176"/>
    <mergeCell ref="D177:F177"/>
    <mergeCell ref="G177:H177"/>
    <mergeCell ref="I177:K177"/>
    <mergeCell ref="N177:P177"/>
    <mergeCell ref="Q177:R177"/>
    <mergeCell ref="S177:U177"/>
    <mergeCell ref="D178:F178"/>
    <mergeCell ref="G178:H178"/>
    <mergeCell ref="I178:K178"/>
    <mergeCell ref="N178:P178"/>
    <mergeCell ref="Q178:R178"/>
    <mergeCell ref="S178:U178"/>
    <mergeCell ref="D190:F190"/>
    <mergeCell ref="G190:H190"/>
    <mergeCell ref="I190:K190"/>
    <mergeCell ref="N190:P190"/>
    <mergeCell ref="Q190:R190"/>
    <mergeCell ref="S190:U190"/>
    <mergeCell ref="D194:F194"/>
    <mergeCell ref="G194:H194"/>
    <mergeCell ref="I194:K194"/>
    <mergeCell ref="N194:P194"/>
    <mergeCell ref="Q194:R194"/>
    <mergeCell ref="S194:U194"/>
    <mergeCell ref="D187:M187"/>
    <mergeCell ref="N187:R188"/>
    <mergeCell ref="S187:W188"/>
    <mergeCell ref="D188:H188"/>
    <mergeCell ref="I188:M188"/>
    <mergeCell ref="D189:F189"/>
    <mergeCell ref="G189:H189"/>
    <mergeCell ref="I189:K189"/>
    <mergeCell ref="N189:P189"/>
    <mergeCell ref="Q189:R189"/>
    <mergeCell ref="S189:U189"/>
    <mergeCell ref="V189:W189"/>
    <mergeCell ref="D191:F191"/>
    <mergeCell ref="G191:H191"/>
    <mergeCell ref="I191:K191"/>
    <mergeCell ref="N191:P191"/>
    <mergeCell ref="Q191:R191"/>
    <mergeCell ref="S191:U191"/>
    <mergeCell ref="D192:F192"/>
    <mergeCell ref="G192:H192"/>
    <mergeCell ref="I192:K192"/>
    <mergeCell ref="N192:P192"/>
    <mergeCell ref="Q192:R192"/>
    <mergeCell ref="S192:U192"/>
    <mergeCell ref="D193:F193"/>
    <mergeCell ref="G193:H193"/>
    <mergeCell ref="D195:F195"/>
    <mergeCell ref="G195:H195"/>
    <mergeCell ref="I195:K195"/>
    <mergeCell ref="N195:P195"/>
    <mergeCell ref="Q195:R195"/>
    <mergeCell ref="S195:U195"/>
    <mergeCell ref="D196:F196"/>
    <mergeCell ref="G196:H196"/>
    <mergeCell ref="I196:K196"/>
    <mergeCell ref="N196:P196"/>
    <mergeCell ref="Q196:R196"/>
    <mergeCell ref="S196:U196"/>
    <mergeCell ref="D197:F197"/>
    <mergeCell ref="G197:H197"/>
    <mergeCell ref="I197:K197"/>
    <mergeCell ref="N197:P197"/>
    <mergeCell ref="Q197:R197"/>
    <mergeCell ref="S197:U197"/>
    <mergeCell ref="D200:F200"/>
    <mergeCell ref="G200:H200"/>
    <mergeCell ref="I200:K200"/>
    <mergeCell ref="N200:P200"/>
    <mergeCell ref="Q200:R200"/>
    <mergeCell ref="S200:U200"/>
    <mergeCell ref="D201:F201"/>
    <mergeCell ref="G201:H201"/>
    <mergeCell ref="I201:K201"/>
    <mergeCell ref="N201:P201"/>
    <mergeCell ref="Q201:R201"/>
    <mergeCell ref="S201:U201"/>
    <mergeCell ref="D202:F202"/>
    <mergeCell ref="G202:H202"/>
    <mergeCell ref="I202:K202"/>
    <mergeCell ref="N202:P202"/>
    <mergeCell ref="Q202:R202"/>
    <mergeCell ref="S202:U202"/>
    <mergeCell ref="D203:F203"/>
    <mergeCell ref="G203:H203"/>
    <mergeCell ref="I203:K203"/>
    <mergeCell ref="N203:P203"/>
    <mergeCell ref="Q203:R203"/>
    <mergeCell ref="S203:U203"/>
    <mergeCell ref="D204:F204"/>
    <mergeCell ref="G204:H204"/>
    <mergeCell ref="I204:K204"/>
    <mergeCell ref="N204:P204"/>
    <mergeCell ref="Q204:R204"/>
    <mergeCell ref="S204:U204"/>
    <mergeCell ref="D205:F205"/>
    <mergeCell ref="G205:H205"/>
    <mergeCell ref="I205:K205"/>
    <mergeCell ref="N205:P205"/>
    <mergeCell ref="Q205:R205"/>
    <mergeCell ref="S205:U205"/>
    <mergeCell ref="D206:F206"/>
    <mergeCell ref="G206:H206"/>
    <mergeCell ref="I206:K206"/>
    <mergeCell ref="N206:P206"/>
    <mergeCell ref="Q206:R206"/>
    <mergeCell ref="S206:U206"/>
    <mergeCell ref="D207:F207"/>
    <mergeCell ref="G207:H207"/>
    <mergeCell ref="I207:K207"/>
    <mergeCell ref="N207:P207"/>
    <mergeCell ref="Q207:R207"/>
    <mergeCell ref="S207:U207"/>
    <mergeCell ref="D208:F208"/>
    <mergeCell ref="G208:H208"/>
    <mergeCell ref="I208:K208"/>
    <mergeCell ref="N208:P208"/>
    <mergeCell ref="Q208:R208"/>
    <mergeCell ref="S208:U208"/>
    <mergeCell ref="D209:F209"/>
    <mergeCell ref="G209:H209"/>
    <mergeCell ref="I209:K209"/>
    <mergeCell ref="N209:P209"/>
    <mergeCell ref="Q209:R209"/>
    <mergeCell ref="S209:U209"/>
    <mergeCell ref="D210:F210"/>
    <mergeCell ref="G210:H210"/>
    <mergeCell ref="I210:K210"/>
    <mergeCell ref="N210:P210"/>
    <mergeCell ref="Q210:R210"/>
    <mergeCell ref="S210:U210"/>
    <mergeCell ref="D211:F211"/>
    <mergeCell ref="G211:H211"/>
    <mergeCell ref="I211:K211"/>
    <mergeCell ref="N211:P211"/>
    <mergeCell ref="Q211:R211"/>
    <mergeCell ref="S211:U211"/>
    <mergeCell ref="D212:F212"/>
    <mergeCell ref="G212:H212"/>
    <mergeCell ref="I212:K212"/>
    <mergeCell ref="N212:P212"/>
    <mergeCell ref="Q212:R212"/>
    <mergeCell ref="S212:U212"/>
    <mergeCell ref="D213:F213"/>
    <mergeCell ref="G213:H213"/>
    <mergeCell ref="I213:K213"/>
    <mergeCell ref="N213:P213"/>
    <mergeCell ref="Q213:R213"/>
    <mergeCell ref="S213:U213"/>
    <mergeCell ref="D214:F214"/>
    <mergeCell ref="G214:H214"/>
    <mergeCell ref="I214:K214"/>
    <mergeCell ref="N214:P214"/>
    <mergeCell ref="Q214:R214"/>
    <mergeCell ref="S214:U214"/>
    <mergeCell ref="D215:F215"/>
    <mergeCell ref="G215:H215"/>
    <mergeCell ref="I215:K215"/>
    <mergeCell ref="N215:P215"/>
    <mergeCell ref="Q215:R215"/>
    <mergeCell ref="S215:U215"/>
    <mergeCell ref="D216:F216"/>
    <mergeCell ref="G216:H216"/>
    <mergeCell ref="I216:K216"/>
    <mergeCell ref="N216:P216"/>
    <mergeCell ref="Q216:R216"/>
    <mergeCell ref="S216:U216"/>
    <mergeCell ref="D217:F217"/>
    <mergeCell ref="G217:H217"/>
    <mergeCell ref="I217:K217"/>
    <mergeCell ref="N217:P217"/>
    <mergeCell ref="Q217:R217"/>
    <mergeCell ref="S217:U217"/>
    <mergeCell ref="L216:M216"/>
    <mergeCell ref="L217:M217"/>
    <mergeCell ref="D218:F218"/>
    <mergeCell ref="G218:H218"/>
    <mergeCell ref="I218:K218"/>
    <mergeCell ref="N218:P218"/>
    <mergeCell ref="Q218:R218"/>
    <mergeCell ref="S218:U218"/>
    <mergeCell ref="D219:F219"/>
    <mergeCell ref="G219:H219"/>
    <mergeCell ref="I219:K219"/>
    <mergeCell ref="N219:P219"/>
    <mergeCell ref="Q219:R219"/>
    <mergeCell ref="S219:U219"/>
    <mergeCell ref="D220:F220"/>
    <mergeCell ref="G220:H220"/>
    <mergeCell ref="I220:K220"/>
    <mergeCell ref="N220:P220"/>
    <mergeCell ref="Q220:R220"/>
    <mergeCell ref="S220:U220"/>
    <mergeCell ref="L218:M218"/>
    <mergeCell ref="D221:F221"/>
    <mergeCell ref="G221:H221"/>
    <mergeCell ref="I221:K221"/>
    <mergeCell ref="N221:P221"/>
    <mergeCell ref="Q221:R221"/>
    <mergeCell ref="S221:U221"/>
    <mergeCell ref="D222:F222"/>
    <mergeCell ref="G222:H222"/>
    <mergeCell ref="I222:K222"/>
    <mergeCell ref="N222:P222"/>
    <mergeCell ref="Q222:R222"/>
    <mergeCell ref="S222:U222"/>
    <mergeCell ref="D223:F223"/>
    <mergeCell ref="G223:H223"/>
    <mergeCell ref="I223:K223"/>
    <mergeCell ref="N223:P223"/>
    <mergeCell ref="Q223:R223"/>
    <mergeCell ref="S223:U223"/>
    <mergeCell ref="D224:F224"/>
    <mergeCell ref="G224:H224"/>
    <mergeCell ref="I224:K224"/>
    <mergeCell ref="N224:P224"/>
    <mergeCell ref="Q224:R224"/>
    <mergeCell ref="S224:U224"/>
    <mergeCell ref="D225:F225"/>
    <mergeCell ref="G225:H225"/>
    <mergeCell ref="I225:K225"/>
    <mergeCell ref="N225:P225"/>
    <mergeCell ref="Q225:R225"/>
    <mergeCell ref="S225:U225"/>
    <mergeCell ref="D226:F226"/>
    <mergeCell ref="G226:H226"/>
    <mergeCell ref="I226:K226"/>
    <mergeCell ref="N226:P226"/>
    <mergeCell ref="Q226:R226"/>
    <mergeCell ref="S226:U226"/>
    <mergeCell ref="B4:D4"/>
    <mergeCell ref="E4:J4"/>
    <mergeCell ref="B5:M5"/>
    <mergeCell ref="B6:M6"/>
    <mergeCell ref="N5:P5"/>
    <mergeCell ref="Q5:S5"/>
    <mergeCell ref="N6:P6"/>
    <mergeCell ref="Q6:S6"/>
    <mergeCell ref="N13:W13"/>
    <mergeCell ref="N14:W14"/>
    <mergeCell ref="K13:M13"/>
    <mergeCell ref="K14:M14"/>
    <mergeCell ref="B13:J13"/>
    <mergeCell ref="B14:J14"/>
    <mergeCell ref="E317:G317"/>
    <mergeCell ref="D227:F227"/>
    <mergeCell ref="G227:H227"/>
    <mergeCell ref="I227:K227"/>
    <mergeCell ref="N227:P227"/>
    <mergeCell ref="Q227:R227"/>
    <mergeCell ref="S227:U227"/>
    <mergeCell ref="D228:F228"/>
    <mergeCell ref="G228:H228"/>
    <mergeCell ref="I228:K228"/>
    <mergeCell ref="N228:P228"/>
    <mergeCell ref="Q228:R228"/>
    <mergeCell ref="S228:U228"/>
    <mergeCell ref="D229:F229"/>
    <mergeCell ref="G229:H229"/>
    <mergeCell ref="I229:K229"/>
    <mergeCell ref="N229:P229"/>
    <mergeCell ref="Q229:R229"/>
    <mergeCell ref="H320:J320"/>
    <mergeCell ref="K320:M320"/>
    <mergeCell ref="N320:P320"/>
    <mergeCell ref="Q320:S320"/>
    <mergeCell ref="T320:V320"/>
    <mergeCell ref="H321:J321"/>
    <mergeCell ref="K321:M321"/>
    <mergeCell ref="N321:P321"/>
    <mergeCell ref="Q321:S321"/>
    <mergeCell ref="T321:V321"/>
    <mergeCell ref="H322:J322"/>
    <mergeCell ref="K322:M322"/>
    <mergeCell ref="N322:P322"/>
    <mergeCell ref="Q322:S322"/>
    <mergeCell ref="T322:V322"/>
    <mergeCell ref="H323:J323"/>
    <mergeCell ref="S4:W4"/>
    <mergeCell ref="N4:O4"/>
    <mergeCell ref="S229:U229"/>
    <mergeCell ref="I199:K199"/>
    <mergeCell ref="N199:P199"/>
    <mergeCell ref="Q199:R199"/>
    <mergeCell ref="S199:U199"/>
    <mergeCell ref="I193:K193"/>
    <mergeCell ref="N193:P193"/>
    <mergeCell ref="Q193:R193"/>
    <mergeCell ref="S193:U193"/>
    <mergeCell ref="Q171:R171"/>
    <mergeCell ref="S171:U171"/>
    <mergeCell ref="N168:P168"/>
    <mergeCell ref="Q168:R168"/>
    <mergeCell ref="S168:U168"/>
    <mergeCell ref="K324:M324"/>
    <mergeCell ref="N324:P324"/>
    <mergeCell ref="Q324:S324"/>
    <mergeCell ref="T324:V324"/>
    <mergeCell ref="H325:J325"/>
    <mergeCell ref="K325:M325"/>
    <mergeCell ref="N325:P325"/>
    <mergeCell ref="Q325:S325"/>
    <mergeCell ref="T325:V325"/>
    <mergeCell ref="F63:Q63"/>
    <mergeCell ref="F126:Q126"/>
    <mergeCell ref="F184:Q184"/>
    <mergeCell ref="F242:Q242"/>
    <mergeCell ref="F301:Q301"/>
    <mergeCell ref="F360:Q360"/>
    <mergeCell ref="B128:W128"/>
    <mergeCell ref="E325:G325"/>
    <mergeCell ref="H317:J317"/>
    <mergeCell ref="K317:M317"/>
    <mergeCell ref="N317:P317"/>
    <mergeCell ref="Q317:S317"/>
    <mergeCell ref="T317:V317"/>
    <mergeCell ref="H318:J318"/>
    <mergeCell ref="K318:M318"/>
    <mergeCell ref="N318:P318"/>
    <mergeCell ref="Q318:S318"/>
    <mergeCell ref="T318:V318"/>
    <mergeCell ref="H319:J319"/>
    <mergeCell ref="K319:M319"/>
    <mergeCell ref="N319:P319"/>
    <mergeCell ref="Q319:S319"/>
    <mergeCell ref="T319:V319"/>
  </mergeCells>
  <phoneticPr fontId="5" type="noConversion"/>
  <conditionalFormatting sqref="B1:W1048576">
    <cfRule type="expression" dxfId="1" priority="116" stopIfTrue="1">
      <formula>AND($B1&lt;&gt;"",OR(MOD($B1,10)&gt;5,MOD($B1,10)=0))</formula>
    </cfRule>
  </conditionalFormatting>
  <printOptions horizontalCentered="1" verticalCentered="1"/>
  <pageMargins left="0.19685039370078741" right="0.19685039370078741" top="0.19685039370078741" bottom="0.19685039370078741" header="0.51181102362204722" footer="0.23622047244094491"/>
  <pageSetup paperSize="9" fitToHeight="7"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167" stopIfTrue="1" id="{B9A7E709-3819-4F20-9989-060940888EF9}">
            <xm:f>OP!$C$69&lt;&gt;"錠嵂保經"</xm:f>
            <x14:dxf>
              <font>
                <color theme="0"/>
              </font>
              <fill>
                <patternFill>
                  <bgColor theme="0"/>
                </patternFill>
              </fill>
              <border>
                <left/>
                <right/>
                <top/>
                <bottom/>
              </border>
            </x14:dxf>
          </x14:cfRule>
          <xm:sqref>B407:W408 B409:K409 M409:W409 B410:W414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29</vt:i4>
      </vt:variant>
    </vt:vector>
  </HeadingPairs>
  <TitlesOfParts>
    <vt:vector size="31" baseType="lpstr">
      <vt:lpstr>輸入頁</vt:lpstr>
      <vt:lpstr>列印頁</vt:lpstr>
      <vt:lpstr>BD</vt:lpstr>
      <vt:lpstr>BGP</vt:lpstr>
      <vt:lpstr>CV</vt:lpstr>
      <vt:lpstr>DIE</vt:lpstr>
      <vt:lpstr>EXP</vt:lpstr>
      <vt:lpstr>GP</vt:lpstr>
      <vt:lpstr>HL_1</vt:lpstr>
      <vt:lpstr>HL_2</vt:lpstr>
      <vt:lpstr>HL_3</vt:lpstr>
      <vt:lpstr>IN</vt:lpstr>
      <vt:lpstr>MGP</vt:lpstr>
      <vt:lpstr>PA</vt:lpstr>
      <vt:lpstr>PI</vt:lpstr>
      <vt:lpstr>PM</vt:lpstr>
      <vt:lpstr>列印頁!Print_Area</vt:lpstr>
      <vt:lpstr>輸入頁!Print_Area</vt:lpstr>
      <vt:lpstr>PYO</vt:lpstr>
      <vt:lpstr>PYR</vt:lpstr>
      <vt:lpstr>PYY</vt:lpstr>
      <vt:lpstr>SEX</vt:lpstr>
      <vt:lpstr>WORDING</vt:lpstr>
      <vt:lpstr>WORDINGP</vt:lpstr>
      <vt:lpstr>YPN</vt:lpstr>
      <vt:lpstr>主約1</vt:lpstr>
      <vt:lpstr>保額倍數</vt:lpstr>
      <vt:lpstr>繳</vt:lpstr>
      <vt:lpstr>繳別首</vt:lpstr>
      <vt:lpstr>繳別續</vt:lpstr>
      <vt:lpstr>關係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鄭靜怡</cp:lastModifiedBy>
  <cp:lastPrinted>2025-12-08T03:04:42Z</cp:lastPrinted>
  <dcterms:created xsi:type="dcterms:W3CDTF">2006-07-31T15:34:04Z</dcterms:created>
  <dcterms:modified xsi:type="dcterms:W3CDTF">2025-12-08T03:06:31Z</dcterms:modified>
</cp:coreProperties>
</file>